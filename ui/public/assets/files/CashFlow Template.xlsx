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jeevkohli/Downloads/"/>
    </mc:Choice>
  </mc:AlternateContent>
  <xr:revisionPtr revIDLastSave="0" documentId="13_ncr:1_{2FF350B2-AEDD-E34B-98AD-E91C76BE767F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CashFlow" sheetId="1" r:id="rId1"/>
  </sheets>
  <definedNames>
    <definedName name="_xlnm.Print_Titles" localSheetId="0">CashFlow!$1:$4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" l="1"/>
  <c r="D104" i="1"/>
  <c r="E104" i="1"/>
  <c r="F104" i="1"/>
  <c r="G104" i="1"/>
  <c r="H104" i="1"/>
  <c r="I104" i="1"/>
  <c r="J104" i="1"/>
  <c r="K104" i="1"/>
  <c r="L104" i="1"/>
  <c r="M104" i="1"/>
  <c r="B104" i="1"/>
  <c r="C99" i="1"/>
  <c r="D99" i="1"/>
  <c r="E99" i="1"/>
  <c r="F99" i="1"/>
  <c r="G99" i="1"/>
  <c r="H99" i="1"/>
  <c r="I99" i="1"/>
  <c r="J99" i="1"/>
  <c r="K99" i="1"/>
  <c r="L99" i="1"/>
  <c r="M99" i="1"/>
  <c r="B99" i="1"/>
  <c r="C89" i="1"/>
  <c r="D89" i="1"/>
  <c r="E89" i="1"/>
  <c r="F89" i="1"/>
  <c r="G89" i="1"/>
  <c r="H89" i="1"/>
  <c r="I89" i="1"/>
  <c r="J89" i="1"/>
  <c r="K89" i="1"/>
  <c r="L89" i="1"/>
  <c r="M89" i="1"/>
  <c r="B89" i="1"/>
  <c r="C85" i="1"/>
  <c r="D85" i="1"/>
  <c r="E85" i="1"/>
  <c r="F85" i="1"/>
  <c r="G85" i="1"/>
  <c r="H85" i="1"/>
  <c r="I85" i="1"/>
  <c r="J85" i="1"/>
  <c r="K85" i="1"/>
  <c r="L85" i="1"/>
  <c r="M85" i="1"/>
  <c r="B85" i="1"/>
  <c r="C80" i="1"/>
  <c r="D80" i="1"/>
  <c r="E80" i="1"/>
  <c r="F80" i="1"/>
  <c r="G80" i="1"/>
  <c r="H80" i="1"/>
  <c r="I80" i="1"/>
  <c r="J80" i="1"/>
  <c r="K80" i="1"/>
  <c r="L80" i="1"/>
  <c r="M80" i="1"/>
  <c r="B80" i="1"/>
  <c r="C75" i="1"/>
  <c r="D75" i="1"/>
  <c r="E75" i="1"/>
  <c r="F75" i="1"/>
  <c r="G75" i="1"/>
  <c r="H75" i="1"/>
  <c r="I75" i="1"/>
  <c r="J75" i="1"/>
  <c r="K75" i="1"/>
  <c r="L75" i="1"/>
  <c r="M75" i="1"/>
  <c r="B75" i="1"/>
  <c r="C68" i="1"/>
  <c r="D68" i="1"/>
  <c r="E68" i="1"/>
  <c r="F68" i="1"/>
  <c r="G68" i="1"/>
  <c r="H68" i="1"/>
  <c r="I68" i="1"/>
  <c r="J68" i="1"/>
  <c r="K68" i="1"/>
  <c r="L68" i="1"/>
  <c r="M68" i="1"/>
  <c r="B68" i="1"/>
  <c r="C64" i="1"/>
  <c r="D64" i="1"/>
  <c r="E64" i="1"/>
  <c r="F64" i="1"/>
  <c r="G64" i="1"/>
  <c r="H64" i="1"/>
  <c r="I64" i="1"/>
  <c r="J64" i="1"/>
  <c r="K64" i="1"/>
  <c r="L64" i="1"/>
  <c r="M64" i="1"/>
  <c r="B64" i="1"/>
  <c r="C57" i="1"/>
  <c r="D57" i="1"/>
  <c r="E57" i="1"/>
  <c r="F57" i="1"/>
  <c r="G57" i="1"/>
  <c r="H57" i="1"/>
  <c r="I57" i="1"/>
  <c r="J57" i="1"/>
  <c r="K57" i="1"/>
  <c r="L57" i="1"/>
  <c r="M57" i="1"/>
  <c r="B57" i="1"/>
  <c r="C50" i="1"/>
  <c r="D50" i="1"/>
  <c r="E50" i="1"/>
  <c r="F50" i="1"/>
  <c r="G50" i="1"/>
  <c r="H50" i="1"/>
  <c r="I50" i="1"/>
  <c r="J50" i="1"/>
  <c r="K50" i="1"/>
  <c r="L50" i="1"/>
  <c r="M50" i="1"/>
  <c r="B50" i="1"/>
  <c r="G109" i="1" l="1"/>
  <c r="B109" i="1"/>
  <c r="F109" i="1"/>
  <c r="J109" i="1"/>
  <c r="M109" i="1"/>
  <c r="I109" i="1"/>
  <c r="E109" i="1"/>
  <c r="H109" i="1"/>
  <c r="D109" i="1"/>
  <c r="K109" i="1"/>
  <c r="C109" i="1"/>
  <c r="L109" i="1"/>
  <c r="C29" i="1"/>
  <c r="D29" i="1"/>
  <c r="E29" i="1"/>
  <c r="F29" i="1"/>
  <c r="G29" i="1"/>
  <c r="H29" i="1"/>
  <c r="H30" i="1" s="1"/>
  <c r="H111" i="1" s="1"/>
  <c r="I29" i="1"/>
  <c r="J29" i="1"/>
  <c r="K29" i="1"/>
  <c r="L29" i="1"/>
  <c r="M29" i="1"/>
  <c r="B29" i="1"/>
  <c r="C12" i="1"/>
  <c r="D12" i="1"/>
  <c r="E12" i="1"/>
  <c r="F12" i="1"/>
  <c r="G12" i="1"/>
  <c r="H12" i="1"/>
  <c r="I12" i="1"/>
  <c r="J12" i="1"/>
  <c r="K12" i="1"/>
  <c r="K30" i="1" s="1"/>
  <c r="L12" i="1"/>
  <c r="M12" i="1"/>
  <c r="B12" i="1"/>
  <c r="N9" i="1"/>
  <c r="N10" i="1"/>
  <c r="N11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2" i="1"/>
  <c r="N53" i="1"/>
  <c r="N54" i="1"/>
  <c r="N55" i="1"/>
  <c r="N56" i="1"/>
  <c r="N57" i="1"/>
  <c r="N59" i="1"/>
  <c r="N60" i="1"/>
  <c r="N61" i="1"/>
  <c r="N62" i="1"/>
  <c r="N63" i="1"/>
  <c r="N64" i="1"/>
  <c r="N66" i="1"/>
  <c r="N67" i="1"/>
  <c r="N68" i="1"/>
  <c r="N70" i="1"/>
  <c r="N71" i="1"/>
  <c r="N72" i="1"/>
  <c r="N73" i="1"/>
  <c r="N74" i="1"/>
  <c r="N75" i="1"/>
  <c r="N77" i="1"/>
  <c r="N78" i="1"/>
  <c r="N79" i="1"/>
  <c r="N80" i="1"/>
  <c r="N82" i="1"/>
  <c r="N83" i="1"/>
  <c r="N84" i="1"/>
  <c r="N85" i="1"/>
  <c r="N87" i="1"/>
  <c r="N88" i="1"/>
  <c r="N89" i="1"/>
  <c r="N91" i="1"/>
  <c r="N92" i="1"/>
  <c r="N93" i="1"/>
  <c r="N94" i="1"/>
  <c r="N95" i="1"/>
  <c r="N96" i="1"/>
  <c r="N97" i="1"/>
  <c r="N98" i="1"/>
  <c r="N99" i="1"/>
  <c r="N101" i="1"/>
  <c r="N102" i="1"/>
  <c r="N103" i="1"/>
  <c r="N104" i="1"/>
  <c r="N106" i="1"/>
  <c r="N107" i="1"/>
  <c r="N108" i="1"/>
  <c r="N8" i="1"/>
  <c r="B30" i="1" l="1"/>
  <c r="B111" i="1" s="1"/>
  <c r="K111" i="1"/>
  <c r="D30" i="1"/>
  <c r="D111" i="1" s="1"/>
  <c r="N109" i="1"/>
  <c r="C30" i="1"/>
  <c r="C111" i="1" s="1"/>
  <c r="L30" i="1"/>
  <c r="L111" i="1" s="1"/>
  <c r="G30" i="1"/>
  <c r="G111" i="1" s="1"/>
  <c r="N12" i="1"/>
  <c r="J30" i="1"/>
  <c r="J111" i="1" s="1"/>
  <c r="I30" i="1"/>
  <c r="I111" i="1" s="1"/>
  <c r="M30" i="1"/>
  <c r="M111" i="1" s="1"/>
  <c r="F30" i="1"/>
  <c r="F111" i="1" s="1"/>
  <c r="E30" i="1"/>
  <c r="E111" i="1" s="1"/>
  <c r="N29" i="1"/>
  <c r="N30" i="1" l="1"/>
  <c r="N111" i="1"/>
</calcChain>
</file>

<file path=xl/sharedStrings.xml><?xml version="1.0" encoding="utf-8"?>
<sst xmlns="http://schemas.openxmlformats.org/spreadsheetml/2006/main" count="112" uniqueCount="112">
  <si>
    <t>Account Name</t>
  </si>
  <si>
    <t>Total</t>
  </si>
  <si>
    <t>Operating Income &amp; Expense</t>
  </si>
  <si>
    <t xml:space="preserve">    Income</t>
  </si>
  <si>
    <t xml:space="preserve">        Rental Income</t>
  </si>
  <si>
    <t xml:space="preserve">            Rent</t>
  </si>
  <si>
    <t xml:space="preserve">            Short Term Rent</t>
  </si>
  <si>
    <t xml:space="preserve">            Pet Rent</t>
  </si>
  <si>
    <t xml:space="preserve">            Monthly Incentives</t>
  </si>
  <si>
    <t xml:space="preserve">        Total Rental Income</t>
  </si>
  <si>
    <t xml:space="preserve">        Miscellaneous Income</t>
  </si>
  <si>
    <t xml:space="preserve">            Tenant Charges</t>
  </si>
  <si>
    <t xml:space="preserve">            Application Fee</t>
  </si>
  <si>
    <t xml:space="preserve">            Administration Fee</t>
  </si>
  <si>
    <t xml:space="preserve">            Pet Fee</t>
  </si>
  <si>
    <t xml:space="preserve">            Transfer Fee</t>
  </si>
  <si>
    <t xml:space="preserve">            Late Fee</t>
  </si>
  <si>
    <t xml:space="preserve">            Cancellation Fee</t>
  </si>
  <si>
    <t xml:space="preserve">            NSF Fee</t>
  </si>
  <si>
    <t xml:space="preserve">            Damages Revenue</t>
  </si>
  <si>
    <t xml:space="preserve">            Telecommunications Revenue</t>
  </si>
  <si>
    <t xml:space="preserve">            Car Wash</t>
  </si>
  <si>
    <t xml:space="preserve">            MTM Fees</t>
  </si>
  <si>
    <t xml:space="preserve">            Clubhouse Rental</t>
  </si>
  <si>
    <t xml:space="preserve">            Processing Fee Income</t>
  </si>
  <si>
    <t xml:space="preserve">            Eviction Fee</t>
  </si>
  <si>
    <t xml:space="preserve">        Total Miscellaneous Income</t>
  </si>
  <si>
    <t xml:space="preserve">    Total Operating Income</t>
  </si>
  <si>
    <t xml:space="preserve">    Expense</t>
  </si>
  <si>
    <t xml:space="preserve">        Repairs &amp; Maintenance</t>
  </si>
  <si>
    <t xml:space="preserve">            Appliance Repair</t>
  </si>
  <si>
    <t xml:space="preserve">            Floor Cleaning</t>
  </si>
  <si>
    <t xml:space="preserve">            Cleaning Supplies</t>
  </si>
  <si>
    <t xml:space="preserve">            Electrical/Lighting Repairs</t>
  </si>
  <si>
    <t xml:space="preserve">            Elevators</t>
  </si>
  <si>
    <t xml:space="preserve">            Equipment Rental</t>
  </si>
  <si>
    <t xml:space="preserve">            Building Exterior</t>
  </si>
  <si>
    <t xml:space="preserve">            Pest Control</t>
  </si>
  <si>
    <t xml:space="preserve">            Hardware Supplies/Tools</t>
  </si>
  <si>
    <t xml:space="preserve">            HVAC (Heat, Ventilation, Air)</t>
  </si>
  <si>
    <t xml:space="preserve">            Interior Unit Repairs</t>
  </si>
  <si>
    <t xml:space="preserve">            Keys/Locks/Decals/Cards</t>
  </si>
  <si>
    <t xml:space="preserve">            Painting/Decor</t>
  </si>
  <si>
    <t xml:space="preserve">            Plumbing</t>
  </si>
  <si>
    <t xml:space="preserve">            Windows</t>
  </si>
  <si>
    <t xml:space="preserve">            Recreation Equipment R &amp; M</t>
  </si>
  <si>
    <t xml:space="preserve">            Golf Cart R &amp; M</t>
  </si>
  <si>
    <t xml:space="preserve">        Total Repairs &amp; Maintenance</t>
  </si>
  <si>
    <t xml:space="preserve">        Grounds Maintenance</t>
  </si>
  <si>
    <t xml:space="preserve">            Lawn Service</t>
  </si>
  <si>
    <t xml:space="preserve">            Tree-trimming</t>
  </si>
  <si>
    <t xml:space="preserve">            Pool/Spa</t>
  </si>
  <si>
    <t xml:space="preserve">            Irrigation System</t>
  </si>
  <si>
    <t xml:space="preserve">            Sidewalk Repair</t>
  </si>
  <si>
    <t xml:space="preserve">        Total Grounds Maintenance</t>
  </si>
  <si>
    <t xml:space="preserve">        Make Ready Expenses</t>
  </si>
  <si>
    <t xml:space="preserve">            Flooring Repair/Replace</t>
  </si>
  <si>
    <t xml:space="preserve">            Painting</t>
  </si>
  <si>
    <t xml:space="preserve">            Blinds</t>
  </si>
  <si>
    <t xml:space="preserve">            Cabinets/Countertop</t>
  </si>
  <si>
    <t xml:space="preserve">            A/C &amp; Dryer Vent cleaning</t>
  </si>
  <si>
    <t xml:space="preserve">        Total Make Ready Expenses</t>
  </si>
  <si>
    <t xml:space="preserve">        Security</t>
  </si>
  <si>
    <t xml:space="preserve">            Security/Courtesy Officers</t>
  </si>
  <si>
    <t xml:space="preserve">            Fire Protection</t>
  </si>
  <si>
    <t xml:space="preserve">        Total Security</t>
  </si>
  <si>
    <t xml:space="preserve">        Utilities</t>
  </si>
  <si>
    <t xml:space="preserve">            Electricity - Common Area</t>
  </si>
  <si>
    <t xml:space="preserve">            Electricity - Vacant Units</t>
  </si>
  <si>
    <t xml:space="preserve">            Water &amp; Sewer</t>
  </si>
  <si>
    <t xml:space="preserve">            Trash Removal</t>
  </si>
  <si>
    <t xml:space="preserve">            Gas</t>
  </si>
  <si>
    <t xml:space="preserve">        Total Utilities</t>
  </si>
  <si>
    <t xml:space="preserve">        Taxes &amp; Licenses</t>
  </si>
  <si>
    <t xml:space="preserve">            Real Estate Taxes</t>
  </si>
  <si>
    <t xml:space="preserve">            Personal Property Taxes</t>
  </si>
  <si>
    <t xml:space="preserve">            Licenses</t>
  </si>
  <si>
    <t xml:space="preserve">        Total Taxes &amp; Licenses</t>
  </si>
  <si>
    <t xml:space="preserve">        Insurance</t>
  </si>
  <si>
    <t xml:space="preserve">            General Liability</t>
  </si>
  <si>
    <t xml:space="preserve">            Umbrella Insurance</t>
  </si>
  <si>
    <t xml:space="preserve">            Property Insurance</t>
  </si>
  <si>
    <t xml:space="preserve">        Total Insurance</t>
  </si>
  <si>
    <t xml:space="preserve">        Leasing &amp; Promotion</t>
  </si>
  <si>
    <t xml:space="preserve">            Advertising &amp; Promotion</t>
  </si>
  <si>
    <t xml:space="preserve">            Tenant Referral</t>
  </si>
  <si>
    <t xml:space="preserve">        Total Leasing &amp; Promotion</t>
  </si>
  <si>
    <t xml:space="preserve">        General &amp; Administrative</t>
  </si>
  <si>
    <t xml:space="preserve">            Computer Supplies/Software</t>
  </si>
  <si>
    <t xml:space="preserve">            Credit/Background check</t>
  </si>
  <si>
    <t xml:space="preserve">            Office Expense</t>
  </si>
  <si>
    <t xml:space="preserve">            Mileage</t>
  </si>
  <si>
    <t xml:space="preserve">            Phones</t>
  </si>
  <si>
    <t xml:space="preserve">            Signs/Printing Materials</t>
  </si>
  <si>
    <t xml:space="preserve">            Bank Charges</t>
  </si>
  <si>
    <t xml:space="preserve">            Bad Debt Expense</t>
  </si>
  <si>
    <t xml:space="preserve">        Total General &amp; Administrative</t>
  </si>
  <si>
    <t xml:space="preserve">        Payroll/Benefits</t>
  </si>
  <si>
    <t xml:space="preserve">            Payroll - Leasing</t>
  </si>
  <si>
    <t xml:space="preserve">            Payroll - Maintenance</t>
  </si>
  <si>
    <t xml:space="preserve">            Payroll - Accounting/Mgt</t>
  </si>
  <si>
    <t xml:space="preserve">        Total Payroll/Benefits</t>
  </si>
  <si>
    <t xml:space="preserve">        Professional fees</t>
  </si>
  <si>
    <t xml:space="preserve">            Accounting Fees</t>
  </si>
  <si>
    <t xml:space="preserve">            Legal Expenses</t>
  </si>
  <si>
    <t xml:space="preserve">        Total Professional fees</t>
  </si>
  <si>
    <t xml:space="preserve">    Total Operating Expense</t>
  </si>
  <si>
    <t xml:space="preserve">    NOI - Net Operating Income</t>
  </si>
  <si>
    <t xml:space="preserve">Property Name : </t>
  </si>
  <si>
    <t>ABC Properties</t>
  </si>
  <si>
    <t>Income Statement :</t>
  </si>
  <si>
    <t>12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</si>
</sst>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#,##0.00;[Red]\-#,##0.00"/>
    <numFmt numFmtId="165" formatCode="_(* #,##0_);_(* \(#,##0\);_(* &quot;-&quot;??_);_(@_)"/>
    <numFmt numFmtId="166" formatCode="[$-409]mmm\-yy;@"/>
  </numFmts>
  <fonts count="8" x14ac:knownFonts="1">
    <font>
      <sz val="11"/>
      <name val="Arial"/>
      <family val="1"/>
    </font>
    <font>
      <b/>
      <sz val="8"/>
      <color rgb="FF303030"/>
      <name val="Arial"/>
      <family val="1"/>
    </font>
    <font>
      <sz val="8"/>
      <color rgb="FF303030"/>
      <name val="Arial"/>
      <family val="1"/>
    </font>
    <font>
      <sz val="8"/>
      <name val="Arial"/>
      <family val="1"/>
    </font>
    <font>
      <b/>
      <sz val="8"/>
      <color rgb="FF303030"/>
      <name val="Arial"/>
      <family val="2"/>
    </font>
    <font>
      <sz val="11"/>
      <color rgb="FFFFFFFF"/>
      <name val="Calibri"/>
      <family val="2"/>
    </font>
    <font>
      <b/>
      <sz val="8"/>
      <color theme="0"/>
      <name val="Arial"/>
      <family val="1"/>
    </font>
    <font>
      <b/>
      <sz val="11"/>
      <color rgb="FF155C9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5C9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rgb="FF30303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0" fontId="2" fillId="0" borderId="0" xfId="0" applyFont="1"/>
    <xf numFmtId="41" fontId="2" fillId="0" borderId="0" xfId="0" applyNumberFormat="1" applyFont="1" applyAlignment="1">
      <alignment horizontal="right"/>
    </xf>
    <xf numFmtId="41" fontId="0" fillId="0" borderId="0" xfId="0" applyNumberFormat="1"/>
    <xf numFmtId="41" fontId="1" fillId="0" borderId="2" xfId="0" applyNumberFormat="1" applyFont="1" applyBorder="1" applyAlignment="1">
      <alignment horizontal="right"/>
    </xf>
    <xf numFmtId="41" fontId="1" fillId="0" borderId="3" xfId="0" applyNumberFormat="1" applyFont="1" applyBorder="1" applyAlignment="1">
      <alignment horizontal="right"/>
    </xf>
    <xf numFmtId="41" fontId="1" fillId="0" borderId="4" xfId="0" applyNumberFormat="1" applyFont="1" applyBorder="1" applyAlignment="1">
      <alignment horizontal="right"/>
    </xf>
    <xf numFmtId="41" fontId="1" fillId="0" borderId="5" xfId="0" applyNumberFormat="1" applyFont="1" applyBorder="1" applyAlignment="1">
      <alignment horizontal="right"/>
    </xf>
    <xf numFmtId="41" fontId="1" fillId="0" borderId="6" xfId="0" applyNumberFormat="1" applyFont="1" applyBorder="1" applyAlignment="1">
      <alignment horizontal="right"/>
    </xf>
    <xf numFmtId="41" fontId="1" fillId="0" borderId="7" xfId="0" applyNumberFormat="1" applyFont="1" applyBorder="1" applyAlignment="1">
      <alignment horizontal="right"/>
    </xf>
    <xf numFmtId="41" fontId="1" fillId="0" borderId="8" xfId="0" applyNumberFormat="1" applyFont="1" applyBorder="1" applyAlignment="1">
      <alignment horizontal="right"/>
    </xf>
    <xf numFmtId="41" fontId="1" fillId="0" borderId="9" xfId="0" applyNumberFormat="1" applyFont="1" applyBorder="1" applyAlignment="1">
      <alignment horizontal="right"/>
    </xf>
    <xf numFmtId="41" fontId="1" fillId="0" borderId="10" xfId="0" applyNumberFormat="1" applyFont="1" applyBorder="1" applyAlignment="1">
      <alignment horizontal="right"/>
    </xf>
    <xf numFmtId="41" fontId="1" fillId="0" borderId="11" xfId="0" applyNumberFormat="1" applyFont="1" applyBorder="1" applyAlignment="1">
      <alignment horizontal="right"/>
    </xf>
    <xf numFmtId="41" fontId="1" fillId="0" borderId="12" xfId="0" applyNumberFormat="1" applyFont="1" applyBorder="1" applyAlignment="1">
      <alignment horizontal="right"/>
    </xf>
    <xf numFmtId="41" fontId="1" fillId="0" borderId="13" xfId="0" applyNumberFormat="1" applyFont="1" applyBorder="1" applyAlignment="1">
      <alignment horizontal="right"/>
    </xf>
    <xf numFmtId="41" fontId="1" fillId="0" borderId="0" xfId="0" applyNumberFormat="1" applyFont="1" applyAlignment="1">
      <alignment horizontal="right"/>
    </xf>
    <xf numFmtId="41" fontId="2" fillId="0" borderId="16" xfId="0" applyNumberFormat="1" applyFont="1" applyBorder="1" applyAlignment="1">
      <alignment horizontal="right"/>
    </xf>
    <xf numFmtId="41" fontId="4" fillId="0" borderId="15" xfId="0" applyNumberFormat="1" applyFont="1" applyBorder="1" applyAlignment="1">
      <alignment horizontal="right"/>
    </xf>
    <xf numFmtId="41" fontId="4" fillId="0" borderId="0" xfId="0" applyNumberFormat="1" applyFont="1" applyAlignment="1">
      <alignment horizontal="right"/>
    </xf>
    <xf numFmtId="41" fontId="2" fillId="0" borderId="14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0" fontId="5" fillId="2" borderId="17" xfId="0" applyFont="1" applyFill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3" borderId="0" xfId="0" applyFon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4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showGridLines="0" tabSelected="1" showOutlineSymbols="0" showWhiteSpace="0" workbookViewId="0">
      <pane xSplit="1" ySplit="4" topLeftCell="B5" activePane="bottomRight" state="frozen"/>
      <selection pane="topRight" activeCell="B1" sqref="B1"/>
      <selection pane="bottomLeft" activeCell="A7" sqref="A7"/>
      <selection pane="bottomRight" sqref="A1:A1048576"/>
    </sheetView>
  </sheetViews>
  <sheetFormatPr baseColWidth="10" defaultColWidth="8.83203125" defaultRowHeight="14" x14ac:dyDescent="0.15"/>
  <cols>
    <col min="1" max="1" width="22.6640625" bestFit="1" customWidth="1"/>
    <col min="2" max="2" width="9.1640625" customWidth="1"/>
    <col min="3" max="4" width="9.5" customWidth="1"/>
    <col min="5" max="6" width="9.1640625" customWidth="1"/>
    <col min="7" max="7" width="9.83203125" customWidth="1"/>
    <col min="8" max="8" width="9.1640625" customWidth="1"/>
    <col min="9" max="9" width="8.83203125" customWidth="1"/>
    <col min="10" max="10" width="8.6640625" customWidth="1"/>
    <col min="11" max="11" width="9" customWidth="1"/>
    <col min="12" max="12" width="8.6640625" customWidth="1"/>
    <col min="13" max="13" width="8.5" customWidth="1"/>
    <col min="14" max="14" width="10.1640625" customWidth="1"/>
  </cols>
  <sheetData>
    <row r="1" spans="1:15" ht="15" x14ac:dyDescent="0.2">
      <c r="A1" s="32" t="s">
        <v>108</v>
      </c>
      <c r="B1" t="s">
        <v>109</v>
      </c>
      <c r="C1" s="32"/>
      <c r="E1" s="32"/>
      <c r="G1" s="32"/>
      <c r="I1" s="32"/>
      <c r="K1" s="32"/>
      <c r="M1" s="32"/>
    </row>
    <row r="2" spans="1:15" ht="15" x14ac:dyDescent="0.2">
      <c r="A2" s="27" t="s">
        <v>110</v>
      </c>
      <c r="B2" s="28" t="s">
        <v>111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5" x14ac:dyDescent="0.15">
      <c r="A3" s="3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5" ht="15" x14ac:dyDescent="0.15">
      <c r="A4" s="24" t="s">
        <v>0</v>
      </c>
      <c r="B4" s="25">
        <v>44409</v>
      </c>
      <c r="C4" s="25">
        <v>44440</v>
      </c>
      <c r="D4" s="25">
        <v>44470</v>
      </c>
      <c r="E4" s="25">
        <v>44501</v>
      </c>
      <c r="F4" s="25">
        <v>44531</v>
      </c>
      <c r="G4" s="25">
        <v>44562</v>
      </c>
      <c r="H4" s="25">
        <v>44593</v>
      </c>
      <c r="I4" s="25">
        <v>44621</v>
      </c>
      <c r="J4" s="25">
        <v>44652</v>
      </c>
      <c r="K4" s="25">
        <v>44682</v>
      </c>
      <c r="L4" s="25">
        <v>44713</v>
      </c>
      <c r="M4" s="25">
        <v>44743</v>
      </c>
      <c r="N4" s="26" t="s">
        <v>1</v>
      </c>
    </row>
    <row r="5" spans="1:15" x14ac:dyDescent="0.15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5" x14ac:dyDescent="0.15">
      <c r="A6" s="1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5" x14ac:dyDescent="0.15">
      <c r="A7" s="1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5" x14ac:dyDescent="0.15">
      <c r="A8" s="3" t="s">
        <v>5</v>
      </c>
      <c r="B8" s="4">
        <v>394780</v>
      </c>
      <c r="C8" s="4">
        <v>400758</v>
      </c>
      <c r="D8" s="4">
        <v>402062</v>
      </c>
      <c r="E8" s="4">
        <v>402415</v>
      </c>
      <c r="F8" s="4">
        <v>402589</v>
      </c>
      <c r="G8" s="4">
        <v>402340</v>
      </c>
      <c r="H8" s="4">
        <v>399078</v>
      </c>
      <c r="I8" s="4">
        <v>396452</v>
      </c>
      <c r="J8" s="4">
        <v>401242</v>
      </c>
      <c r="K8" s="4">
        <v>398053</v>
      </c>
      <c r="L8" s="4">
        <v>403487</v>
      </c>
      <c r="M8" s="4">
        <v>404333</v>
      </c>
      <c r="N8" s="4">
        <f>SUM(B8:M8)</f>
        <v>4807589</v>
      </c>
      <c r="O8" s="5"/>
    </row>
    <row r="9" spans="1:15" x14ac:dyDescent="0.15">
      <c r="A9" s="3" t="s">
        <v>6</v>
      </c>
      <c r="B9" s="4">
        <v>100</v>
      </c>
      <c r="C9" s="4">
        <v>100</v>
      </c>
      <c r="D9" s="4">
        <v>-50</v>
      </c>
      <c r="E9" s="4">
        <v>150</v>
      </c>
      <c r="F9" s="4">
        <v>150</v>
      </c>
      <c r="G9" s="4">
        <v>175</v>
      </c>
      <c r="H9" s="4">
        <v>175</v>
      </c>
      <c r="I9" s="4">
        <v>200</v>
      </c>
      <c r="J9" s="4">
        <v>200</v>
      </c>
      <c r="K9" s="4">
        <v>200</v>
      </c>
      <c r="L9" s="4">
        <v>150</v>
      </c>
      <c r="M9" s="4">
        <v>150</v>
      </c>
      <c r="N9" s="4">
        <f t="shared" ref="N9:N72" si="0">SUM(B9:M9)</f>
        <v>1700</v>
      </c>
      <c r="O9" s="5"/>
    </row>
    <row r="10" spans="1:15" x14ac:dyDescent="0.15">
      <c r="A10" s="3" t="s">
        <v>7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20</v>
      </c>
      <c r="N10" s="4">
        <f t="shared" si="0"/>
        <v>20</v>
      </c>
      <c r="O10" s="5"/>
    </row>
    <row r="11" spans="1:15" x14ac:dyDescent="0.15">
      <c r="A11" s="3" t="s">
        <v>8</v>
      </c>
      <c r="B11" s="4">
        <v>-580</v>
      </c>
      <c r="C11" s="4">
        <v>-400</v>
      </c>
      <c r="D11" s="4">
        <v>-400</v>
      </c>
      <c r="E11" s="4">
        <v>-400</v>
      </c>
      <c r="F11" s="4">
        <v>-550</v>
      </c>
      <c r="G11" s="4">
        <v>-2028.5</v>
      </c>
      <c r="H11" s="4">
        <v>-300</v>
      </c>
      <c r="I11" s="4">
        <v>-531</v>
      </c>
      <c r="J11" s="4">
        <v>-200</v>
      </c>
      <c r="K11" s="4">
        <v>-200</v>
      </c>
      <c r="L11" s="4">
        <v>-200</v>
      </c>
      <c r="M11" s="4">
        <v>-200</v>
      </c>
      <c r="N11" s="4">
        <f t="shared" si="0"/>
        <v>-5989.5</v>
      </c>
      <c r="O11" s="5"/>
    </row>
    <row r="12" spans="1:15" x14ac:dyDescent="0.15">
      <c r="A12" s="1" t="s">
        <v>9</v>
      </c>
      <c r="B12" s="6">
        <f>SUM(B8:B11)</f>
        <v>394300</v>
      </c>
      <c r="C12" s="6">
        <f t="shared" ref="C12:M12" si="1">SUM(C8:C11)</f>
        <v>400458</v>
      </c>
      <c r="D12" s="6">
        <f t="shared" si="1"/>
        <v>401612</v>
      </c>
      <c r="E12" s="6">
        <f t="shared" si="1"/>
        <v>402165</v>
      </c>
      <c r="F12" s="6">
        <f t="shared" si="1"/>
        <v>402189</v>
      </c>
      <c r="G12" s="6">
        <f t="shared" si="1"/>
        <v>400486.5</v>
      </c>
      <c r="H12" s="6">
        <f t="shared" si="1"/>
        <v>398953</v>
      </c>
      <c r="I12" s="6">
        <f t="shared" si="1"/>
        <v>396121</v>
      </c>
      <c r="J12" s="6">
        <f t="shared" si="1"/>
        <v>401242</v>
      </c>
      <c r="K12" s="6">
        <f t="shared" si="1"/>
        <v>398053</v>
      </c>
      <c r="L12" s="6">
        <f t="shared" si="1"/>
        <v>403437</v>
      </c>
      <c r="M12" s="6">
        <f t="shared" si="1"/>
        <v>404303</v>
      </c>
      <c r="N12" s="20">
        <f t="shared" si="0"/>
        <v>4803319.5</v>
      </c>
      <c r="O12" s="5"/>
    </row>
    <row r="13" spans="1:15" x14ac:dyDescent="0.15">
      <c r="A13" s="1" t="s">
        <v>10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4"/>
      <c r="O13" s="5"/>
    </row>
    <row r="14" spans="1:15" x14ac:dyDescent="0.15">
      <c r="A14" s="3" t="s">
        <v>11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25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f t="shared" si="0"/>
        <v>25</v>
      </c>
      <c r="O14" s="5"/>
    </row>
    <row r="15" spans="1:15" x14ac:dyDescent="0.15">
      <c r="A15" s="3" t="s">
        <v>12</v>
      </c>
      <c r="B15" s="4">
        <v>405</v>
      </c>
      <c r="C15" s="4">
        <v>405</v>
      </c>
      <c r="D15" s="4">
        <v>495</v>
      </c>
      <c r="E15" s="4">
        <v>180</v>
      </c>
      <c r="F15" s="4">
        <v>180</v>
      </c>
      <c r="G15" s="4">
        <v>180</v>
      </c>
      <c r="H15" s="4">
        <v>360</v>
      </c>
      <c r="I15" s="4">
        <v>225</v>
      </c>
      <c r="J15" s="4">
        <v>225</v>
      </c>
      <c r="K15" s="4">
        <v>360</v>
      </c>
      <c r="L15" s="4">
        <v>450</v>
      </c>
      <c r="M15" s="4">
        <v>495</v>
      </c>
      <c r="N15" s="4">
        <f t="shared" si="0"/>
        <v>3960</v>
      </c>
      <c r="O15" s="5"/>
    </row>
    <row r="16" spans="1:15" x14ac:dyDescent="0.15">
      <c r="A16" s="3" t="s">
        <v>13</v>
      </c>
      <c r="B16" s="4">
        <v>500</v>
      </c>
      <c r="C16" s="4">
        <v>1000</v>
      </c>
      <c r="D16" s="4">
        <v>750</v>
      </c>
      <c r="E16" s="4">
        <v>750</v>
      </c>
      <c r="F16" s="4">
        <v>250</v>
      </c>
      <c r="G16" s="4">
        <v>1000</v>
      </c>
      <c r="H16" s="4">
        <v>500</v>
      </c>
      <c r="I16" s="4">
        <v>500</v>
      </c>
      <c r="J16" s="4">
        <v>750</v>
      </c>
      <c r="K16" s="4">
        <v>750</v>
      </c>
      <c r="L16" s="4">
        <v>750</v>
      </c>
      <c r="M16" s="4">
        <v>1000</v>
      </c>
      <c r="N16" s="4">
        <f t="shared" si="0"/>
        <v>8500</v>
      </c>
      <c r="O16" s="5"/>
    </row>
    <row r="17" spans="1:15" x14ac:dyDescent="0.15">
      <c r="A17" s="3" t="s">
        <v>14</v>
      </c>
      <c r="B17" s="4">
        <v>800</v>
      </c>
      <c r="C17" s="4">
        <v>0</v>
      </c>
      <c r="D17" s="4">
        <v>0</v>
      </c>
      <c r="E17" s="4">
        <v>500</v>
      </c>
      <c r="F17" s="4">
        <v>500</v>
      </c>
      <c r="G17" s="4">
        <v>300</v>
      </c>
      <c r="H17" s="4">
        <v>0</v>
      </c>
      <c r="I17" s="4">
        <v>0</v>
      </c>
      <c r="J17" s="4">
        <v>0</v>
      </c>
      <c r="K17" s="4">
        <v>300</v>
      </c>
      <c r="L17" s="4">
        <v>0</v>
      </c>
      <c r="M17" s="4">
        <v>0</v>
      </c>
      <c r="N17" s="4">
        <f t="shared" si="0"/>
        <v>2400</v>
      </c>
      <c r="O17" s="5"/>
    </row>
    <row r="18" spans="1:15" x14ac:dyDescent="0.15">
      <c r="A18" s="3" t="s">
        <v>15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700</v>
      </c>
      <c r="K18" s="4">
        <v>0</v>
      </c>
      <c r="L18" s="4">
        <v>350</v>
      </c>
      <c r="M18" s="4">
        <v>0</v>
      </c>
      <c r="N18" s="4">
        <f t="shared" si="0"/>
        <v>1050</v>
      </c>
      <c r="O18" s="5"/>
    </row>
    <row r="19" spans="1:15" x14ac:dyDescent="0.15">
      <c r="A19" s="3" t="s">
        <v>16</v>
      </c>
      <c r="B19" s="4">
        <v>1800</v>
      </c>
      <c r="C19" s="4">
        <v>1275</v>
      </c>
      <c r="D19" s="4">
        <v>1875</v>
      </c>
      <c r="E19" s="4">
        <v>1575</v>
      </c>
      <c r="F19" s="4">
        <v>1500</v>
      </c>
      <c r="G19" s="4">
        <v>1950</v>
      </c>
      <c r="H19" s="4">
        <v>825</v>
      </c>
      <c r="I19" s="4">
        <v>2175</v>
      </c>
      <c r="J19" s="4">
        <v>1650</v>
      </c>
      <c r="K19" s="4">
        <v>1200</v>
      </c>
      <c r="L19" s="4">
        <v>0</v>
      </c>
      <c r="M19" s="4">
        <v>0</v>
      </c>
      <c r="N19" s="4">
        <f t="shared" si="0"/>
        <v>15825</v>
      </c>
      <c r="O19" s="5"/>
    </row>
    <row r="20" spans="1:15" x14ac:dyDescent="0.15">
      <c r="A20" s="3" t="s">
        <v>17</v>
      </c>
      <c r="B20" s="4">
        <v>4958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2365</v>
      </c>
      <c r="I20" s="4">
        <v>1800</v>
      </c>
      <c r="J20" s="4">
        <v>0</v>
      </c>
      <c r="K20" s="4">
        <v>1425</v>
      </c>
      <c r="L20" s="4">
        <v>0</v>
      </c>
      <c r="M20" s="4">
        <v>0</v>
      </c>
      <c r="N20" s="4">
        <f t="shared" si="0"/>
        <v>10548</v>
      </c>
      <c r="O20" s="5"/>
    </row>
    <row r="21" spans="1:15" x14ac:dyDescent="0.15">
      <c r="A21" s="3" t="s">
        <v>18</v>
      </c>
      <c r="B21" s="4">
        <v>150</v>
      </c>
      <c r="C21" s="4">
        <v>50</v>
      </c>
      <c r="D21" s="4">
        <v>200</v>
      </c>
      <c r="E21" s="4">
        <v>150</v>
      </c>
      <c r="F21" s="4">
        <v>350</v>
      </c>
      <c r="G21" s="4">
        <v>200</v>
      </c>
      <c r="H21" s="4">
        <v>200</v>
      </c>
      <c r="I21" s="4">
        <v>300</v>
      </c>
      <c r="J21" s="4">
        <v>200</v>
      </c>
      <c r="K21" s="4">
        <v>50</v>
      </c>
      <c r="L21" s="4">
        <v>100</v>
      </c>
      <c r="M21" s="4">
        <v>-50</v>
      </c>
      <c r="N21" s="4">
        <f t="shared" si="0"/>
        <v>1900</v>
      </c>
      <c r="O21" s="5"/>
    </row>
    <row r="22" spans="1:15" x14ac:dyDescent="0.15">
      <c r="A22" s="3" t="s">
        <v>19</v>
      </c>
      <c r="B22" s="4">
        <v>1281</v>
      </c>
      <c r="C22" s="4">
        <v>20</v>
      </c>
      <c r="D22" s="4">
        <v>529</v>
      </c>
      <c r="E22" s="4">
        <v>1770</v>
      </c>
      <c r="F22" s="4">
        <v>1089</v>
      </c>
      <c r="G22" s="4">
        <v>950</v>
      </c>
      <c r="H22" s="4">
        <v>126</v>
      </c>
      <c r="I22" s="4">
        <v>794</v>
      </c>
      <c r="J22" s="4">
        <v>0</v>
      </c>
      <c r="K22" s="4">
        <v>0</v>
      </c>
      <c r="L22" s="4">
        <v>0</v>
      </c>
      <c r="M22" s="4">
        <v>585</v>
      </c>
      <c r="N22" s="4">
        <f t="shared" si="0"/>
        <v>7144</v>
      </c>
      <c r="O22" s="5"/>
    </row>
    <row r="23" spans="1:15" x14ac:dyDescent="0.15">
      <c r="A23" s="3" t="s">
        <v>20</v>
      </c>
      <c r="B23" s="4">
        <v>0</v>
      </c>
      <c r="C23" s="4">
        <v>0</v>
      </c>
      <c r="D23" s="4">
        <v>1833.05</v>
      </c>
      <c r="E23" s="4">
        <v>0</v>
      </c>
      <c r="F23" s="4">
        <v>0</v>
      </c>
      <c r="G23" s="4">
        <v>1978.4</v>
      </c>
      <c r="H23" s="4">
        <v>48</v>
      </c>
      <c r="I23" s="4">
        <v>0</v>
      </c>
      <c r="J23" s="4">
        <v>1992.63</v>
      </c>
      <c r="K23" s="4">
        <v>76</v>
      </c>
      <c r="L23" s="4">
        <v>0</v>
      </c>
      <c r="M23" s="4">
        <v>2026.57</v>
      </c>
      <c r="N23" s="4">
        <f t="shared" si="0"/>
        <v>7954.65</v>
      </c>
      <c r="O23" s="5"/>
    </row>
    <row r="24" spans="1:15" x14ac:dyDescent="0.15">
      <c r="A24" s="3" t="s">
        <v>21</v>
      </c>
      <c r="B24" s="4">
        <v>0</v>
      </c>
      <c r="C24" s="4">
        <v>0</v>
      </c>
      <c r="D24" s="4">
        <v>23</v>
      </c>
      <c r="E24" s="4">
        <v>26</v>
      </c>
      <c r="F24" s="4">
        <v>0</v>
      </c>
      <c r="G24" s="4">
        <v>25</v>
      </c>
      <c r="H24" s="4">
        <v>20</v>
      </c>
      <c r="I24" s="4">
        <v>24</v>
      </c>
      <c r="J24" s="4">
        <v>0</v>
      </c>
      <c r="K24" s="4">
        <v>0</v>
      </c>
      <c r="L24" s="4">
        <v>0</v>
      </c>
      <c r="M24" s="4">
        <v>16</v>
      </c>
      <c r="N24" s="4">
        <f t="shared" si="0"/>
        <v>134</v>
      </c>
      <c r="O24" s="5"/>
    </row>
    <row r="25" spans="1:15" x14ac:dyDescent="0.15">
      <c r="A25" s="3" t="s">
        <v>22</v>
      </c>
      <c r="B25" s="4">
        <v>450</v>
      </c>
      <c r="C25" s="4">
        <v>450</v>
      </c>
      <c r="D25" s="4">
        <v>450</v>
      </c>
      <c r="E25" s="4">
        <v>300</v>
      </c>
      <c r="F25" s="4">
        <v>300</v>
      </c>
      <c r="G25" s="4">
        <v>450</v>
      </c>
      <c r="H25" s="4">
        <v>150</v>
      </c>
      <c r="I25" s="4">
        <v>300</v>
      </c>
      <c r="J25" s="4">
        <v>450</v>
      </c>
      <c r="K25" s="4">
        <v>375</v>
      </c>
      <c r="L25" s="4">
        <v>675</v>
      </c>
      <c r="M25" s="4">
        <v>525</v>
      </c>
      <c r="N25" s="4">
        <f t="shared" si="0"/>
        <v>4875</v>
      </c>
      <c r="O25" s="5"/>
    </row>
    <row r="26" spans="1:15" x14ac:dyDescent="0.15">
      <c r="A26" s="3" t="s">
        <v>23</v>
      </c>
      <c r="B26" s="4">
        <v>100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f t="shared" si="0"/>
        <v>100</v>
      </c>
      <c r="O26" s="5"/>
    </row>
    <row r="27" spans="1:15" x14ac:dyDescent="0.15">
      <c r="A27" s="3" t="s">
        <v>24</v>
      </c>
      <c r="B27" s="4">
        <v>10</v>
      </c>
      <c r="C27" s="4">
        <v>20</v>
      </c>
      <c r="D27" s="4">
        <v>40</v>
      </c>
      <c r="E27" s="4">
        <v>50</v>
      </c>
      <c r="F27" s="4">
        <v>40</v>
      </c>
      <c r="G27" s="4">
        <v>30</v>
      </c>
      <c r="H27" s="4">
        <v>50</v>
      </c>
      <c r="I27" s="4">
        <v>50</v>
      </c>
      <c r="J27" s="4">
        <v>30</v>
      </c>
      <c r="K27" s="4">
        <v>30</v>
      </c>
      <c r="L27" s="4">
        <v>10</v>
      </c>
      <c r="M27" s="4">
        <v>10</v>
      </c>
      <c r="N27" s="4">
        <f t="shared" si="0"/>
        <v>370</v>
      </c>
      <c r="O27" s="5"/>
    </row>
    <row r="28" spans="1:15" x14ac:dyDescent="0.15">
      <c r="A28" s="3" t="s">
        <v>25</v>
      </c>
      <c r="B28" s="4">
        <v>0</v>
      </c>
      <c r="C28" s="4">
        <v>0</v>
      </c>
      <c r="D28" s="4">
        <v>0</v>
      </c>
      <c r="E28" s="4">
        <v>0</v>
      </c>
      <c r="F28" s="4">
        <v>453</v>
      </c>
      <c r="G28" s="4">
        <v>558</v>
      </c>
      <c r="H28" s="4">
        <v>0</v>
      </c>
      <c r="I28" s="4">
        <v>423</v>
      </c>
      <c r="J28" s="4">
        <v>0</v>
      </c>
      <c r="K28" s="4">
        <v>0</v>
      </c>
      <c r="L28" s="4">
        <v>0</v>
      </c>
      <c r="M28" s="4">
        <v>0</v>
      </c>
      <c r="N28" s="19">
        <f t="shared" si="0"/>
        <v>1434</v>
      </c>
      <c r="O28" s="5"/>
    </row>
    <row r="29" spans="1:15" x14ac:dyDescent="0.15">
      <c r="A29" s="1" t="s">
        <v>26</v>
      </c>
      <c r="B29" s="6">
        <f>SUM(B14:B28)</f>
        <v>10454</v>
      </c>
      <c r="C29" s="6">
        <f t="shared" ref="C29:M29" si="2">SUM(C14:C28)</f>
        <v>3220</v>
      </c>
      <c r="D29" s="6">
        <f t="shared" si="2"/>
        <v>6195.05</v>
      </c>
      <c r="E29" s="6">
        <f t="shared" si="2"/>
        <v>5301</v>
      </c>
      <c r="F29" s="6">
        <f t="shared" si="2"/>
        <v>4662</v>
      </c>
      <c r="G29" s="6">
        <f t="shared" si="2"/>
        <v>7621.4</v>
      </c>
      <c r="H29" s="6">
        <f t="shared" si="2"/>
        <v>4669</v>
      </c>
      <c r="I29" s="6">
        <f t="shared" si="2"/>
        <v>6591</v>
      </c>
      <c r="J29" s="6">
        <f t="shared" si="2"/>
        <v>5997.63</v>
      </c>
      <c r="K29" s="6">
        <f t="shared" si="2"/>
        <v>4566</v>
      </c>
      <c r="L29" s="6">
        <f t="shared" si="2"/>
        <v>2335</v>
      </c>
      <c r="M29" s="6">
        <f t="shared" si="2"/>
        <v>4607.57</v>
      </c>
      <c r="N29" s="21">
        <f t="shared" si="0"/>
        <v>66219.649999999994</v>
      </c>
      <c r="O29" s="5"/>
    </row>
    <row r="30" spans="1:15" x14ac:dyDescent="0.15">
      <c r="A30" s="1" t="s">
        <v>27</v>
      </c>
      <c r="B30" s="6">
        <f>B29+B12</f>
        <v>404754</v>
      </c>
      <c r="C30" s="6">
        <f t="shared" ref="C30:M30" si="3">C29+C12</f>
        <v>403678</v>
      </c>
      <c r="D30" s="6">
        <f t="shared" si="3"/>
        <v>407807.05</v>
      </c>
      <c r="E30" s="6">
        <f t="shared" si="3"/>
        <v>407466</v>
      </c>
      <c r="F30" s="6">
        <f t="shared" si="3"/>
        <v>406851</v>
      </c>
      <c r="G30" s="6">
        <f t="shared" si="3"/>
        <v>408107.9</v>
      </c>
      <c r="H30" s="6">
        <f t="shared" si="3"/>
        <v>403622</v>
      </c>
      <c r="I30" s="6">
        <f t="shared" si="3"/>
        <v>402712</v>
      </c>
      <c r="J30" s="6">
        <f t="shared" si="3"/>
        <v>407239.63</v>
      </c>
      <c r="K30" s="6">
        <f t="shared" si="3"/>
        <v>402619</v>
      </c>
      <c r="L30" s="6">
        <f t="shared" si="3"/>
        <v>405772</v>
      </c>
      <c r="M30" s="6">
        <f t="shared" si="3"/>
        <v>408910.57</v>
      </c>
      <c r="N30" s="20">
        <f t="shared" si="0"/>
        <v>4869539.1500000004</v>
      </c>
      <c r="O30" s="5"/>
    </row>
    <row r="31" spans="1:15" x14ac:dyDescent="0.15">
      <c r="A31" s="1" t="s">
        <v>28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4"/>
      <c r="O31" s="5"/>
    </row>
    <row r="32" spans="1:15" x14ac:dyDescent="0.15">
      <c r="A32" s="1" t="s">
        <v>29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4"/>
      <c r="O32" s="5"/>
    </row>
    <row r="33" spans="1:15" x14ac:dyDescent="0.15">
      <c r="A33" s="3" t="s">
        <v>30</v>
      </c>
      <c r="B33" s="4">
        <v>206.51</v>
      </c>
      <c r="C33" s="4">
        <v>160.72999999999999</v>
      </c>
      <c r="D33" s="4">
        <v>64.2</v>
      </c>
      <c r="E33" s="4">
        <v>1257.3900000000001</v>
      </c>
      <c r="F33" s="4">
        <v>887.46</v>
      </c>
      <c r="G33" s="4">
        <v>390.98</v>
      </c>
      <c r="H33" s="4">
        <v>546.74</v>
      </c>
      <c r="I33" s="4">
        <v>481.23</v>
      </c>
      <c r="J33" s="4">
        <v>1029.95</v>
      </c>
      <c r="K33" s="4">
        <v>151.75</v>
      </c>
      <c r="L33" s="4">
        <v>437.6</v>
      </c>
      <c r="M33" s="4">
        <v>0</v>
      </c>
      <c r="N33" s="4">
        <f t="shared" si="0"/>
        <v>5614.5400000000009</v>
      </c>
      <c r="O33" s="5"/>
    </row>
    <row r="34" spans="1:15" x14ac:dyDescent="0.15">
      <c r="A34" s="3" t="s">
        <v>31</v>
      </c>
      <c r="B34" s="4">
        <v>1335</v>
      </c>
      <c r="C34" s="4">
        <v>2115</v>
      </c>
      <c r="D34" s="4">
        <v>1875</v>
      </c>
      <c r="E34" s="4">
        <v>1580</v>
      </c>
      <c r="F34" s="4">
        <v>1555</v>
      </c>
      <c r="G34" s="4">
        <v>1050</v>
      </c>
      <c r="H34" s="4">
        <v>1665</v>
      </c>
      <c r="I34" s="4">
        <v>1140</v>
      </c>
      <c r="J34" s="4">
        <v>870</v>
      </c>
      <c r="K34" s="4">
        <v>1693</v>
      </c>
      <c r="L34" s="4">
        <v>375</v>
      </c>
      <c r="M34" s="4">
        <v>840</v>
      </c>
      <c r="N34" s="4">
        <f t="shared" si="0"/>
        <v>16093</v>
      </c>
      <c r="O34" s="5"/>
    </row>
    <row r="35" spans="1:15" x14ac:dyDescent="0.15">
      <c r="A35" s="3" t="s">
        <v>32</v>
      </c>
      <c r="B35" s="4">
        <v>1215.68</v>
      </c>
      <c r="C35" s="4">
        <v>116.39</v>
      </c>
      <c r="D35" s="4">
        <v>450.41</v>
      </c>
      <c r="E35" s="4">
        <v>310.26</v>
      </c>
      <c r="F35" s="4">
        <v>382.6</v>
      </c>
      <c r="G35" s="4">
        <v>453.85</v>
      </c>
      <c r="H35" s="4">
        <v>411.53</v>
      </c>
      <c r="I35" s="4">
        <v>658.23</v>
      </c>
      <c r="J35" s="4">
        <v>751.14</v>
      </c>
      <c r="K35" s="4">
        <v>1782.71</v>
      </c>
      <c r="L35" s="4">
        <v>772.36</v>
      </c>
      <c r="M35" s="4">
        <v>1311.7</v>
      </c>
      <c r="N35" s="4">
        <f t="shared" si="0"/>
        <v>8616.86</v>
      </c>
      <c r="O35" s="5"/>
    </row>
    <row r="36" spans="1:15" x14ac:dyDescent="0.15">
      <c r="A36" s="3" t="s">
        <v>33</v>
      </c>
      <c r="B36" s="4">
        <v>0</v>
      </c>
      <c r="C36" s="4">
        <v>916.56</v>
      </c>
      <c r="D36" s="4">
        <v>724.42</v>
      </c>
      <c r="E36" s="4">
        <v>3060.65</v>
      </c>
      <c r="F36" s="4">
        <v>31.98</v>
      </c>
      <c r="G36" s="4">
        <v>401.35</v>
      </c>
      <c r="H36" s="4">
        <v>716.52</v>
      </c>
      <c r="I36" s="4">
        <v>980.23</v>
      </c>
      <c r="J36" s="4">
        <v>2133.14</v>
      </c>
      <c r="K36" s="4">
        <v>84.87</v>
      </c>
      <c r="L36" s="4">
        <v>243.82</v>
      </c>
      <c r="M36" s="4">
        <v>796.6</v>
      </c>
      <c r="N36" s="4">
        <f t="shared" si="0"/>
        <v>10090.14</v>
      </c>
      <c r="O36" s="5"/>
    </row>
    <row r="37" spans="1:15" x14ac:dyDescent="0.15">
      <c r="A37" s="3" t="s">
        <v>34</v>
      </c>
      <c r="B37" s="4">
        <v>175.19</v>
      </c>
      <c r="C37" s="4">
        <v>175.19</v>
      </c>
      <c r="D37" s="4">
        <v>175.19</v>
      </c>
      <c r="E37" s="4">
        <v>175.19</v>
      </c>
      <c r="F37" s="4">
        <v>178.13</v>
      </c>
      <c r="G37" s="4">
        <v>178.13</v>
      </c>
      <c r="H37" s="4">
        <v>363.13</v>
      </c>
      <c r="I37" s="4">
        <v>178.13</v>
      </c>
      <c r="J37" s="4">
        <v>178.13</v>
      </c>
      <c r="K37" s="4">
        <v>178.13</v>
      </c>
      <c r="L37" s="4">
        <v>178.13</v>
      </c>
      <c r="M37" s="4">
        <v>288.13</v>
      </c>
      <c r="N37" s="4">
        <f t="shared" si="0"/>
        <v>2420.8000000000006</v>
      </c>
      <c r="O37" s="5"/>
    </row>
    <row r="38" spans="1:15" x14ac:dyDescent="0.15">
      <c r="A38" s="3" t="s">
        <v>35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666.19</v>
      </c>
      <c r="H38" s="4">
        <v>160.5</v>
      </c>
      <c r="I38" s="4">
        <v>160.5</v>
      </c>
      <c r="J38" s="4">
        <v>160.5</v>
      </c>
      <c r="K38" s="4">
        <v>160.5</v>
      </c>
      <c r="L38" s="4">
        <v>160.5</v>
      </c>
      <c r="M38" s="4">
        <v>160.5</v>
      </c>
      <c r="N38" s="4">
        <f t="shared" si="0"/>
        <v>1629.19</v>
      </c>
      <c r="O38" s="5"/>
    </row>
    <row r="39" spans="1:15" x14ac:dyDescent="0.15">
      <c r="A39" s="3" t="s">
        <v>36</v>
      </c>
      <c r="B39" s="4">
        <v>0</v>
      </c>
      <c r="C39" s="4">
        <v>2550</v>
      </c>
      <c r="D39" s="4">
        <v>4350</v>
      </c>
      <c r="E39" s="4">
        <v>2450</v>
      </c>
      <c r="F39" s="4">
        <v>7400</v>
      </c>
      <c r="G39" s="4">
        <v>1700</v>
      </c>
      <c r="H39" s="4">
        <v>750</v>
      </c>
      <c r="I39" s="4">
        <v>2000</v>
      </c>
      <c r="J39" s="4">
        <v>0</v>
      </c>
      <c r="K39" s="4">
        <v>0</v>
      </c>
      <c r="L39" s="4">
        <v>0</v>
      </c>
      <c r="M39" s="4">
        <v>850</v>
      </c>
      <c r="N39" s="4">
        <f t="shared" si="0"/>
        <v>22050</v>
      </c>
      <c r="O39" s="5"/>
    </row>
    <row r="40" spans="1:15" x14ac:dyDescent="0.15">
      <c r="A40" s="3" t="s">
        <v>37</v>
      </c>
      <c r="B40" s="4">
        <v>1790</v>
      </c>
      <c r="C40" s="4">
        <v>990</v>
      </c>
      <c r="D40" s="4">
        <v>990</v>
      </c>
      <c r="E40" s="4">
        <v>990</v>
      </c>
      <c r="F40" s="4">
        <v>1790</v>
      </c>
      <c r="G40" s="4">
        <v>1370</v>
      </c>
      <c r="H40" s="4">
        <v>865</v>
      </c>
      <c r="I40" s="4">
        <v>18729.990000000002</v>
      </c>
      <c r="J40" s="4">
        <v>1230</v>
      </c>
      <c r="K40" s="4">
        <v>880</v>
      </c>
      <c r="L40" s="4">
        <v>880</v>
      </c>
      <c r="M40" s="4">
        <v>1230</v>
      </c>
      <c r="N40" s="4">
        <f t="shared" si="0"/>
        <v>31734.99</v>
      </c>
      <c r="O40" s="5"/>
    </row>
    <row r="41" spans="1:15" x14ac:dyDescent="0.15">
      <c r="A41" s="3" t="s">
        <v>38</v>
      </c>
      <c r="B41" s="4">
        <v>587.80999999999995</v>
      </c>
      <c r="C41" s="4">
        <v>420.58</v>
      </c>
      <c r="D41" s="4">
        <v>748.37</v>
      </c>
      <c r="E41" s="4">
        <v>373.35</v>
      </c>
      <c r="F41" s="4">
        <v>937.15</v>
      </c>
      <c r="G41" s="4">
        <v>1258.52</v>
      </c>
      <c r="H41" s="4">
        <v>367.01</v>
      </c>
      <c r="I41" s="4">
        <v>939.73</v>
      </c>
      <c r="J41" s="4">
        <v>753.22</v>
      </c>
      <c r="K41" s="4">
        <v>237.83</v>
      </c>
      <c r="L41" s="4">
        <v>485.85</v>
      </c>
      <c r="M41" s="4">
        <v>399.59</v>
      </c>
      <c r="N41" s="4">
        <f t="shared" si="0"/>
        <v>7509.0100000000011</v>
      </c>
      <c r="O41" s="5"/>
    </row>
    <row r="42" spans="1:15" x14ac:dyDescent="0.15">
      <c r="A42" s="3" t="s">
        <v>39</v>
      </c>
      <c r="B42" s="4">
        <v>211.86</v>
      </c>
      <c r="C42" s="4">
        <v>1769.08</v>
      </c>
      <c r="D42" s="4">
        <v>2519.02</v>
      </c>
      <c r="E42" s="4">
        <v>571.01</v>
      </c>
      <c r="F42" s="4">
        <v>196.63</v>
      </c>
      <c r="G42" s="4">
        <v>2141.8000000000002</v>
      </c>
      <c r="H42" s="4">
        <v>1257.21</v>
      </c>
      <c r="I42" s="4">
        <v>625.1</v>
      </c>
      <c r="J42" s="4">
        <v>2789.21</v>
      </c>
      <c r="K42" s="4">
        <v>1494.56</v>
      </c>
      <c r="L42" s="4">
        <v>1751.96</v>
      </c>
      <c r="M42" s="4">
        <v>7070.98</v>
      </c>
      <c r="N42" s="4">
        <f t="shared" si="0"/>
        <v>22398.420000000002</v>
      </c>
      <c r="O42" s="5"/>
    </row>
    <row r="43" spans="1:15" x14ac:dyDescent="0.15">
      <c r="A43" s="3" t="s">
        <v>40</v>
      </c>
      <c r="B43" s="4">
        <v>7850.75</v>
      </c>
      <c r="C43" s="4">
        <v>6830.75</v>
      </c>
      <c r="D43" s="4">
        <v>6650.75</v>
      </c>
      <c r="E43" s="4">
        <v>6788.78</v>
      </c>
      <c r="F43" s="4">
        <v>7580.75</v>
      </c>
      <c r="G43" s="4">
        <v>8000.75</v>
      </c>
      <c r="H43" s="4">
        <v>8153.36</v>
      </c>
      <c r="I43" s="4">
        <v>345</v>
      </c>
      <c r="J43" s="4">
        <v>0</v>
      </c>
      <c r="K43" s="4">
        <v>0</v>
      </c>
      <c r="L43" s="4">
        <v>180</v>
      </c>
      <c r="M43" s="4">
        <v>80</v>
      </c>
      <c r="N43" s="4">
        <f t="shared" si="0"/>
        <v>52460.89</v>
      </c>
      <c r="O43" s="5"/>
    </row>
    <row r="44" spans="1:15" x14ac:dyDescent="0.15">
      <c r="A44" s="3" t="s">
        <v>41</v>
      </c>
      <c r="B44" s="4">
        <v>-56</v>
      </c>
      <c r="C44" s="4">
        <v>-124</v>
      </c>
      <c r="D44" s="4">
        <v>399.95</v>
      </c>
      <c r="E44" s="4">
        <v>-115</v>
      </c>
      <c r="F44" s="4">
        <v>-28</v>
      </c>
      <c r="G44" s="4">
        <v>-11.34</v>
      </c>
      <c r="H44" s="4">
        <v>-31</v>
      </c>
      <c r="I44" s="4">
        <v>-77</v>
      </c>
      <c r="J44" s="4">
        <v>-25</v>
      </c>
      <c r="K44" s="4">
        <v>-53</v>
      </c>
      <c r="L44" s="4">
        <v>0</v>
      </c>
      <c r="M44" s="4">
        <v>13.46</v>
      </c>
      <c r="N44" s="4">
        <f t="shared" si="0"/>
        <v>-106.93</v>
      </c>
      <c r="O44" s="5"/>
    </row>
    <row r="45" spans="1:15" x14ac:dyDescent="0.15">
      <c r="A45" s="3" t="s">
        <v>42</v>
      </c>
      <c r="B45" s="4">
        <v>517.41999999999996</v>
      </c>
      <c r="C45" s="4">
        <v>0</v>
      </c>
      <c r="D45" s="4">
        <v>0</v>
      </c>
      <c r="E45" s="4">
        <v>38.479999999999997</v>
      </c>
      <c r="F45" s="4">
        <v>74.349999999999994</v>
      </c>
      <c r="G45" s="4">
        <v>1400.44</v>
      </c>
      <c r="H45" s="4">
        <v>524.63</v>
      </c>
      <c r="I45" s="4">
        <v>149.09</v>
      </c>
      <c r="J45" s="4">
        <v>134.44</v>
      </c>
      <c r="K45" s="4">
        <v>145.93</v>
      </c>
      <c r="L45" s="4">
        <v>9.59</v>
      </c>
      <c r="M45" s="4">
        <v>175.66</v>
      </c>
      <c r="N45" s="4">
        <f t="shared" si="0"/>
        <v>3170.03</v>
      </c>
      <c r="O45" s="5"/>
    </row>
    <row r="46" spans="1:15" x14ac:dyDescent="0.15">
      <c r="A46" s="3" t="s">
        <v>43</v>
      </c>
      <c r="B46" s="4">
        <v>1676.23</v>
      </c>
      <c r="C46" s="4">
        <v>1491.44</v>
      </c>
      <c r="D46" s="4">
        <v>1410.3</v>
      </c>
      <c r="E46" s="4">
        <v>601.32000000000005</v>
      </c>
      <c r="F46" s="4">
        <v>1320</v>
      </c>
      <c r="G46" s="4">
        <v>1575.87</v>
      </c>
      <c r="H46" s="4">
        <v>1583.84</v>
      </c>
      <c r="I46" s="4">
        <v>473.23</v>
      </c>
      <c r="J46" s="4">
        <v>2402.65</v>
      </c>
      <c r="K46" s="4">
        <v>925.15</v>
      </c>
      <c r="L46" s="4">
        <v>697.19</v>
      </c>
      <c r="M46" s="4">
        <v>2866.84</v>
      </c>
      <c r="N46" s="4">
        <f t="shared" si="0"/>
        <v>17024.059999999998</v>
      </c>
      <c r="O46" s="5"/>
    </row>
    <row r="47" spans="1:15" x14ac:dyDescent="0.15">
      <c r="A47" s="3" t="s">
        <v>44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155.15</v>
      </c>
      <c r="J47" s="4">
        <v>0</v>
      </c>
      <c r="K47" s="4">
        <v>0</v>
      </c>
      <c r="L47" s="4">
        <v>0</v>
      </c>
      <c r="M47" s="4">
        <v>148.19999999999999</v>
      </c>
      <c r="N47" s="4">
        <f t="shared" si="0"/>
        <v>303.35000000000002</v>
      </c>
      <c r="O47" s="5"/>
    </row>
    <row r="48" spans="1:15" x14ac:dyDescent="0.15">
      <c r="A48" s="3" t="s">
        <v>45</v>
      </c>
      <c r="B48" s="4">
        <v>96.3</v>
      </c>
      <c r="C48" s="4">
        <v>0</v>
      </c>
      <c r="D48" s="4">
        <v>299.60000000000002</v>
      </c>
      <c r="E48" s="4">
        <v>0</v>
      </c>
      <c r="F48" s="4">
        <v>0</v>
      </c>
      <c r="G48" s="4">
        <v>285.29000000000002</v>
      </c>
      <c r="H48" s="4">
        <v>149.80000000000001</v>
      </c>
      <c r="I48" s="4">
        <v>0</v>
      </c>
      <c r="J48" s="4">
        <v>149.80000000000001</v>
      </c>
      <c r="K48" s="4">
        <v>0</v>
      </c>
      <c r="L48" s="4">
        <v>0</v>
      </c>
      <c r="M48" s="4">
        <v>0</v>
      </c>
      <c r="N48" s="4">
        <f t="shared" si="0"/>
        <v>980.79</v>
      </c>
      <c r="O48" s="5"/>
    </row>
    <row r="49" spans="1:15" x14ac:dyDescent="0.15">
      <c r="A49" s="3" t="s">
        <v>46</v>
      </c>
      <c r="B49" s="4">
        <v>0</v>
      </c>
      <c r="C49" s="4">
        <v>0</v>
      </c>
      <c r="D49" s="4">
        <v>0</v>
      </c>
      <c r="E49" s="4">
        <v>0</v>
      </c>
      <c r="F49" s="4">
        <v>247.15</v>
      </c>
      <c r="G49" s="4">
        <v>564.42999999999995</v>
      </c>
      <c r="H49" s="4">
        <v>0</v>
      </c>
      <c r="I49" s="4">
        <v>0</v>
      </c>
      <c r="J49" s="4">
        <v>1000.45</v>
      </c>
      <c r="K49" s="4">
        <v>1587.88</v>
      </c>
      <c r="L49" s="4">
        <v>0</v>
      </c>
      <c r="M49" s="4">
        <v>0</v>
      </c>
      <c r="N49" s="19">
        <f t="shared" si="0"/>
        <v>3399.91</v>
      </c>
      <c r="O49" s="5"/>
    </row>
    <row r="50" spans="1:15" x14ac:dyDescent="0.15">
      <c r="A50" s="1" t="s">
        <v>47</v>
      </c>
      <c r="B50" s="6">
        <f>SUM(B33:B49)</f>
        <v>15606.749999999998</v>
      </c>
      <c r="C50" s="6">
        <f t="shared" ref="C50:M50" si="4">SUM(C33:C49)</f>
        <v>17411.719999999998</v>
      </c>
      <c r="D50" s="6">
        <f t="shared" si="4"/>
        <v>20657.21</v>
      </c>
      <c r="E50" s="6">
        <f t="shared" si="4"/>
        <v>18081.43</v>
      </c>
      <c r="F50" s="6">
        <f t="shared" si="4"/>
        <v>22553.199999999997</v>
      </c>
      <c r="G50" s="6">
        <f t="shared" si="4"/>
        <v>21426.26</v>
      </c>
      <c r="H50" s="6">
        <f t="shared" si="4"/>
        <v>17483.269999999997</v>
      </c>
      <c r="I50" s="6">
        <f t="shared" si="4"/>
        <v>26938.61</v>
      </c>
      <c r="J50" s="6">
        <f t="shared" si="4"/>
        <v>13557.630000000001</v>
      </c>
      <c r="K50" s="6">
        <f t="shared" si="4"/>
        <v>9269.3100000000013</v>
      </c>
      <c r="L50" s="6">
        <f t="shared" si="4"/>
        <v>6172</v>
      </c>
      <c r="M50" s="6">
        <f t="shared" si="4"/>
        <v>16231.66</v>
      </c>
      <c r="N50" s="21">
        <f t="shared" si="0"/>
        <v>205389.04999999996</v>
      </c>
      <c r="O50" s="5"/>
    </row>
    <row r="51" spans="1:15" x14ac:dyDescent="0.15">
      <c r="A51" s="1" t="s">
        <v>48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4"/>
      <c r="O51" s="5"/>
    </row>
    <row r="52" spans="1:15" x14ac:dyDescent="0.15">
      <c r="A52" s="3" t="s">
        <v>49</v>
      </c>
      <c r="B52" s="4">
        <v>4352.5</v>
      </c>
      <c r="C52" s="4">
        <v>4352</v>
      </c>
      <c r="D52" s="4">
        <v>4352.5</v>
      </c>
      <c r="E52" s="4">
        <v>4352.5</v>
      </c>
      <c r="F52" s="4">
        <v>4352.5</v>
      </c>
      <c r="G52" s="4">
        <v>4352.5</v>
      </c>
      <c r="H52" s="4">
        <v>4352.5</v>
      </c>
      <c r="I52" s="4">
        <v>4352.5</v>
      </c>
      <c r="J52" s="4">
        <v>4352.5</v>
      </c>
      <c r="K52" s="4">
        <v>4352.2</v>
      </c>
      <c r="L52" s="4">
        <v>4352.5</v>
      </c>
      <c r="M52" s="4">
        <v>4352</v>
      </c>
      <c r="N52" s="4">
        <f t="shared" si="0"/>
        <v>52228.7</v>
      </c>
      <c r="O52" s="5"/>
    </row>
    <row r="53" spans="1:15" x14ac:dyDescent="0.15">
      <c r="A53" s="3" t="s">
        <v>50</v>
      </c>
      <c r="B53" s="4">
        <v>2083.33</v>
      </c>
      <c r="C53" s="4">
        <v>2083.33</v>
      </c>
      <c r="D53" s="4">
        <v>2083.33</v>
      </c>
      <c r="E53" s="4">
        <v>3083.33</v>
      </c>
      <c r="F53" s="4">
        <v>2083.33</v>
      </c>
      <c r="G53" s="4">
        <v>2308.33</v>
      </c>
      <c r="H53" s="4">
        <v>2083.37</v>
      </c>
      <c r="I53" s="4">
        <v>1500</v>
      </c>
      <c r="J53" s="4">
        <v>1500</v>
      </c>
      <c r="K53" s="4">
        <v>1500</v>
      </c>
      <c r="L53" s="4">
        <v>1500</v>
      </c>
      <c r="M53" s="4">
        <v>1500</v>
      </c>
      <c r="N53" s="4">
        <f t="shared" si="0"/>
        <v>23308.35</v>
      </c>
      <c r="O53" s="5"/>
    </row>
    <row r="54" spans="1:15" x14ac:dyDescent="0.15">
      <c r="A54" s="3" t="s">
        <v>51</v>
      </c>
      <c r="B54" s="4">
        <v>675</v>
      </c>
      <c r="C54" s="4">
        <v>964</v>
      </c>
      <c r="D54" s="4">
        <v>1338</v>
      </c>
      <c r="E54" s="4">
        <v>604</v>
      </c>
      <c r="F54" s="4">
        <v>589</v>
      </c>
      <c r="G54" s="4">
        <v>1324</v>
      </c>
      <c r="H54" s="4">
        <v>2425</v>
      </c>
      <c r="I54" s="4">
        <v>675</v>
      </c>
      <c r="J54" s="4">
        <v>1845</v>
      </c>
      <c r="K54" s="4">
        <v>1211.6300000000001</v>
      </c>
      <c r="L54" s="4">
        <v>853.63</v>
      </c>
      <c r="M54" s="4">
        <v>2607.9899999999998</v>
      </c>
      <c r="N54" s="4">
        <f t="shared" si="0"/>
        <v>15112.25</v>
      </c>
      <c r="O54" s="5"/>
    </row>
    <row r="55" spans="1:15" x14ac:dyDescent="0.15">
      <c r="A55" s="3" t="s">
        <v>52</v>
      </c>
      <c r="B55" s="4">
        <v>250</v>
      </c>
      <c r="C55" s="4">
        <v>2505</v>
      </c>
      <c r="D55" s="4">
        <v>1025</v>
      </c>
      <c r="E55" s="4">
        <v>1400</v>
      </c>
      <c r="F55" s="4">
        <v>250</v>
      </c>
      <c r="G55" s="4">
        <v>455</v>
      </c>
      <c r="H55" s="4">
        <v>290</v>
      </c>
      <c r="I55" s="4">
        <v>250</v>
      </c>
      <c r="J55" s="4">
        <v>1100</v>
      </c>
      <c r="K55" s="4">
        <v>250</v>
      </c>
      <c r="L55" s="4">
        <v>465</v>
      </c>
      <c r="M55" s="4">
        <v>535</v>
      </c>
      <c r="N55" s="4">
        <f t="shared" si="0"/>
        <v>8775</v>
      </c>
      <c r="O55" s="5"/>
    </row>
    <row r="56" spans="1:15" x14ac:dyDescent="0.15">
      <c r="A56" s="3" t="s">
        <v>53</v>
      </c>
      <c r="B56" s="4">
        <v>0</v>
      </c>
      <c r="C56" s="4">
        <v>0</v>
      </c>
      <c r="D56" s="4">
        <v>0</v>
      </c>
      <c r="E56" s="4">
        <v>2995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f t="shared" si="0"/>
        <v>2995</v>
      </c>
      <c r="O56" s="5"/>
    </row>
    <row r="57" spans="1:15" x14ac:dyDescent="0.15">
      <c r="A57" s="1" t="s">
        <v>54</v>
      </c>
      <c r="B57" s="6">
        <f>SUM(B52:B56)</f>
        <v>7360.83</v>
      </c>
      <c r="C57" s="6">
        <f t="shared" ref="C57:M57" si="5">SUM(C52:C56)</f>
        <v>9904.33</v>
      </c>
      <c r="D57" s="6">
        <f t="shared" si="5"/>
        <v>8798.83</v>
      </c>
      <c r="E57" s="6">
        <f t="shared" si="5"/>
        <v>12434.83</v>
      </c>
      <c r="F57" s="6">
        <f t="shared" si="5"/>
        <v>7274.83</v>
      </c>
      <c r="G57" s="6">
        <f t="shared" si="5"/>
        <v>8439.83</v>
      </c>
      <c r="H57" s="6">
        <f t="shared" si="5"/>
        <v>9150.869999999999</v>
      </c>
      <c r="I57" s="6">
        <f t="shared" si="5"/>
        <v>6777.5</v>
      </c>
      <c r="J57" s="6">
        <f t="shared" si="5"/>
        <v>8797.5</v>
      </c>
      <c r="K57" s="6">
        <f t="shared" si="5"/>
        <v>7313.83</v>
      </c>
      <c r="L57" s="6">
        <f t="shared" si="5"/>
        <v>7171.13</v>
      </c>
      <c r="M57" s="6">
        <f t="shared" si="5"/>
        <v>8994.99</v>
      </c>
      <c r="N57" s="20">
        <f t="shared" si="0"/>
        <v>102419.30000000002</v>
      </c>
      <c r="O57" s="5"/>
    </row>
    <row r="58" spans="1:15" x14ac:dyDescent="0.15">
      <c r="A58" s="1" t="s">
        <v>55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4"/>
      <c r="O58" s="5"/>
    </row>
    <row r="59" spans="1:15" x14ac:dyDescent="0.15">
      <c r="A59" s="3" t="s">
        <v>56</v>
      </c>
      <c r="B59" s="4">
        <v>1818</v>
      </c>
      <c r="C59" s="4">
        <v>650</v>
      </c>
      <c r="D59" s="4">
        <v>259</v>
      </c>
      <c r="E59" s="4">
        <v>2053</v>
      </c>
      <c r="F59" s="4">
        <v>904</v>
      </c>
      <c r="G59" s="4">
        <v>2018</v>
      </c>
      <c r="H59" s="4">
        <v>887</v>
      </c>
      <c r="I59" s="4">
        <v>1878</v>
      </c>
      <c r="J59" s="4">
        <v>0</v>
      </c>
      <c r="K59" s="4">
        <v>85</v>
      </c>
      <c r="L59" s="4">
        <v>1348</v>
      </c>
      <c r="M59" s="4">
        <v>582</v>
      </c>
      <c r="N59" s="4">
        <f t="shared" si="0"/>
        <v>12482</v>
      </c>
      <c r="O59" s="5"/>
    </row>
    <row r="60" spans="1:15" x14ac:dyDescent="0.15">
      <c r="A60" s="3" t="s">
        <v>57</v>
      </c>
      <c r="B60" s="4">
        <v>620</v>
      </c>
      <c r="C60" s="4">
        <v>525</v>
      </c>
      <c r="D60" s="4">
        <v>620</v>
      </c>
      <c r="E60" s="4">
        <v>1925</v>
      </c>
      <c r="F60" s="4">
        <v>1080</v>
      </c>
      <c r="G60" s="4">
        <v>1020</v>
      </c>
      <c r="H60" s="4">
        <v>1680</v>
      </c>
      <c r="I60" s="4">
        <v>1280</v>
      </c>
      <c r="J60" s="4">
        <v>0</v>
      </c>
      <c r="K60" s="4">
        <v>1395</v>
      </c>
      <c r="L60" s="4">
        <v>870</v>
      </c>
      <c r="M60" s="4">
        <v>550</v>
      </c>
      <c r="N60" s="4">
        <f t="shared" si="0"/>
        <v>11565</v>
      </c>
      <c r="O60" s="5"/>
    </row>
    <row r="61" spans="1:15" x14ac:dyDescent="0.15">
      <c r="A61" s="3" t="s">
        <v>58</v>
      </c>
      <c r="B61" s="4">
        <v>0</v>
      </c>
      <c r="C61" s="4">
        <v>0</v>
      </c>
      <c r="D61" s="4">
        <v>0</v>
      </c>
      <c r="E61" s="4">
        <v>765.05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1257.25</v>
      </c>
      <c r="N61" s="4">
        <f t="shared" si="0"/>
        <v>2022.3</v>
      </c>
      <c r="O61" s="5"/>
    </row>
    <row r="62" spans="1:15" x14ac:dyDescent="0.15">
      <c r="A62" s="3" t="s">
        <v>59</v>
      </c>
      <c r="B62" s="4">
        <v>0</v>
      </c>
      <c r="C62" s="4">
        <v>0</v>
      </c>
      <c r="D62" s="4">
        <v>0</v>
      </c>
      <c r="E62" s="4">
        <v>240</v>
      </c>
      <c r="F62" s="4">
        <v>240</v>
      </c>
      <c r="G62" s="4">
        <v>0</v>
      </c>
      <c r="H62" s="4">
        <v>0</v>
      </c>
      <c r="I62" s="4">
        <v>225</v>
      </c>
      <c r="J62" s="4">
        <v>0</v>
      </c>
      <c r="K62" s="4">
        <v>0</v>
      </c>
      <c r="L62" s="4">
        <v>0</v>
      </c>
      <c r="M62" s="4">
        <v>0</v>
      </c>
      <c r="N62" s="4">
        <f t="shared" si="0"/>
        <v>705</v>
      </c>
      <c r="O62" s="5"/>
    </row>
    <row r="63" spans="1:15" x14ac:dyDescent="0.15">
      <c r="A63" s="3" t="s">
        <v>60</v>
      </c>
      <c r="B63" s="4">
        <v>337.05</v>
      </c>
      <c r="C63" s="4">
        <v>1797.6</v>
      </c>
      <c r="D63" s="4">
        <v>0</v>
      </c>
      <c r="E63" s="4">
        <v>711.55</v>
      </c>
      <c r="F63" s="4">
        <v>749</v>
      </c>
      <c r="G63" s="4">
        <v>374.5</v>
      </c>
      <c r="H63" s="4">
        <v>0</v>
      </c>
      <c r="I63" s="4">
        <v>749</v>
      </c>
      <c r="J63" s="4">
        <v>749</v>
      </c>
      <c r="K63" s="4">
        <v>749</v>
      </c>
      <c r="L63" s="4">
        <v>374.5</v>
      </c>
      <c r="M63" s="4">
        <v>0</v>
      </c>
      <c r="N63" s="19">
        <f t="shared" si="0"/>
        <v>6591.2</v>
      </c>
      <c r="O63" s="5"/>
    </row>
    <row r="64" spans="1:15" x14ac:dyDescent="0.15">
      <c r="A64" s="1" t="s">
        <v>61</v>
      </c>
      <c r="B64" s="6">
        <f>SUM(B59:B63)</f>
        <v>2775.05</v>
      </c>
      <c r="C64" s="6">
        <f t="shared" ref="C64:M64" si="6">SUM(C59:C63)</f>
        <v>2972.6</v>
      </c>
      <c r="D64" s="6">
        <f t="shared" si="6"/>
        <v>879</v>
      </c>
      <c r="E64" s="6">
        <f t="shared" si="6"/>
        <v>5694.6</v>
      </c>
      <c r="F64" s="6">
        <f t="shared" si="6"/>
        <v>2973</v>
      </c>
      <c r="G64" s="6">
        <f t="shared" si="6"/>
        <v>3412.5</v>
      </c>
      <c r="H64" s="6">
        <f t="shared" si="6"/>
        <v>2567</v>
      </c>
      <c r="I64" s="6">
        <f t="shared" si="6"/>
        <v>4132</v>
      </c>
      <c r="J64" s="6">
        <f t="shared" si="6"/>
        <v>749</v>
      </c>
      <c r="K64" s="6">
        <f t="shared" si="6"/>
        <v>2229</v>
      </c>
      <c r="L64" s="6">
        <f t="shared" si="6"/>
        <v>2592.5</v>
      </c>
      <c r="M64" s="6">
        <f t="shared" si="6"/>
        <v>2389.25</v>
      </c>
      <c r="N64" s="21">
        <f t="shared" si="0"/>
        <v>33365.5</v>
      </c>
      <c r="O64" s="5"/>
    </row>
    <row r="65" spans="1:15" x14ac:dyDescent="0.15">
      <c r="A65" s="1" t="s">
        <v>62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4"/>
      <c r="O65" s="5"/>
    </row>
    <row r="66" spans="1:15" x14ac:dyDescent="0.15">
      <c r="A66" s="3" t="s">
        <v>63</v>
      </c>
      <c r="B66" s="4">
        <v>3991.02</v>
      </c>
      <c r="C66" s="4">
        <v>3843.98</v>
      </c>
      <c r="D66" s="4">
        <v>4030.09</v>
      </c>
      <c r="E66" s="4">
        <v>4212.07</v>
      </c>
      <c r="F66" s="4">
        <v>3699.95</v>
      </c>
      <c r="G66" s="4">
        <v>4094.97</v>
      </c>
      <c r="H66" s="4">
        <v>4295.41</v>
      </c>
      <c r="I66" s="4">
        <v>4028</v>
      </c>
      <c r="J66" s="4">
        <v>3930.22</v>
      </c>
      <c r="K66" s="4">
        <v>3957.23</v>
      </c>
      <c r="L66" s="4">
        <v>3937.49</v>
      </c>
      <c r="M66" s="4">
        <v>4208.32</v>
      </c>
      <c r="N66" s="4">
        <f t="shared" si="0"/>
        <v>48228.75</v>
      </c>
      <c r="O66" s="5"/>
    </row>
    <row r="67" spans="1:15" x14ac:dyDescent="0.15">
      <c r="A67" s="3" t="s">
        <v>64</v>
      </c>
      <c r="B67" s="4">
        <v>570</v>
      </c>
      <c r="C67" s="4">
        <v>1665.49</v>
      </c>
      <c r="D67" s="4">
        <v>611.55999999999995</v>
      </c>
      <c r="E67" s="4">
        <v>180</v>
      </c>
      <c r="F67" s="4">
        <v>0</v>
      </c>
      <c r="G67" s="4">
        <v>0</v>
      </c>
      <c r="H67" s="4">
        <v>180</v>
      </c>
      <c r="I67" s="4">
        <v>0</v>
      </c>
      <c r="J67" s="4">
        <v>0</v>
      </c>
      <c r="K67" s="4">
        <v>0</v>
      </c>
      <c r="L67" s="4">
        <v>11230</v>
      </c>
      <c r="M67" s="4">
        <v>0</v>
      </c>
      <c r="N67" s="4">
        <f t="shared" si="0"/>
        <v>14437.05</v>
      </c>
      <c r="O67" s="5"/>
    </row>
    <row r="68" spans="1:15" x14ac:dyDescent="0.15">
      <c r="A68" s="1" t="s">
        <v>65</v>
      </c>
      <c r="B68" s="6">
        <f>SUM(B66:B67)</f>
        <v>4561.0200000000004</v>
      </c>
      <c r="C68" s="6">
        <f t="shared" ref="C68:M68" si="7">SUM(C66:C67)</f>
        <v>5509.47</v>
      </c>
      <c r="D68" s="6">
        <f t="shared" si="7"/>
        <v>4641.6499999999996</v>
      </c>
      <c r="E68" s="6">
        <f t="shared" si="7"/>
        <v>4392.07</v>
      </c>
      <c r="F68" s="6">
        <f t="shared" si="7"/>
        <v>3699.95</v>
      </c>
      <c r="G68" s="6">
        <f t="shared" si="7"/>
        <v>4094.97</v>
      </c>
      <c r="H68" s="6">
        <f t="shared" si="7"/>
        <v>4475.41</v>
      </c>
      <c r="I68" s="6">
        <f t="shared" si="7"/>
        <v>4028</v>
      </c>
      <c r="J68" s="6">
        <f t="shared" si="7"/>
        <v>3930.22</v>
      </c>
      <c r="K68" s="6">
        <f t="shared" si="7"/>
        <v>3957.23</v>
      </c>
      <c r="L68" s="6">
        <f t="shared" si="7"/>
        <v>15167.49</v>
      </c>
      <c r="M68" s="6">
        <f t="shared" si="7"/>
        <v>4208.32</v>
      </c>
      <c r="N68" s="20">
        <f t="shared" si="0"/>
        <v>62665.8</v>
      </c>
      <c r="O68" s="5"/>
    </row>
    <row r="69" spans="1:15" x14ac:dyDescent="0.15">
      <c r="A69" s="1" t="s">
        <v>66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4"/>
      <c r="O69" s="5"/>
    </row>
    <row r="70" spans="1:15" x14ac:dyDescent="0.15">
      <c r="A70" s="3" t="s">
        <v>67</v>
      </c>
      <c r="B70" s="4">
        <v>2227.0100000000002</v>
      </c>
      <c r="C70" s="4">
        <v>2348.48</v>
      </c>
      <c r="D70" s="4">
        <v>2196.37</v>
      </c>
      <c r="E70" s="4">
        <v>2106.79</v>
      </c>
      <c r="F70" s="4">
        <v>2263.3200000000002</v>
      </c>
      <c r="G70" s="4">
        <v>1980.14</v>
      </c>
      <c r="H70" s="4">
        <v>2066.11</v>
      </c>
      <c r="I70" s="4">
        <v>1985.82</v>
      </c>
      <c r="J70" s="4">
        <v>1879.85</v>
      </c>
      <c r="K70" s="4">
        <v>1831.65</v>
      </c>
      <c r="L70" s="4">
        <v>2011.87</v>
      </c>
      <c r="M70" s="4">
        <v>1468.43</v>
      </c>
      <c r="N70" s="4">
        <f t="shared" si="0"/>
        <v>24365.84</v>
      </c>
      <c r="O70" s="5"/>
    </row>
    <row r="71" spans="1:15" x14ac:dyDescent="0.15">
      <c r="A71" s="3" t="s">
        <v>68</v>
      </c>
      <c r="B71" s="4">
        <v>757.78</v>
      </c>
      <c r="C71" s="4">
        <v>394</v>
      </c>
      <c r="D71" s="4">
        <v>468.95</v>
      </c>
      <c r="E71" s="4">
        <v>240.34</v>
      </c>
      <c r="F71" s="4">
        <v>247.39</v>
      </c>
      <c r="G71" s="4">
        <v>-20.54</v>
      </c>
      <c r="H71" s="4">
        <v>693.41</v>
      </c>
      <c r="I71" s="4">
        <v>-17.75</v>
      </c>
      <c r="J71" s="4">
        <v>-270.51</v>
      </c>
      <c r="K71" s="4">
        <v>335.07</v>
      </c>
      <c r="L71" s="4">
        <v>44.24</v>
      </c>
      <c r="M71" s="4">
        <v>50.67</v>
      </c>
      <c r="N71" s="4">
        <f t="shared" si="0"/>
        <v>2923.0499999999997</v>
      </c>
      <c r="O71" s="5"/>
    </row>
    <row r="72" spans="1:15" x14ac:dyDescent="0.15">
      <c r="A72" s="3" t="s">
        <v>69</v>
      </c>
      <c r="B72" s="4">
        <v>17578.2</v>
      </c>
      <c r="C72" s="4">
        <v>17259.189999999999</v>
      </c>
      <c r="D72" s="4">
        <v>18830.12</v>
      </c>
      <c r="E72" s="4">
        <v>17315.900000000001</v>
      </c>
      <c r="F72" s="4">
        <v>17332.16</v>
      </c>
      <c r="G72" s="4">
        <v>19055.79</v>
      </c>
      <c r="H72" s="4">
        <v>18905.97</v>
      </c>
      <c r="I72" s="4">
        <v>19161.54</v>
      </c>
      <c r="J72" s="4">
        <v>17449.59</v>
      </c>
      <c r="K72" s="4">
        <v>17955.98</v>
      </c>
      <c r="L72" s="4">
        <v>18888.34</v>
      </c>
      <c r="M72" s="4">
        <v>18352.28</v>
      </c>
      <c r="N72" s="4">
        <f t="shared" si="0"/>
        <v>218085.06000000003</v>
      </c>
      <c r="O72" s="5"/>
    </row>
    <row r="73" spans="1:15" x14ac:dyDescent="0.15">
      <c r="A73" s="3" t="s">
        <v>70</v>
      </c>
      <c r="B73" s="4">
        <v>7310.43</v>
      </c>
      <c r="C73" s="4">
        <v>8157.99</v>
      </c>
      <c r="D73" s="4">
        <v>7172.58</v>
      </c>
      <c r="E73" s="4">
        <v>7250.54</v>
      </c>
      <c r="F73" s="4">
        <v>7630.54</v>
      </c>
      <c r="G73" s="4">
        <v>7191.58</v>
      </c>
      <c r="H73" s="4">
        <v>7209.77</v>
      </c>
      <c r="I73" s="4">
        <v>8136.68</v>
      </c>
      <c r="J73" s="4">
        <v>3656.14</v>
      </c>
      <c r="K73" s="4">
        <v>5852.05</v>
      </c>
      <c r="L73" s="4">
        <v>10226.09</v>
      </c>
      <c r="M73" s="4">
        <v>10759.52</v>
      </c>
      <c r="N73" s="4">
        <f t="shared" ref="N73:N111" si="8">SUM(B73:M73)</f>
        <v>90553.91</v>
      </c>
      <c r="O73" s="5"/>
    </row>
    <row r="74" spans="1:15" x14ac:dyDescent="0.15">
      <c r="A74" s="3" t="s">
        <v>71</v>
      </c>
      <c r="B74" s="4">
        <v>222.14</v>
      </c>
      <c r="C74" s="4">
        <v>0</v>
      </c>
      <c r="D74" s="4">
        <v>0</v>
      </c>
      <c r="E74" s="4">
        <v>400.02</v>
      </c>
      <c r="F74" s="4">
        <v>0</v>
      </c>
      <c r="G74" s="4">
        <v>0</v>
      </c>
      <c r="H74" s="4">
        <v>445.76</v>
      </c>
      <c r="I74" s="4">
        <v>0</v>
      </c>
      <c r="J74" s="4">
        <v>1544.82</v>
      </c>
      <c r="K74" s="4">
        <v>69.989999999999995</v>
      </c>
      <c r="L74" s="4">
        <v>0</v>
      </c>
      <c r="M74" s="4">
        <v>1175.57</v>
      </c>
      <c r="N74" s="19">
        <f t="shared" si="8"/>
        <v>3858.2999999999993</v>
      </c>
      <c r="O74" s="5"/>
    </row>
    <row r="75" spans="1:15" x14ac:dyDescent="0.15">
      <c r="A75" s="1" t="s">
        <v>72</v>
      </c>
      <c r="B75" s="6">
        <f>SUM(B70:B74)</f>
        <v>28095.56</v>
      </c>
      <c r="C75" s="6">
        <f t="shared" ref="C75:M75" si="9">SUM(C70:C74)</f>
        <v>28159.659999999996</v>
      </c>
      <c r="D75" s="6">
        <f t="shared" si="9"/>
        <v>28668.019999999997</v>
      </c>
      <c r="E75" s="6">
        <f t="shared" si="9"/>
        <v>27313.590000000004</v>
      </c>
      <c r="F75" s="6">
        <f t="shared" si="9"/>
        <v>27473.41</v>
      </c>
      <c r="G75" s="6">
        <f t="shared" si="9"/>
        <v>28206.97</v>
      </c>
      <c r="H75" s="6">
        <f t="shared" si="9"/>
        <v>29321.02</v>
      </c>
      <c r="I75" s="6">
        <f t="shared" si="9"/>
        <v>29266.29</v>
      </c>
      <c r="J75" s="6">
        <f t="shared" si="9"/>
        <v>24259.89</v>
      </c>
      <c r="K75" s="6">
        <f t="shared" si="9"/>
        <v>26044.74</v>
      </c>
      <c r="L75" s="6">
        <f t="shared" si="9"/>
        <v>31170.54</v>
      </c>
      <c r="M75" s="6">
        <f t="shared" si="9"/>
        <v>31806.469999999998</v>
      </c>
      <c r="N75" s="21">
        <f t="shared" si="8"/>
        <v>339786.15999999992</v>
      </c>
      <c r="O75" s="5"/>
    </row>
    <row r="76" spans="1:15" x14ac:dyDescent="0.15">
      <c r="A76" s="1" t="s">
        <v>73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4"/>
      <c r="O76" s="5"/>
    </row>
    <row r="77" spans="1:15" x14ac:dyDescent="0.15">
      <c r="A77" s="3" t="s">
        <v>74</v>
      </c>
      <c r="B77" s="4">
        <v>55914.52</v>
      </c>
      <c r="C77" s="4">
        <v>55914.52</v>
      </c>
      <c r="D77" s="4">
        <v>55914.52</v>
      </c>
      <c r="E77" s="4">
        <v>55914.52</v>
      </c>
      <c r="F77" s="4">
        <v>55914.52</v>
      </c>
      <c r="G77" s="4">
        <v>55929.52</v>
      </c>
      <c r="H77" s="4">
        <v>55914.49</v>
      </c>
      <c r="I77" s="4">
        <v>56500</v>
      </c>
      <c r="J77" s="4">
        <v>56500</v>
      </c>
      <c r="K77" s="4">
        <v>56500</v>
      </c>
      <c r="L77" s="4">
        <v>56500</v>
      </c>
      <c r="M77" s="4">
        <v>56500</v>
      </c>
      <c r="N77" s="4">
        <f t="shared" si="8"/>
        <v>673916.61</v>
      </c>
      <c r="O77" s="5"/>
    </row>
    <row r="78" spans="1:15" x14ac:dyDescent="0.15">
      <c r="A78" s="3" t="s">
        <v>75</v>
      </c>
      <c r="B78" s="4">
        <v>316.86</v>
      </c>
      <c r="C78" s="4">
        <v>316.86</v>
      </c>
      <c r="D78" s="4">
        <v>316.86</v>
      </c>
      <c r="E78" s="4">
        <v>316.86</v>
      </c>
      <c r="F78" s="4">
        <v>316.86</v>
      </c>
      <c r="G78" s="4">
        <v>316.86</v>
      </c>
      <c r="H78" s="4">
        <v>316.83</v>
      </c>
      <c r="I78" s="4">
        <v>525</v>
      </c>
      <c r="J78" s="4">
        <v>525</v>
      </c>
      <c r="K78" s="4">
        <v>525</v>
      </c>
      <c r="L78" s="4">
        <v>525</v>
      </c>
      <c r="M78" s="4">
        <v>525</v>
      </c>
      <c r="N78" s="4">
        <f t="shared" si="8"/>
        <v>4842.99</v>
      </c>
      <c r="O78" s="5"/>
    </row>
    <row r="79" spans="1:15" x14ac:dyDescent="0.15">
      <c r="A79" s="3" t="s">
        <v>76</v>
      </c>
      <c r="B79" s="4">
        <v>0</v>
      </c>
      <c r="C79" s="4">
        <v>0</v>
      </c>
      <c r="D79" s="4">
        <v>2876.65</v>
      </c>
      <c r="E79" s="4">
        <v>0</v>
      </c>
      <c r="F79" s="4">
        <v>210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3403.44</v>
      </c>
      <c r="N79" s="4">
        <f t="shared" si="8"/>
        <v>6490.09</v>
      </c>
      <c r="O79" s="5"/>
    </row>
    <row r="80" spans="1:15" x14ac:dyDescent="0.15">
      <c r="A80" s="1" t="s">
        <v>77</v>
      </c>
      <c r="B80" s="6">
        <f>SUM(B77:B79)</f>
        <v>56231.38</v>
      </c>
      <c r="C80" s="6">
        <f t="shared" ref="C80:M80" si="10">SUM(C77:C79)</f>
        <v>56231.38</v>
      </c>
      <c r="D80" s="6">
        <f t="shared" si="10"/>
        <v>59108.03</v>
      </c>
      <c r="E80" s="6">
        <f t="shared" si="10"/>
        <v>56231.38</v>
      </c>
      <c r="F80" s="6">
        <f t="shared" si="10"/>
        <v>56441.38</v>
      </c>
      <c r="G80" s="6">
        <f t="shared" si="10"/>
        <v>56246.38</v>
      </c>
      <c r="H80" s="6">
        <f t="shared" si="10"/>
        <v>56231.32</v>
      </c>
      <c r="I80" s="6">
        <f t="shared" si="10"/>
        <v>57025</v>
      </c>
      <c r="J80" s="6">
        <f t="shared" si="10"/>
        <v>57025</v>
      </c>
      <c r="K80" s="6">
        <f t="shared" si="10"/>
        <v>57025</v>
      </c>
      <c r="L80" s="6">
        <f t="shared" si="10"/>
        <v>57025</v>
      </c>
      <c r="M80" s="6">
        <f t="shared" si="10"/>
        <v>60428.44</v>
      </c>
      <c r="N80" s="20">
        <f t="shared" si="8"/>
        <v>685249.69</v>
      </c>
      <c r="O80" s="5"/>
    </row>
    <row r="81" spans="1:15" x14ac:dyDescent="0.15">
      <c r="A81" s="1" t="s">
        <v>78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4"/>
      <c r="O81" s="5"/>
    </row>
    <row r="82" spans="1:15" x14ac:dyDescent="0.15">
      <c r="A82" s="3" t="s">
        <v>79</v>
      </c>
      <c r="B82" s="4">
        <v>1765.94</v>
      </c>
      <c r="C82" s="4">
        <v>1765.94</v>
      </c>
      <c r="D82" s="4">
        <v>1765.94</v>
      </c>
      <c r="E82" s="4">
        <v>1765.94</v>
      </c>
      <c r="F82" s="4">
        <v>1765.94</v>
      </c>
      <c r="G82" s="4">
        <v>1765.94</v>
      </c>
      <c r="H82" s="4">
        <v>1765.94</v>
      </c>
      <c r="I82" s="4">
        <v>1723.64</v>
      </c>
      <c r="J82" s="4">
        <v>1723.64</v>
      </c>
      <c r="K82" s="4">
        <v>1723.64</v>
      </c>
      <c r="L82" s="4">
        <v>1723.64</v>
      </c>
      <c r="M82" s="4">
        <v>1765.94</v>
      </c>
      <c r="N82" s="4">
        <f t="shared" si="8"/>
        <v>21022.079999999998</v>
      </c>
      <c r="O82" s="5"/>
    </row>
    <row r="83" spans="1:15" x14ac:dyDescent="0.15">
      <c r="A83" s="3" t="s">
        <v>80</v>
      </c>
      <c r="B83" s="4">
        <v>347.17</v>
      </c>
      <c r="C83" s="4">
        <v>347.17</v>
      </c>
      <c r="D83" s="4">
        <v>347.17</v>
      </c>
      <c r="E83" s="4">
        <v>347.17</v>
      </c>
      <c r="F83" s="4">
        <v>347.17</v>
      </c>
      <c r="G83" s="4">
        <v>347.17</v>
      </c>
      <c r="H83" s="4">
        <v>347.17</v>
      </c>
      <c r="I83" s="4">
        <v>351.42</v>
      </c>
      <c r="J83" s="4">
        <v>351.42</v>
      </c>
      <c r="K83" s="4">
        <v>351.42</v>
      </c>
      <c r="L83" s="4">
        <v>351.42</v>
      </c>
      <c r="M83" s="4">
        <v>347.17</v>
      </c>
      <c r="N83" s="4">
        <f t="shared" si="8"/>
        <v>4183.04</v>
      </c>
      <c r="O83" s="5"/>
    </row>
    <row r="84" spans="1:15" x14ac:dyDescent="0.15">
      <c r="A84" s="3" t="s">
        <v>81</v>
      </c>
      <c r="B84" s="4">
        <v>15885.96</v>
      </c>
      <c r="C84" s="4">
        <v>15885.96</v>
      </c>
      <c r="D84" s="4">
        <v>15885.96</v>
      </c>
      <c r="E84" s="4">
        <v>15885.96</v>
      </c>
      <c r="F84" s="4">
        <v>15885.96</v>
      </c>
      <c r="G84" s="4">
        <v>15885.96</v>
      </c>
      <c r="H84" s="4">
        <v>15885.89</v>
      </c>
      <c r="I84" s="4">
        <v>18971.41</v>
      </c>
      <c r="J84" s="4">
        <v>18971.41</v>
      </c>
      <c r="K84" s="4">
        <v>18971.41</v>
      </c>
      <c r="L84" s="4">
        <v>18971.41</v>
      </c>
      <c r="M84" s="4">
        <v>15885.96</v>
      </c>
      <c r="N84" s="19">
        <f t="shared" si="8"/>
        <v>202973.24999999997</v>
      </c>
      <c r="O84" s="5"/>
    </row>
    <row r="85" spans="1:15" x14ac:dyDescent="0.15">
      <c r="A85" s="1" t="s">
        <v>82</v>
      </c>
      <c r="B85" s="6">
        <f>SUM(B82:B84)</f>
        <v>17999.07</v>
      </c>
      <c r="C85" s="6">
        <f t="shared" ref="C85:M85" si="11">SUM(C82:C84)</f>
        <v>17999.07</v>
      </c>
      <c r="D85" s="6">
        <f t="shared" si="11"/>
        <v>17999.07</v>
      </c>
      <c r="E85" s="6">
        <f t="shared" si="11"/>
        <v>17999.07</v>
      </c>
      <c r="F85" s="6">
        <f t="shared" si="11"/>
        <v>17999.07</v>
      </c>
      <c r="G85" s="6">
        <f t="shared" si="11"/>
        <v>17999.07</v>
      </c>
      <c r="H85" s="6">
        <f t="shared" si="11"/>
        <v>17999</v>
      </c>
      <c r="I85" s="6">
        <f t="shared" si="11"/>
        <v>21046.47</v>
      </c>
      <c r="J85" s="6">
        <f t="shared" si="11"/>
        <v>21046.47</v>
      </c>
      <c r="K85" s="6">
        <f t="shared" si="11"/>
        <v>21046.47</v>
      </c>
      <c r="L85" s="6">
        <f t="shared" si="11"/>
        <v>21046.47</v>
      </c>
      <c r="M85" s="6">
        <f t="shared" si="11"/>
        <v>17999.07</v>
      </c>
      <c r="N85" s="21">
        <f t="shared" si="8"/>
        <v>228178.37000000002</v>
      </c>
      <c r="O85" s="5"/>
    </row>
    <row r="86" spans="1:15" x14ac:dyDescent="0.15">
      <c r="A86" s="1" t="s">
        <v>83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4"/>
      <c r="O86" s="5"/>
    </row>
    <row r="87" spans="1:15" x14ac:dyDescent="0.15">
      <c r="A87" s="3" t="s">
        <v>84</v>
      </c>
      <c r="B87" s="4">
        <v>1623.85</v>
      </c>
      <c r="C87" s="4">
        <v>982.43</v>
      </c>
      <c r="D87" s="4">
        <v>982.43</v>
      </c>
      <c r="E87" s="4">
        <v>1143.8499999999999</v>
      </c>
      <c r="F87" s="4">
        <v>1200.22</v>
      </c>
      <c r="G87" s="4">
        <v>982.43</v>
      </c>
      <c r="H87" s="4">
        <v>1079.8599999999999</v>
      </c>
      <c r="I87" s="4">
        <v>982.43</v>
      </c>
      <c r="J87" s="4">
        <v>982.43</v>
      </c>
      <c r="K87" s="4">
        <v>1070.06</v>
      </c>
      <c r="L87" s="4">
        <v>979</v>
      </c>
      <c r="M87" s="4">
        <v>979</v>
      </c>
      <c r="N87" s="4">
        <f t="shared" si="8"/>
        <v>12987.99</v>
      </c>
      <c r="O87" s="5"/>
    </row>
    <row r="88" spans="1:15" x14ac:dyDescent="0.15">
      <c r="A88" s="3" t="s">
        <v>85</v>
      </c>
      <c r="B88" s="4">
        <v>0</v>
      </c>
      <c r="C88" s="4">
        <v>50</v>
      </c>
      <c r="D88" s="4">
        <v>0</v>
      </c>
      <c r="E88" s="4">
        <v>50</v>
      </c>
      <c r="F88" s="4">
        <v>50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f t="shared" si="8"/>
        <v>150</v>
      </c>
      <c r="O88" s="5"/>
    </row>
    <row r="89" spans="1:15" x14ac:dyDescent="0.15">
      <c r="A89" s="1" t="s">
        <v>86</v>
      </c>
      <c r="B89" s="6">
        <f>SUM(B87:B88)</f>
        <v>1623.85</v>
      </c>
      <c r="C89" s="6">
        <f t="shared" ref="C89:M89" si="12">SUM(C87:C88)</f>
        <v>1032.4299999999998</v>
      </c>
      <c r="D89" s="6">
        <f t="shared" si="12"/>
        <v>982.43</v>
      </c>
      <c r="E89" s="6">
        <f t="shared" si="12"/>
        <v>1193.8499999999999</v>
      </c>
      <c r="F89" s="6">
        <f t="shared" si="12"/>
        <v>1250.22</v>
      </c>
      <c r="G89" s="6">
        <f t="shared" si="12"/>
        <v>982.43</v>
      </c>
      <c r="H89" s="6">
        <f t="shared" si="12"/>
        <v>1079.8599999999999</v>
      </c>
      <c r="I89" s="6">
        <f t="shared" si="12"/>
        <v>982.43</v>
      </c>
      <c r="J89" s="6">
        <f t="shared" si="12"/>
        <v>982.43</v>
      </c>
      <c r="K89" s="6">
        <f t="shared" si="12"/>
        <v>1070.06</v>
      </c>
      <c r="L89" s="6">
        <f t="shared" si="12"/>
        <v>979</v>
      </c>
      <c r="M89" s="6">
        <f t="shared" si="12"/>
        <v>979</v>
      </c>
      <c r="N89" s="20">
        <f t="shared" si="8"/>
        <v>13137.99</v>
      </c>
      <c r="O89" s="5"/>
    </row>
    <row r="90" spans="1:15" x14ac:dyDescent="0.15">
      <c r="A90" s="1" t="s">
        <v>87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4"/>
      <c r="O90" s="5"/>
    </row>
    <row r="91" spans="1:15" x14ac:dyDescent="0.15">
      <c r="A91" s="3" t="s">
        <v>88</v>
      </c>
      <c r="B91" s="4">
        <v>1555.05</v>
      </c>
      <c r="C91" s="4">
        <v>743.75</v>
      </c>
      <c r="D91" s="4">
        <v>306.25</v>
      </c>
      <c r="E91" s="4">
        <v>4116.6099999999997</v>
      </c>
      <c r="F91" s="4">
        <v>306.25</v>
      </c>
      <c r="G91" s="4">
        <v>306.25</v>
      </c>
      <c r="H91" s="4">
        <v>306.25</v>
      </c>
      <c r="I91" s="4">
        <v>296.25</v>
      </c>
      <c r="J91" s="4">
        <v>763.34</v>
      </c>
      <c r="K91" s="4">
        <v>296.25</v>
      </c>
      <c r="L91" s="4">
        <v>296.25</v>
      </c>
      <c r="M91" s="4">
        <v>296.25</v>
      </c>
      <c r="N91" s="4">
        <f t="shared" si="8"/>
        <v>9588.75</v>
      </c>
      <c r="O91" s="5"/>
    </row>
    <row r="92" spans="1:15" x14ac:dyDescent="0.15">
      <c r="A92" s="3" t="s">
        <v>89</v>
      </c>
      <c r="B92" s="4">
        <v>200</v>
      </c>
      <c r="C92" s="4">
        <v>140</v>
      </c>
      <c r="D92" s="4">
        <v>220</v>
      </c>
      <c r="E92" s="4">
        <v>240</v>
      </c>
      <c r="F92" s="4">
        <v>80</v>
      </c>
      <c r="G92" s="4">
        <v>80</v>
      </c>
      <c r="H92" s="4">
        <v>60</v>
      </c>
      <c r="I92" s="4">
        <v>120</v>
      </c>
      <c r="J92" s="4">
        <v>140</v>
      </c>
      <c r="K92" s="4">
        <v>80</v>
      </c>
      <c r="L92" s="4">
        <v>180</v>
      </c>
      <c r="M92" s="4">
        <v>200</v>
      </c>
      <c r="N92" s="4">
        <f t="shared" si="8"/>
        <v>1740</v>
      </c>
      <c r="O92" s="5"/>
    </row>
    <row r="93" spans="1:15" x14ac:dyDescent="0.15">
      <c r="A93" s="3" t="s">
        <v>90</v>
      </c>
      <c r="B93" s="4">
        <v>1411.66</v>
      </c>
      <c r="C93" s="4">
        <v>0</v>
      </c>
      <c r="D93" s="4">
        <v>515.12</v>
      </c>
      <c r="E93" s="4">
        <v>142.85</v>
      </c>
      <c r="F93" s="4">
        <v>181.88</v>
      </c>
      <c r="G93" s="4">
        <v>583.15</v>
      </c>
      <c r="H93" s="4">
        <v>6028.83</v>
      </c>
      <c r="I93" s="4">
        <v>653.83000000000004</v>
      </c>
      <c r="J93" s="4">
        <v>208.99</v>
      </c>
      <c r="K93" s="4">
        <v>609.34</v>
      </c>
      <c r="L93" s="4">
        <v>53.48</v>
      </c>
      <c r="M93" s="4">
        <v>1636.11</v>
      </c>
      <c r="N93" s="4">
        <f t="shared" si="8"/>
        <v>12025.24</v>
      </c>
      <c r="O93" s="5"/>
    </row>
    <row r="94" spans="1:15" x14ac:dyDescent="0.15">
      <c r="A94" s="3" t="s">
        <v>91</v>
      </c>
      <c r="B94" s="4">
        <v>469.28</v>
      </c>
      <c r="C94" s="4">
        <v>469.28</v>
      </c>
      <c r="D94" s="4">
        <v>469.28</v>
      </c>
      <c r="E94" s="4">
        <v>469.28</v>
      </c>
      <c r="F94" s="4">
        <v>469.28</v>
      </c>
      <c r="G94" s="4">
        <v>469.28</v>
      </c>
      <c r="H94" s="4">
        <v>469.28</v>
      </c>
      <c r="I94" s="4">
        <v>469.28</v>
      </c>
      <c r="J94" s="4">
        <v>200</v>
      </c>
      <c r="K94" s="4">
        <v>469.28</v>
      </c>
      <c r="L94" s="4">
        <v>478</v>
      </c>
      <c r="M94" s="4">
        <v>478</v>
      </c>
      <c r="N94" s="4">
        <f t="shared" si="8"/>
        <v>5379.5199999999986</v>
      </c>
      <c r="O94" s="5"/>
    </row>
    <row r="95" spans="1:15" x14ac:dyDescent="0.15">
      <c r="A95" s="3" t="s">
        <v>92</v>
      </c>
      <c r="B95" s="4">
        <v>528.29</v>
      </c>
      <c r="C95" s="4">
        <v>349.81</v>
      </c>
      <c r="D95" s="4">
        <v>339.08</v>
      </c>
      <c r="E95" s="4">
        <v>339.08</v>
      </c>
      <c r="F95" s="4">
        <v>501.68</v>
      </c>
      <c r="G95" s="4">
        <v>444.92</v>
      </c>
      <c r="H95" s="4">
        <v>456.8</v>
      </c>
      <c r="I95" s="4">
        <v>528.41999999999996</v>
      </c>
      <c r="J95" s="4">
        <v>796.29</v>
      </c>
      <c r="K95" s="4">
        <v>476.23</v>
      </c>
      <c r="L95" s="4">
        <v>478.3</v>
      </c>
      <c r="M95" s="4">
        <v>494.07</v>
      </c>
      <c r="N95" s="4">
        <f t="shared" si="8"/>
        <v>5732.97</v>
      </c>
      <c r="O95" s="5"/>
    </row>
    <row r="96" spans="1:15" x14ac:dyDescent="0.15">
      <c r="A96" s="3" t="s">
        <v>93</v>
      </c>
      <c r="B96" s="4">
        <v>256.8</v>
      </c>
      <c r="C96" s="4">
        <v>0</v>
      </c>
      <c r="D96" s="4">
        <v>0</v>
      </c>
      <c r="E96" s="4">
        <v>0</v>
      </c>
      <c r="F96" s="4">
        <v>0</v>
      </c>
      <c r="G96" s="4">
        <v>8.34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f t="shared" si="8"/>
        <v>265.14</v>
      </c>
      <c r="O96" s="5"/>
    </row>
    <row r="97" spans="1:15" x14ac:dyDescent="0.15">
      <c r="A97" s="3" t="s">
        <v>94</v>
      </c>
      <c r="B97" s="4">
        <v>237.94</v>
      </c>
      <c r="C97" s="4">
        <v>226.69</v>
      </c>
      <c r="D97" s="4">
        <v>198.61</v>
      </c>
      <c r="E97" s="4">
        <v>175.66</v>
      </c>
      <c r="F97" s="4">
        <v>228.09</v>
      </c>
      <c r="G97" s="4">
        <v>176.69</v>
      </c>
      <c r="H97" s="4">
        <v>238.72</v>
      </c>
      <c r="I97" s="4">
        <v>205.65</v>
      </c>
      <c r="J97" s="4">
        <v>227.98</v>
      </c>
      <c r="K97" s="4">
        <v>226.86</v>
      </c>
      <c r="L97" s="4">
        <v>329.86</v>
      </c>
      <c r="M97" s="4">
        <v>326.98</v>
      </c>
      <c r="N97" s="4">
        <f t="shared" si="8"/>
        <v>2799.7300000000005</v>
      </c>
      <c r="O97" s="5"/>
    </row>
    <row r="98" spans="1:15" x14ac:dyDescent="0.15">
      <c r="A98" s="3" t="s">
        <v>95</v>
      </c>
      <c r="B98" s="4">
        <v>0</v>
      </c>
      <c r="C98" s="4">
        <v>0</v>
      </c>
      <c r="D98" s="4">
        <v>0</v>
      </c>
      <c r="E98" s="4">
        <v>0</v>
      </c>
      <c r="F98" s="4">
        <v>283.14999999999998</v>
      </c>
      <c r="G98" s="4">
        <v>0</v>
      </c>
      <c r="H98" s="4">
        <v>6710.05</v>
      </c>
      <c r="I98" s="4">
        <v>1000</v>
      </c>
      <c r="J98" s="4">
        <v>0</v>
      </c>
      <c r="K98" s="4">
        <v>0</v>
      </c>
      <c r="L98" s="4">
        <v>0</v>
      </c>
      <c r="M98" s="4">
        <v>0</v>
      </c>
      <c r="N98" s="19">
        <f t="shared" si="8"/>
        <v>7993.2</v>
      </c>
      <c r="O98" s="5"/>
    </row>
    <row r="99" spans="1:15" x14ac:dyDescent="0.15">
      <c r="A99" s="1" t="s">
        <v>96</v>
      </c>
      <c r="B99" s="6">
        <f>SUM(B91:B98)</f>
        <v>4659.0199999999995</v>
      </c>
      <c r="C99" s="6">
        <f t="shared" ref="C99:M99" si="13">SUM(C91:C98)</f>
        <v>1929.53</v>
      </c>
      <c r="D99" s="6">
        <f t="shared" si="13"/>
        <v>2048.3399999999997</v>
      </c>
      <c r="E99" s="6">
        <f t="shared" si="13"/>
        <v>5483.48</v>
      </c>
      <c r="F99" s="6">
        <f t="shared" si="13"/>
        <v>2050.33</v>
      </c>
      <c r="G99" s="6">
        <f t="shared" si="13"/>
        <v>2068.6299999999997</v>
      </c>
      <c r="H99" s="6">
        <f t="shared" si="13"/>
        <v>14269.93</v>
      </c>
      <c r="I99" s="6">
        <f t="shared" si="13"/>
        <v>3273.43</v>
      </c>
      <c r="J99" s="6">
        <f t="shared" si="13"/>
        <v>2336.6</v>
      </c>
      <c r="K99" s="6">
        <f t="shared" si="13"/>
        <v>2157.96</v>
      </c>
      <c r="L99" s="6">
        <f t="shared" si="13"/>
        <v>1815.8899999999999</v>
      </c>
      <c r="M99" s="6">
        <f t="shared" si="13"/>
        <v>3431.41</v>
      </c>
      <c r="N99" s="21">
        <f t="shared" si="8"/>
        <v>45524.549999999988</v>
      </c>
      <c r="O99" s="5"/>
    </row>
    <row r="100" spans="1:15" x14ac:dyDescent="0.15">
      <c r="A100" s="1" t="s">
        <v>97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4"/>
      <c r="O100" s="5"/>
    </row>
    <row r="101" spans="1:15" x14ac:dyDescent="0.15">
      <c r="A101" s="3" t="s">
        <v>98</v>
      </c>
      <c r="B101" s="4">
        <v>7241.59</v>
      </c>
      <c r="C101" s="4">
        <v>7722.38</v>
      </c>
      <c r="D101" s="4">
        <v>8869.1200000000008</v>
      </c>
      <c r="E101" s="4">
        <v>7738.46</v>
      </c>
      <c r="F101" s="4">
        <v>7724.54</v>
      </c>
      <c r="G101" s="4">
        <v>7511.17</v>
      </c>
      <c r="H101" s="4">
        <v>5753.74</v>
      </c>
      <c r="I101" s="4">
        <v>7399.02</v>
      </c>
      <c r="J101" s="4">
        <v>7015.12</v>
      </c>
      <c r="K101" s="4">
        <v>6379.94</v>
      </c>
      <c r="L101" s="4">
        <v>6065.98</v>
      </c>
      <c r="M101" s="4">
        <v>6702.73</v>
      </c>
      <c r="N101" s="4">
        <f t="shared" si="8"/>
        <v>86123.79</v>
      </c>
      <c r="O101" s="5"/>
    </row>
    <row r="102" spans="1:15" x14ac:dyDescent="0.15">
      <c r="A102" s="3" t="s">
        <v>99</v>
      </c>
      <c r="B102" s="4">
        <v>14678.96</v>
      </c>
      <c r="C102" s="4">
        <v>14629.81</v>
      </c>
      <c r="D102" s="4">
        <v>15719.58</v>
      </c>
      <c r="E102" s="4">
        <v>15974.49</v>
      </c>
      <c r="F102" s="4">
        <v>16530.919999999998</v>
      </c>
      <c r="G102" s="4">
        <v>15350.67</v>
      </c>
      <c r="H102" s="4">
        <v>14835.99</v>
      </c>
      <c r="I102" s="4">
        <v>16471.099999999999</v>
      </c>
      <c r="J102" s="4">
        <v>14938.61</v>
      </c>
      <c r="K102" s="4">
        <v>15434.68</v>
      </c>
      <c r="L102" s="4">
        <v>15688.18</v>
      </c>
      <c r="M102" s="4">
        <v>14745.43</v>
      </c>
      <c r="N102" s="4">
        <f t="shared" si="8"/>
        <v>184998.41999999998</v>
      </c>
      <c r="O102" s="5"/>
    </row>
    <row r="103" spans="1:15" x14ac:dyDescent="0.15">
      <c r="A103" s="3" t="s">
        <v>100</v>
      </c>
      <c r="B103" s="4">
        <v>7471.11</v>
      </c>
      <c r="C103" s="4">
        <v>7471.12</v>
      </c>
      <c r="D103" s="4">
        <v>7471.32</v>
      </c>
      <c r="E103" s="4">
        <v>7999.96</v>
      </c>
      <c r="F103" s="4">
        <v>7559.77</v>
      </c>
      <c r="G103" s="4">
        <v>7559.67</v>
      </c>
      <c r="H103" s="4">
        <v>7507.6</v>
      </c>
      <c r="I103" s="4">
        <v>7626.43</v>
      </c>
      <c r="J103" s="4">
        <v>7572.52</v>
      </c>
      <c r="K103" s="4">
        <v>7565.16</v>
      </c>
      <c r="L103" s="4">
        <v>8423.7800000000007</v>
      </c>
      <c r="M103" s="4">
        <v>8423.7800000000007</v>
      </c>
      <c r="N103" s="4">
        <f t="shared" si="8"/>
        <v>92652.22</v>
      </c>
      <c r="O103" s="5"/>
    </row>
    <row r="104" spans="1:15" x14ac:dyDescent="0.15">
      <c r="A104" s="1" t="s">
        <v>101</v>
      </c>
      <c r="B104" s="6">
        <f>SUM(B101:B103)</f>
        <v>29391.66</v>
      </c>
      <c r="C104" s="6">
        <f t="shared" ref="C104:M104" si="14">SUM(C101:C103)</f>
        <v>29823.309999999998</v>
      </c>
      <c r="D104" s="6">
        <f t="shared" si="14"/>
        <v>32060.02</v>
      </c>
      <c r="E104" s="6">
        <f t="shared" si="14"/>
        <v>31712.91</v>
      </c>
      <c r="F104" s="6">
        <f t="shared" si="14"/>
        <v>31815.23</v>
      </c>
      <c r="G104" s="6">
        <f t="shared" si="14"/>
        <v>30421.510000000002</v>
      </c>
      <c r="H104" s="6">
        <f t="shared" si="14"/>
        <v>28097.33</v>
      </c>
      <c r="I104" s="6">
        <f t="shared" si="14"/>
        <v>31496.55</v>
      </c>
      <c r="J104" s="6">
        <f t="shared" si="14"/>
        <v>29526.25</v>
      </c>
      <c r="K104" s="6">
        <f t="shared" si="14"/>
        <v>29379.78</v>
      </c>
      <c r="L104" s="6">
        <f t="shared" si="14"/>
        <v>30177.940000000002</v>
      </c>
      <c r="M104" s="6">
        <f t="shared" si="14"/>
        <v>29871.940000000002</v>
      </c>
      <c r="N104" s="20">
        <f t="shared" si="8"/>
        <v>363774.43000000005</v>
      </c>
      <c r="O104" s="5"/>
    </row>
    <row r="105" spans="1:15" x14ac:dyDescent="0.15">
      <c r="A105" s="1" t="s">
        <v>102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4"/>
      <c r="O105" s="5"/>
    </row>
    <row r="106" spans="1:15" x14ac:dyDescent="0.15">
      <c r="A106" s="3" t="s">
        <v>103</v>
      </c>
      <c r="B106" s="4">
        <v>0</v>
      </c>
      <c r="C106" s="4">
        <v>5525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f t="shared" si="8"/>
        <v>5525</v>
      </c>
      <c r="O106" s="5"/>
    </row>
    <row r="107" spans="1:15" x14ac:dyDescent="0.15">
      <c r="A107" s="3" t="s">
        <v>104</v>
      </c>
      <c r="B107" s="4">
        <v>0</v>
      </c>
      <c r="C107" s="4">
        <v>0</v>
      </c>
      <c r="D107" s="4">
        <v>0</v>
      </c>
      <c r="E107" s="4">
        <v>0</v>
      </c>
      <c r="F107" s="4">
        <v>453</v>
      </c>
      <c r="G107" s="4">
        <v>558</v>
      </c>
      <c r="H107" s="4">
        <v>8000</v>
      </c>
      <c r="I107" s="4">
        <v>423</v>
      </c>
      <c r="J107" s="4">
        <v>0</v>
      </c>
      <c r="K107" s="4">
        <v>0</v>
      </c>
      <c r="L107" s="4">
        <v>0</v>
      </c>
      <c r="M107" s="4">
        <v>0</v>
      </c>
      <c r="N107" s="19">
        <f t="shared" si="8"/>
        <v>9434</v>
      </c>
      <c r="O107" s="5"/>
    </row>
    <row r="108" spans="1:15" x14ac:dyDescent="0.15">
      <c r="A108" s="1" t="s">
        <v>105</v>
      </c>
      <c r="B108" s="6">
        <v>0</v>
      </c>
      <c r="C108" s="7">
        <v>5525</v>
      </c>
      <c r="D108" s="8">
        <v>0</v>
      </c>
      <c r="E108" s="9">
        <v>0</v>
      </c>
      <c r="F108" s="10">
        <v>453</v>
      </c>
      <c r="G108" s="11">
        <v>558</v>
      </c>
      <c r="H108" s="12">
        <v>8000</v>
      </c>
      <c r="I108" s="13">
        <v>423</v>
      </c>
      <c r="J108" s="14">
        <v>0</v>
      </c>
      <c r="K108" s="15">
        <v>0</v>
      </c>
      <c r="L108" s="16">
        <v>0</v>
      </c>
      <c r="M108" s="17">
        <v>0</v>
      </c>
      <c r="N108" s="22">
        <f t="shared" si="8"/>
        <v>14959</v>
      </c>
      <c r="O108" s="5"/>
    </row>
    <row r="109" spans="1:15" x14ac:dyDescent="0.15">
      <c r="A109" s="1" t="s">
        <v>106</v>
      </c>
      <c r="B109" s="23">
        <f>SUM(B33:B108)/2</f>
        <v>168304.18999999997</v>
      </c>
      <c r="C109" s="23">
        <f>SUM(C33:C108)/2</f>
        <v>176498.5</v>
      </c>
      <c r="D109" s="23">
        <f t="shared" ref="D109:M109" si="15">SUM(D33:D108)/2</f>
        <v>175842.60000000003</v>
      </c>
      <c r="E109" s="23">
        <f t="shared" si="15"/>
        <v>180537.20999999996</v>
      </c>
      <c r="F109" s="23">
        <f t="shared" si="15"/>
        <v>173983.62</v>
      </c>
      <c r="G109" s="23">
        <f t="shared" si="15"/>
        <v>173856.55</v>
      </c>
      <c r="H109" s="23">
        <f t="shared" si="15"/>
        <v>188675.00999999998</v>
      </c>
      <c r="I109" s="23">
        <f t="shared" si="15"/>
        <v>185389.28</v>
      </c>
      <c r="J109" s="23">
        <f t="shared" si="15"/>
        <v>162210.99</v>
      </c>
      <c r="K109" s="23">
        <f t="shared" si="15"/>
        <v>159493.38</v>
      </c>
      <c r="L109" s="23">
        <f t="shared" si="15"/>
        <v>173317.96</v>
      </c>
      <c r="M109" s="23">
        <f t="shared" si="15"/>
        <v>176340.55</v>
      </c>
      <c r="N109" s="21">
        <f t="shared" si="8"/>
        <v>2094449.84</v>
      </c>
      <c r="O109" s="5"/>
    </row>
    <row r="110" spans="1:15" x14ac:dyDescent="0.15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1"/>
      <c r="O110" s="5"/>
    </row>
    <row r="111" spans="1:15" x14ac:dyDescent="0.15">
      <c r="A111" s="1" t="s">
        <v>107</v>
      </c>
      <c r="B111" s="18">
        <f>B30-B109</f>
        <v>236449.81000000003</v>
      </c>
      <c r="C111" s="18">
        <f>C30-C109</f>
        <v>227179.5</v>
      </c>
      <c r="D111" s="18">
        <f t="shared" ref="D111:M111" si="16">D30-D109</f>
        <v>231964.44999999995</v>
      </c>
      <c r="E111" s="18">
        <f t="shared" si="16"/>
        <v>226928.79000000004</v>
      </c>
      <c r="F111" s="18">
        <f t="shared" si="16"/>
        <v>232867.38</v>
      </c>
      <c r="G111" s="18">
        <f t="shared" si="16"/>
        <v>234251.35000000003</v>
      </c>
      <c r="H111" s="18">
        <f t="shared" si="16"/>
        <v>214946.99000000002</v>
      </c>
      <c r="I111" s="18">
        <f t="shared" si="16"/>
        <v>217322.72</v>
      </c>
      <c r="J111" s="18">
        <f t="shared" si="16"/>
        <v>245028.64</v>
      </c>
      <c r="K111" s="18">
        <f t="shared" si="16"/>
        <v>243125.62</v>
      </c>
      <c r="L111" s="18">
        <f t="shared" si="16"/>
        <v>232454.04</v>
      </c>
      <c r="M111" s="18">
        <f t="shared" si="16"/>
        <v>232570.02000000002</v>
      </c>
      <c r="N111" s="21">
        <f t="shared" si="8"/>
        <v>2775089.3100000005</v>
      </c>
      <c r="O111" s="5"/>
    </row>
    <row r="112" spans="1:15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5"/>
    </row>
    <row r="113" spans="2:15" x14ac:dyDescent="0.15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2:15" x14ac:dyDescent="0.15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2:15" x14ac:dyDescent="0.15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2:15" x14ac:dyDescent="0.15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2:15" x14ac:dyDescent="0.15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2:15" x14ac:dyDescent="0.15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2:15" x14ac:dyDescent="0.15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2:15" x14ac:dyDescent="0.15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</sheetData>
  <printOptions horizontalCentered="1"/>
  <pageMargins left="0.25" right="0.25" top="0.25" bottom="0.25" header="0.5" footer="0.5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CashFlow</vt:lpstr>
      <vt:lpstr>CashFlow!Print_Titles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Rajeev Kohli</cp:lastModifiedBy>
  <cp:revision>0</cp:revision>
  <cp:lastPrinted>2020-07-01T13:27:51Z</cp:lastPrinted>
  <dcterms:created xsi:type="dcterms:W3CDTF">2020-06-30T21:07:17Z</dcterms:created>
  <dcterms:modified xsi:type="dcterms:W3CDTF">2023-09-07T01:37:05Z</dcterms:modified>
</cp:coreProperties>
</file>