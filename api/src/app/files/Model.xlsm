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drawings/drawing8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11.xml" ContentType="application/vnd.openxmlformats-officedocument.drawingml.chartshapes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5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aikat\Saikat BackUp\Clik 2.0\Clik Template\Multifamily\"/>
    </mc:Choice>
  </mc:AlternateContent>
  <xr:revisionPtr revIDLastSave="0" documentId="13_ncr:1_{D9C39CE8-66A3-40B7-B3C9-5D3342CEBD09}" xr6:coauthVersionLast="45" xr6:coauthVersionMax="45" xr10:uidLastSave="{00000000-0000-0000-0000-000000000000}"/>
  <bookViews>
    <workbookView xWindow="-120" yWindow="-120" windowWidth="20730" windowHeight="11160" tabRatio="820" xr2:uid="{00000000-000D-0000-FFFF-FFFF00000000}"/>
  </bookViews>
  <sheets>
    <sheet name="Information" sheetId="1" r:id="rId1"/>
    <sheet name="Loan Analysis" sheetId="20" r:id="rId2"/>
    <sheet name="Amortization Schedule" sheetId="8" r:id="rId3"/>
    <sheet name="Property Information" sheetId="5" r:id="rId4"/>
    <sheet name="Sources &amp; Uses" sheetId="21" r:id="rId5"/>
    <sheet name="Cashflow" sheetId="2" r:id="rId6"/>
    <sheet name="CF Summary" sheetId="6" r:id="rId7"/>
    <sheet name="Trailing 12 Analysis" sheetId="9" r:id="rId8"/>
    <sheet name="Rent Roll" sheetId="4" r:id="rId9"/>
    <sheet name="Rent Roll Analysis" sheetId="19" r:id="rId10"/>
    <sheet name="Lease Analysis" sheetId="18" r:id="rId11"/>
    <sheet name="Validation" sheetId="15" state="hidden" r:id="rId12"/>
  </sheets>
  <definedNames>
    <definedName name="_xlnm._FilterDatabase" localSheetId="6" hidden="1">'CF Summary'!$B$5:$C$5</definedName>
    <definedName name="_xlchart.v1.0" hidden="1">('Trailing 12 Analysis'!$N$21:$N$27,'Trailing 12 Analysis'!$N$30:$N$33)</definedName>
    <definedName name="_xlchart.v1.1" hidden="1">('Trailing 12 Analysis'!$O$21:$O$27,'Trailing 12 Analysis'!$O$30:$O$33)</definedName>
    <definedName name="_xlchart.v1.2" hidden="1">('Trailing 12 Analysis'!$P$21:$P$27,'Trailing 12 Analysis'!$P$30:$P$33)</definedName>
    <definedName name="_xlchart.v1.3" hidden="1">('Trailing 12 Analysis'!$Q$21:$Q$27,'Trailing 12 Analysis'!$Q$30:$Q$33)</definedName>
    <definedName name="_xlchart.v1.4" hidden="1">('Trailing 12 Analysis'!$R$21:$R$27,'Trailing 12 Analysis'!$R$30:$R$33)</definedName>
    <definedName name="_xlchart.v1.5" hidden="1">('Trailing 12 Analysis'!$S$21:$S$27,'Trailing 12 Analysis'!$S$30:$S$33)</definedName>
    <definedName name="_xlcn.WorksheetConnection_Trailing12AnalysisR3W91" hidden="1">'Trailing 12 Analysis'!$N$12:$S$18</definedName>
    <definedName name="Capital_Expense">Validation!$U$23:$U$25</definedName>
    <definedName name="Category">Validation!$W$3:$W$5</definedName>
    <definedName name="CFAmountYr1">Cashflow!$FS$8:$FS$27</definedName>
    <definedName name="CFAmountYr10">Cashflow!$V$8:$V$27</definedName>
    <definedName name="CFAmountYr2">Cashflow!$FB$8:$FB$27</definedName>
    <definedName name="CFAmountYr3">Cashflow!$EK$8:$EK$27</definedName>
    <definedName name="CFAmountYr4">Cashflow!$DT$8:$DT$27</definedName>
    <definedName name="CFAmountYr5">Cashflow!$DC$8:$DC$27</definedName>
    <definedName name="CFAmountYr6">Cashflow!$CL$8:$CL$27</definedName>
    <definedName name="CFAmountYr7">Cashflow!$BU$8:$BU$27</definedName>
    <definedName name="CFAmountYr8">Cashflow!$BD$8:$BD$27</definedName>
    <definedName name="CFAmountYr9">Cashflow!$AM$8:$AM$27</definedName>
    <definedName name="CFAmountYrAppraisal">Cashflow!$GR$8:$GR$27</definedName>
    <definedName name="CFAmountYrBudget">Cashflow!$GV$8:$GV$27</definedName>
    <definedName name="CFAmountYrProforma">Cashflow!$GZ$8:$GZ$27</definedName>
    <definedName name="CFAmountYrTTM">Cashflow!$GJ$8:$GJ$27</definedName>
    <definedName name="CFAmountYrYTD">Cashflow!$GN$8:$GN$27</definedName>
    <definedName name="Expense">Validation!$U$11:$U$22</definedName>
    <definedName name="iBathRange">Validation!$Z$3:$Z$9</definedName>
    <definedName name="iBedRange">Validation!$Y$3:$Y$9</definedName>
    <definedName name="Income">Validation!$U$3:$U$10</definedName>
    <definedName name="_xlnm.Print_Area" localSheetId="6">'CF Summary'!$A$1:$AC$46</definedName>
    <definedName name="_xlnm.Print_Area" localSheetId="7">'Trailing 12 Analysis'!$44:$1048576</definedName>
    <definedName name="rng_Category">Validation!$AG$3:$AG$58</definedName>
    <definedName name="rng_mba_beds">'Rent Roll Analysis'!#REF!</definedName>
    <definedName name="rng_mba_beds_start">'Rent Roll Analysis'!#REF!</definedName>
    <definedName name="rng_mba_end">'Rent Roll Analysis'!$B$47</definedName>
    <definedName name="rng_mba_start">'Rent Roll Analysis'!#REF!</definedName>
    <definedName name="rng_mf_category">Cashflow!$C$8:$C$27</definedName>
    <definedName name="rng_rent_roll_date">'Rent Roll'!$D$5</definedName>
    <definedName name="rng_rent_status">Validation!$I$5:$I$10</definedName>
    <definedName name="rng_StatusCode">Validation!$G$18:$H$25</definedName>
    <definedName name="rng_subCategory">Validation!$AH$3:$AH$58</definedName>
    <definedName name="rngHead">Cashflow!$B$8:$B$27</definedName>
    <definedName name="UW_M1">'CF Summary'!$AN$8</definedName>
    <definedName name="UW_M2">'CF Summary'!$AN$9</definedName>
    <definedName name="UW_M3">'CF Summary'!$AN$10</definedName>
    <definedName name="UWCalcMethod">'CF Summary'!$AN$7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Range" name="Range" connection="WorksheetConnection_Trailing 12 Analysis!$R$3:$W$9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35" i="6" l="1"/>
  <c r="P36" i="6"/>
  <c r="P34" i="6"/>
  <c r="P27" i="6"/>
  <c r="P28" i="6"/>
  <c r="P29" i="6"/>
  <c r="P26" i="6"/>
  <c r="P18" i="6"/>
  <c r="P19" i="6"/>
  <c r="P20" i="6"/>
  <c r="P21" i="6"/>
  <c r="P22" i="6"/>
  <c r="P23" i="6"/>
  <c r="P17" i="6"/>
  <c r="P8" i="6"/>
  <c r="P9" i="6"/>
  <c r="P10" i="6"/>
  <c r="P11" i="6"/>
  <c r="P12" i="6"/>
  <c r="P13" i="6"/>
  <c r="P7" i="6"/>
  <c r="O35" i="6"/>
  <c r="O36" i="6"/>
  <c r="O34" i="6"/>
  <c r="O27" i="6"/>
  <c r="O28" i="6"/>
  <c r="O29" i="6"/>
  <c r="O26" i="6"/>
  <c r="O18" i="6"/>
  <c r="O19" i="6"/>
  <c r="O20" i="6"/>
  <c r="O21" i="6"/>
  <c r="O22" i="6"/>
  <c r="O23" i="6"/>
  <c r="O17" i="6"/>
  <c r="O8" i="6"/>
  <c r="O9" i="6"/>
  <c r="O10" i="6"/>
  <c r="O11" i="6"/>
  <c r="O12" i="6"/>
  <c r="O13" i="6"/>
  <c r="O7" i="6"/>
  <c r="GN33" i="2"/>
  <c r="GN31" i="2"/>
  <c r="GN30" i="2"/>
  <c r="GJ33" i="2"/>
  <c r="GJ31" i="2"/>
  <c r="GJ30" i="2"/>
  <c r="GN9" i="2" l="1"/>
  <c r="GN10" i="2"/>
  <c r="GN11" i="2"/>
  <c r="GN12" i="2"/>
  <c r="GN13" i="2"/>
  <c r="GN14" i="2"/>
  <c r="GN15" i="2"/>
  <c r="GN16" i="2"/>
  <c r="GN17" i="2"/>
  <c r="GN18" i="2"/>
  <c r="GN19" i="2"/>
  <c r="GN20" i="2"/>
  <c r="GN21" i="2"/>
  <c r="GN22" i="2"/>
  <c r="GN23" i="2"/>
  <c r="GN24" i="2"/>
  <c r="GN25" i="2"/>
  <c r="GN26" i="2"/>
  <c r="GN27" i="2"/>
  <c r="GN8" i="2"/>
  <c r="GJ9" i="2"/>
  <c r="GJ10" i="2"/>
  <c r="GJ11" i="2"/>
  <c r="GJ12" i="2"/>
  <c r="GJ13" i="2"/>
  <c r="GJ14" i="2"/>
  <c r="GJ15" i="2"/>
  <c r="GJ16" i="2"/>
  <c r="GJ17" i="2"/>
  <c r="GJ18" i="2"/>
  <c r="GJ19" i="2"/>
  <c r="GJ20" i="2"/>
  <c r="GJ21" i="2"/>
  <c r="GJ22" i="2"/>
  <c r="GJ23" i="2"/>
  <c r="GJ24" i="2"/>
  <c r="GJ25" i="2"/>
  <c r="GJ26" i="2"/>
  <c r="GJ27" i="2"/>
  <c r="GJ8" i="2"/>
  <c r="FS9" i="2"/>
  <c r="FS10" i="2"/>
  <c r="FS11" i="2"/>
  <c r="FS12" i="2"/>
  <c r="FS13" i="2"/>
  <c r="FS14" i="2"/>
  <c r="FS15" i="2"/>
  <c r="FS16" i="2"/>
  <c r="FS17" i="2"/>
  <c r="FS18" i="2"/>
  <c r="FS19" i="2"/>
  <c r="FS20" i="2"/>
  <c r="FS21" i="2"/>
  <c r="FS22" i="2"/>
  <c r="FS23" i="2"/>
  <c r="FS24" i="2"/>
  <c r="FS25" i="2"/>
  <c r="FS26" i="2"/>
  <c r="FS27" i="2"/>
  <c r="FS8" i="2"/>
  <c r="FB9" i="2"/>
  <c r="FB10" i="2"/>
  <c r="FB11" i="2"/>
  <c r="FB12" i="2"/>
  <c r="FB13" i="2"/>
  <c r="FB14" i="2"/>
  <c r="FB15" i="2"/>
  <c r="FB16" i="2"/>
  <c r="FB17" i="2"/>
  <c r="FB18" i="2"/>
  <c r="FB19" i="2"/>
  <c r="FB20" i="2"/>
  <c r="FB21" i="2"/>
  <c r="FB22" i="2"/>
  <c r="FB23" i="2"/>
  <c r="FB24" i="2"/>
  <c r="FB25" i="2"/>
  <c r="FB26" i="2"/>
  <c r="FB27" i="2"/>
  <c r="FB8" i="2"/>
  <c r="EK9" i="2"/>
  <c r="EK10" i="2"/>
  <c r="EK11" i="2"/>
  <c r="EK12" i="2"/>
  <c r="EK13" i="2"/>
  <c r="EK14" i="2"/>
  <c r="EK15" i="2"/>
  <c r="EK16" i="2"/>
  <c r="EK17" i="2"/>
  <c r="EK18" i="2"/>
  <c r="EK19" i="2"/>
  <c r="EK20" i="2"/>
  <c r="EK21" i="2"/>
  <c r="EK22" i="2"/>
  <c r="EK23" i="2"/>
  <c r="EK24" i="2"/>
  <c r="EK25" i="2"/>
  <c r="EK26" i="2"/>
  <c r="EK27" i="2"/>
  <c r="EK8" i="2"/>
  <c r="DT9" i="2"/>
  <c r="DT10" i="2"/>
  <c r="DT11" i="2"/>
  <c r="DT12" i="2"/>
  <c r="DT13" i="2"/>
  <c r="DT14" i="2"/>
  <c r="DT15" i="2"/>
  <c r="DT16" i="2"/>
  <c r="DT17" i="2"/>
  <c r="DT18" i="2"/>
  <c r="DT19" i="2"/>
  <c r="DT20" i="2"/>
  <c r="DT21" i="2"/>
  <c r="DT22" i="2"/>
  <c r="DT23" i="2"/>
  <c r="DT24" i="2"/>
  <c r="DT25" i="2"/>
  <c r="DT26" i="2"/>
  <c r="DT27" i="2"/>
  <c r="DT8" i="2"/>
  <c r="DC9" i="2"/>
  <c r="DC10" i="2"/>
  <c r="DC11" i="2"/>
  <c r="DC12" i="2"/>
  <c r="DC13" i="2"/>
  <c r="DC14" i="2"/>
  <c r="DC15" i="2"/>
  <c r="DC16" i="2"/>
  <c r="DC17" i="2"/>
  <c r="DC18" i="2"/>
  <c r="DC19" i="2"/>
  <c r="DC20" i="2"/>
  <c r="DC21" i="2"/>
  <c r="DC22" i="2"/>
  <c r="DC23" i="2"/>
  <c r="DC24" i="2"/>
  <c r="DC25" i="2"/>
  <c r="DC26" i="2"/>
  <c r="DC27" i="2"/>
  <c r="DC8" i="2"/>
  <c r="CL9" i="2"/>
  <c r="CL10" i="2"/>
  <c r="CL11" i="2"/>
  <c r="CL12" i="2"/>
  <c r="CL13" i="2"/>
  <c r="CL14" i="2"/>
  <c r="CL15" i="2"/>
  <c r="CL16" i="2"/>
  <c r="CL17" i="2"/>
  <c r="CL18" i="2"/>
  <c r="CL19" i="2"/>
  <c r="CL20" i="2"/>
  <c r="CL21" i="2"/>
  <c r="CL22" i="2"/>
  <c r="CL23" i="2"/>
  <c r="CL24" i="2"/>
  <c r="CL25" i="2"/>
  <c r="CL26" i="2"/>
  <c r="CL27" i="2"/>
  <c r="CL8" i="2"/>
  <c r="BU9" i="2"/>
  <c r="BU10" i="2"/>
  <c r="BU11" i="2"/>
  <c r="BU12" i="2"/>
  <c r="BU13" i="2"/>
  <c r="BU14" i="2"/>
  <c r="BU15" i="2"/>
  <c r="BU16" i="2"/>
  <c r="BU17" i="2"/>
  <c r="BU18" i="2"/>
  <c r="BU19" i="2"/>
  <c r="BU20" i="2"/>
  <c r="BU21" i="2"/>
  <c r="BU22" i="2"/>
  <c r="BU23" i="2"/>
  <c r="BU24" i="2"/>
  <c r="BU25" i="2"/>
  <c r="BU26" i="2"/>
  <c r="BU27" i="2"/>
  <c r="BU8" i="2"/>
  <c r="BD9" i="2"/>
  <c r="BD10" i="2"/>
  <c r="BD11" i="2"/>
  <c r="BD12" i="2"/>
  <c r="BD13" i="2"/>
  <c r="BD14" i="2"/>
  <c r="BD15" i="2"/>
  <c r="BD16" i="2"/>
  <c r="BD17" i="2"/>
  <c r="BD18" i="2"/>
  <c r="BD19" i="2"/>
  <c r="BD20" i="2"/>
  <c r="BD21" i="2"/>
  <c r="BD22" i="2"/>
  <c r="BD23" i="2"/>
  <c r="BD24" i="2"/>
  <c r="BD25" i="2"/>
  <c r="BD26" i="2"/>
  <c r="BD27" i="2"/>
  <c r="BD8" i="2"/>
  <c r="AM9" i="2"/>
  <c r="AM10" i="2"/>
  <c r="AM11" i="2"/>
  <c r="AM12" i="2"/>
  <c r="AM13" i="2"/>
  <c r="AM14" i="2"/>
  <c r="AM15" i="2"/>
  <c r="AM16" i="2"/>
  <c r="AM17" i="2"/>
  <c r="AM18" i="2"/>
  <c r="AM19" i="2"/>
  <c r="AM20" i="2"/>
  <c r="AM21" i="2"/>
  <c r="AM22" i="2"/>
  <c r="AM23" i="2"/>
  <c r="AM24" i="2"/>
  <c r="AM25" i="2"/>
  <c r="AM26" i="2"/>
  <c r="AM27" i="2"/>
  <c r="AM8" i="2"/>
  <c r="V9" i="2"/>
  <c r="V10" i="2"/>
  <c r="V11" i="2"/>
  <c r="V12" i="2"/>
  <c r="V13" i="2"/>
  <c r="V14" i="2"/>
  <c r="V15" i="2"/>
  <c r="V16" i="2"/>
  <c r="V17" i="2"/>
  <c r="V18" i="2"/>
  <c r="V19" i="2"/>
  <c r="V20" i="2"/>
  <c r="V21" i="2"/>
  <c r="V22" i="2"/>
  <c r="V23" i="2"/>
  <c r="V24" i="2"/>
  <c r="V25" i="2"/>
  <c r="V26" i="2"/>
  <c r="V27" i="2"/>
  <c r="V8" i="2"/>
  <c r="N5" i="6" l="1"/>
  <c r="M5" i="6"/>
  <c r="L5" i="6"/>
  <c r="K5" i="6"/>
  <c r="J5" i="6"/>
  <c r="I5" i="6"/>
  <c r="H5" i="6"/>
  <c r="G5" i="6"/>
  <c r="F5" i="6"/>
  <c r="E5" i="6"/>
  <c r="FD7" i="2"/>
  <c r="FE7" i="2" s="1"/>
  <c r="FF7" i="2" s="1"/>
  <c r="FG7" i="2" s="1"/>
  <c r="FH7" i="2" s="1"/>
  <c r="FI7" i="2" s="1"/>
  <c r="FJ7" i="2" s="1"/>
  <c r="FK7" i="2" s="1"/>
  <c r="FL7" i="2" s="1"/>
  <c r="FM7" i="2" s="1"/>
  <c r="FN7" i="2" s="1"/>
  <c r="FO7" i="2" s="1"/>
  <c r="FB7" i="2"/>
  <c r="EM7" i="2" s="1"/>
  <c r="EN7" i="2" s="1"/>
  <c r="EO7" i="2" s="1"/>
  <c r="EP7" i="2" s="1"/>
  <c r="EQ7" i="2" s="1"/>
  <c r="EK7" i="2" l="1"/>
  <c r="DV7" i="2" s="1"/>
  <c r="DW7" i="2" s="1"/>
  <c r="DX7" i="2" s="1"/>
  <c r="DT7" i="2" l="1"/>
  <c r="DC7" i="2" s="1"/>
  <c r="DE7" i="2"/>
  <c r="DF7" i="2" s="1"/>
  <c r="DG7" i="2" s="1"/>
  <c r="DH7" i="2" s="1"/>
  <c r="DI7" i="2" s="1"/>
  <c r="DJ7" i="2" s="1"/>
  <c r="DK7" i="2" s="1"/>
  <c r="DL7" i="2" s="1"/>
  <c r="DM7" i="2" s="1"/>
  <c r="DN7" i="2" s="1"/>
  <c r="DO7" i="2" s="1"/>
  <c r="DP7" i="2" s="1"/>
  <c r="CN7" i="2" l="1"/>
  <c r="CO7" i="2" s="1"/>
  <c r="CP7" i="2" s="1"/>
  <c r="CQ7" i="2" s="1"/>
  <c r="CR7" i="2" s="1"/>
  <c r="CS7" i="2" s="1"/>
  <c r="CT7" i="2" s="1"/>
  <c r="CU7" i="2" s="1"/>
  <c r="CV7" i="2" s="1"/>
  <c r="CW7" i="2" s="1"/>
  <c r="CX7" i="2" s="1"/>
  <c r="CY7" i="2" s="1"/>
  <c r="CL7" i="2"/>
  <c r="BU7" i="2" l="1"/>
  <c r="BW7" i="2"/>
  <c r="BX7" i="2" s="1"/>
  <c r="BY7" i="2" s="1"/>
  <c r="BZ7" i="2" s="1"/>
  <c r="CA7" i="2" s="1"/>
  <c r="CB7" i="2" s="1"/>
  <c r="CC7" i="2" s="1"/>
  <c r="CD7" i="2" s="1"/>
  <c r="CE7" i="2" s="1"/>
  <c r="CF7" i="2" s="1"/>
  <c r="CG7" i="2" s="1"/>
  <c r="CH7" i="2" s="1"/>
  <c r="BF7" i="2" l="1"/>
  <c r="BG7" i="2" s="1"/>
  <c r="BH7" i="2" s="1"/>
  <c r="BD7" i="2"/>
  <c r="AO7" i="2" l="1"/>
  <c r="AP7" i="2" s="1"/>
  <c r="AQ7" i="2" s="1"/>
  <c r="AR7" i="2" s="1"/>
  <c r="AS7" i="2" s="1"/>
  <c r="AT7" i="2" s="1"/>
  <c r="AU7" i="2" s="1"/>
  <c r="AV7" i="2" s="1"/>
  <c r="AW7" i="2" s="1"/>
  <c r="AX7" i="2" s="1"/>
  <c r="AY7" i="2" s="1"/>
  <c r="AZ7" i="2" s="1"/>
  <c r="AM7" i="2"/>
  <c r="V7" i="2" l="1"/>
  <c r="G7" i="2" s="1"/>
  <c r="H7" i="2" s="1"/>
  <c r="I7" i="2" s="1"/>
  <c r="J7" i="2" s="1"/>
  <c r="K7" i="2" s="1"/>
  <c r="L7" i="2" s="1"/>
  <c r="M7" i="2" s="1"/>
  <c r="N7" i="2" s="1"/>
  <c r="O7" i="2" s="1"/>
  <c r="P7" i="2" s="1"/>
  <c r="Q7" i="2" s="1"/>
  <c r="R7" i="2" s="1"/>
  <c r="X7" i="2"/>
  <c r="Y7" i="2" s="1"/>
  <c r="Z7" i="2" s="1"/>
  <c r="AA7" i="2" s="1"/>
  <c r="AB7" i="2" s="1"/>
  <c r="AC7" i="2" s="1"/>
  <c r="AD7" i="2" s="1"/>
  <c r="AE7" i="2" s="1"/>
  <c r="AF7" i="2" s="1"/>
  <c r="AG7" i="2" s="1"/>
  <c r="AH7" i="2" s="1"/>
  <c r="AI7" i="2" s="1"/>
  <c r="P5" i="6" l="1"/>
  <c r="O5" i="6"/>
  <c r="R34" i="6" l="1"/>
  <c r="P25" i="6" l="1"/>
  <c r="P33" i="6"/>
  <c r="P16" i="6"/>
  <c r="P6" i="6"/>
  <c r="GK33" i="2"/>
  <c r="GK31" i="2"/>
  <c r="GK30" i="2"/>
  <c r="GK32" i="2" l="1"/>
  <c r="P15" i="6"/>
  <c r="P31" i="6" s="1"/>
  <c r="P40" i="6" s="1"/>
  <c r="GK34" i="2"/>
  <c r="P38" i="6"/>
  <c r="GN32" i="2"/>
  <c r="GN34" i="2" s="1"/>
  <c r="Z5" i="6"/>
  <c r="Y5" i="6"/>
  <c r="X5" i="6"/>
  <c r="AE12" i="4" l="1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37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D10" i="4"/>
  <c r="AC10" i="4"/>
  <c r="AB10" i="4"/>
  <c r="Z10" i="4"/>
  <c r="Y10" i="4"/>
  <c r="X10" i="4"/>
  <c r="W10" i="4"/>
  <c r="V10" i="4"/>
  <c r="T10" i="4"/>
  <c r="R10" i="4"/>
  <c r="Q10" i="4"/>
  <c r="O10" i="4"/>
  <c r="P10" i="4" s="1"/>
  <c r="K10" i="4"/>
  <c r="J10" i="4"/>
  <c r="O40" i="9" l="1"/>
  <c r="O41" i="9"/>
  <c r="O39" i="9"/>
  <c r="P40" i="9"/>
  <c r="P41" i="9"/>
  <c r="P39" i="9"/>
  <c r="Q40" i="9"/>
  <c r="Q41" i="9"/>
  <c r="Q39" i="9"/>
  <c r="R40" i="9"/>
  <c r="R41" i="9"/>
  <c r="R39" i="9"/>
  <c r="S40" i="9"/>
  <c r="S41" i="9"/>
  <c r="S39" i="9"/>
  <c r="S31" i="9"/>
  <c r="S32" i="9"/>
  <c r="S33" i="9"/>
  <c r="S30" i="9"/>
  <c r="R31" i="9"/>
  <c r="R32" i="9"/>
  <c r="R33" i="9"/>
  <c r="R30" i="9"/>
  <c r="Q31" i="9"/>
  <c r="Q32" i="9"/>
  <c r="Q33" i="9"/>
  <c r="Q30" i="9"/>
  <c r="P31" i="9"/>
  <c r="P32" i="9"/>
  <c r="P33" i="9"/>
  <c r="P30" i="9"/>
  <c r="O31" i="9"/>
  <c r="O32" i="9"/>
  <c r="O33" i="9"/>
  <c r="O30" i="9"/>
  <c r="S22" i="9"/>
  <c r="S23" i="9"/>
  <c r="S24" i="9"/>
  <c r="S25" i="9"/>
  <c r="S26" i="9"/>
  <c r="S27" i="9"/>
  <c r="S21" i="9"/>
  <c r="R22" i="9"/>
  <c r="R23" i="9"/>
  <c r="R24" i="9"/>
  <c r="R25" i="9"/>
  <c r="R26" i="9"/>
  <c r="R27" i="9"/>
  <c r="R21" i="9"/>
  <c r="Q22" i="9"/>
  <c r="Q23" i="9"/>
  <c r="Q24" i="9"/>
  <c r="Q25" i="9"/>
  <c r="Q26" i="9"/>
  <c r="Q27" i="9"/>
  <c r="Q21" i="9"/>
  <c r="P22" i="9"/>
  <c r="P23" i="9"/>
  <c r="P24" i="9"/>
  <c r="P25" i="9"/>
  <c r="P26" i="9"/>
  <c r="P27" i="9"/>
  <c r="P21" i="9"/>
  <c r="O22" i="9"/>
  <c r="O23" i="9"/>
  <c r="O24" i="9"/>
  <c r="O25" i="9"/>
  <c r="O26" i="9"/>
  <c r="O27" i="9"/>
  <c r="O21" i="9"/>
  <c r="S13" i="9"/>
  <c r="S14" i="9"/>
  <c r="S15" i="9"/>
  <c r="S16" i="9"/>
  <c r="S17" i="9"/>
  <c r="S18" i="9"/>
  <c r="S12" i="9"/>
  <c r="R13" i="9"/>
  <c r="R14" i="9"/>
  <c r="R15" i="9"/>
  <c r="R16" i="9"/>
  <c r="R17" i="9"/>
  <c r="R18" i="9"/>
  <c r="R12" i="9"/>
  <c r="Q13" i="9"/>
  <c r="Q14" i="9"/>
  <c r="Q15" i="9"/>
  <c r="Q16" i="9"/>
  <c r="Q17" i="9"/>
  <c r="Q18" i="9"/>
  <c r="Q12" i="9"/>
  <c r="P13" i="9"/>
  <c r="P14" i="9"/>
  <c r="P15" i="9"/>
  <c r="P16" i="9"/>
  <c r="P17" i="9"/>
  <c r="P18" i="9"/>
  <c r="P12" i="9"/>
  <c r="O13" i="9"/>
  <c r="O14" i="9"/>
  <c r="O15" i="9"/>
  <c r="O16" i="9"/>
  <c r="O17" i="9"/>
  <c r="O18" i="9"/>
  <c r="O12" i="9"/>
  <c r="J17" i="18" l="1"/>
  <c r="B17" i="18"/>
  <c r="N23" i="19" l="1"/>
  <c r="N24" i="19"/>
  <c r="N25" i="19"/>
  <c r="N26" i="19"/>
  <c r="N27" i="19"/>
  <c r="N22" i="19"/>
  <c r="L23" i="19"/>
  <c r="L24" i="19"/>
  <c r="L25" i="19"/>
  <c r="L26" i="19"/>
  <c r="L27" i="19"/>
  <c r="L22" i="19"/>
  <c r="F33" i="19" l="1"/>
  <c r="G33" i="19"/>
  <c r="F34" i="19"/>
  <c r="G34" i="19"/>
  <c r="F35" i="19"/>
  <c r="G35" i="19"/>
  <c r="F36" i="19"/>
  <c r="G36" i="19"/>
  <c r="F37" i="19"/>
  <c r="G37" i="19"/>
  <c r="F38" i="19"/>
  <c r="G38" i="19"/>
  <c r="F39" i="19"/>
  <c r="G39" i="19"/>
  <c r="F40" i="19"/>
  <c r="G40" i="19"/>
  <c r="F41" i="19"/>
  <c r="G41" i="19"/>
  <c r="F42" i="19"/>
  <c r="G42" i="19"/>
  <c r="F43" i="19"/>
  <c r="G43" i="19"/>
  <c r="F44" i="19"/>
  <c r="G44" i="19"/>
  <c r="G32" i="19"/>
  <c r="F32" i="19"/>
  <c r="B12" i="4" l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B34" i="4" s="1"/>
  <c r="B35" i="4" s="1"/>
  <c r="B36" i="4" s="1"/>
  <c r="B37" i="4" s="1"/>
  <c r="B38" i="4" s="1"/>
  <c r="B39" i="4" s="1"/>
  <c r="B40" i="4" s="1"/>
  <c r="B41" i="4" s="1"/>
  <c r="B42" i="4" s="1"/>
  <c r="B43" i="4" s="1"/>
  <c r="B44" i="4" s="1"/>
  <c r="B45" i="4" s="1"/>
  <c r="B46" i="4" s="1"/>
  <c r="B47" i="4" s="1"/>
  <c r="B48" i="4" s="1"/>
  <c r="B49" i="4" s="1"/>
  <c r="B50" i="4" s="1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11" i="4"/>
  <c r="N12" i="4"/>
  <c r="N13" i="4"/>
  <c r="N14" i="4"/>
  <c r="N15" i="4"/>
  <c r="N16" i="4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41" i="4"/>
  <c r="N42" i="4"/>
  <c r="N43" i="4"/>
  <c r="N44" i="4"/>
  <c r="N45" i="4"/>
  <c r="N46" i="4"/>
  <c r="N47" i="4"/>
  <c r="N48" i="4"/>
  <c r="N49" i="4"/>
  <c r="N50" i="4"/>
  <c r="N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Q37" i="4"/>
  <c r="Q38" i="4"/>
  <c r="Q39" i="4"/>
  <c r="Q40" i="4"/>
  <c r="Q41" i="4"/>
  <c r="Q42" i="4"/>
  <c r="Q43" i="4"/>
  <c r="Q44" i="4"/>
  <c r="Q45" i="4"/>
  <c r="Q46" i="4"/>
  <c r="Q47" i="4"/>
  <c r="Q48" i="4"/>
  <c r="Q49" i="4"/>
  <c r="Q50" i="4"/>
  <c r="Q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11" i="4"/>
  <c r="T12" i="4"/>
  <c r="T13" i="4"/>
  <c r="T14" i="4"/>
  <c r="T15" i="4"/>
  <c r="T16" i="4"/>
  <c r="T17" i="4"/>
  <c r="T18" i="4"/>
  <c r="T19" i="4"/>
  <c r="T20" i="4"/>
  <c r="T21" i="4"/>
  <c r="T22" i="4"/>
  <c r="T23" i="4"/>
  <c r="T24" i="4"/>
  <c r="T25" i="4"/>
  <c r="T26" i="4"/>
  <c r="T27" i="4"/>
  <c r="T28" i="4"/>
  <c r="T29" i="4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X37" i="4"/>
  <c r="X38" i="4"/>
  <c r="X39" i="4"/>
  <c r="X40" i="4"/>
  <c r="X41" i="4"/>
  <c r="X42" i="4"/>
  <c r="X43" i="4"/>
  <c r="X44" i="4"/>
  <c r="X45" i="4"/>
  <c r="X46" i="4"/>
  <c r="X47" i="4"/>
  <c r="X48" i="4"/>
  <c r="X49" i="4"/>
  <c r="X50" i="4"/>
  <c r="X11" i="4"/>
  <c r="AA12" i="4"/>
  <c r="AA13" i="4"/>
  <c r="AA14" i="4"/>
  <c r="AA15" i="4"/>
  <c r="AA16" i="4"/>
  <c r="AA17" i="4"/>
  <c r="AA18" i="4"/>
  <c r="AA19" i="4"/>
  <c r="AA20" i="4"/>
  <c r="AA21" i="4"/>
  <c r="AA22" i="4"/>
  <c r="AA23" i="4"/>
  <c r="AA24" i="4"/>
  <c r="AA25" i="4"/>
  <c r="AA26" i="4"/>
  <c r="AA27" i="4"/>
  <c r="AA28" i="4"/>
  <c r="AA29" i="4"/>
  <c r="AA30" i="4"/>
  <c r="AA31" i="4"/>
  <c r="AA32" i="4"/>
  <c r="AA33" i="4"/>
  <c r="AA34" i="4"/>
  <c r="AA35" i="4"/>
  <c r="AA36" i="4"/>
  <c r="AA37" i="4"/>
  <c r="AA38" i="4"/>
  <c r="AA39" i="4"/>
  <c r="AA40" i="4"/>
  <c r="AA41" i="4"/>
  <c r="AA42" i="4"/>
  <c r="AA43" i="4"/>
  <c r="AA44" i="4"/>
  <c r="AA45" i="4"/>
  <c r="AA46" i="4"/>
  <c r="AA47" i="4"/>
  <c r="AA48" i="4"/>
  <c r="AA49" i="4"/>
  <c r="AA50" i="4"/>
  <c r="AA11" i="4"/>
  <c r="AA10" i="4" l="1"/>
  <c r="AE11" i="4"/>
  <c r="AE10" i="4" s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11" i="4"/>
  <c r="S10" i="4" s="1"/>
  <c r="R7" i="6" s="1"/>
  <c r="Z35" i="6"/>
  <c r="Z36" i="6"/>
  <c r="Z34" i="6"/>
  <c r="Z27" i="6"/>
  <c r="Z28" i="6"/>
  <c r="Z29" i="6"/>
  <c r="Z26" i="6"/>
  <c r="Z18" i="6"/>
  <c r="Z19" i="6"/>
  <c r="Z20" i="6"/>
  <c r="Z21" i="6"/>
  <c r="Z22" i="6"/>
  <c r="Z23" i="6"/>
  <c r="Z17" i="6"/>
  <c r="Z8" i="6"/>
  <c r="Z9" i="6"/>
  <c r="Z10" i="6"/>
  <c r="Z11" i="6"/>
  <c r="Z12" i="6"/>
  <c r="Z13" i="6"/>
  <c r="Z7" i="6"/>
  <c r="X35" i="6"/>
  <c r="X36" i="6"/>
  <c r="X34" i="6"/>
  <c r="X27" i="6"/>
  <c r="X28" i="6"/>
  <c r="X29" i="6"/>
  <c r="X26" i="6"/>
  <c r="X18" i="6"/>
  <c r="X19" i="6"/>
  <c r="X20" i="6"/>
  <c r="X21" i="6"/>
  <c r="X22" i="6"/>
  <c r="X23" i="6"/>
  <c r="X17" i="6"/>
  <c r="X7" i="6"/>
  <c r="X8" i="6"/>
  <c r="X9" i="6"/>
  <c r="X10" i="6"/>
  <c r="X11" i="6"/>
  <c r="X12" i="6"/>
  <c r="X13" i="6"/>
  <c r="Z33" i="6" l="1"/>
  <c r="X33" i="6"/>
  <c r="Z16" i="6"/>
  <c r="X16" i="6"/>
  <c r="E44" i="19" l="1"/>
  <c r="E43" i="19"/>
  <c r="E42" i="19"/>
  <c r="E41" i="19"/>
  <c r="E40" i="19"/>
  <c r="E39" i="19"/>
  <c r="E38" i="19"/>
  <c r="E37" i="19"/>
  <c r="E36" i="19"/>
  <c r="E35" i="19"/>
  <c r="E34" i="19"/>
  <c r="E33" i="19"/>
  <c r="E32" i="19"/>
  <c r="R32" i="19"/>
  <c r="R33" i="19"/>
  <c r="R34" i="19"/>
  <c r="R35" i="19"/>
  <c r="R36" i="19"/>
  <c r="R37" i="19"/>
  <c r="R38" i="19"/>
  <c r="R39" i="19"/>
  <c r="R40" i="19"/>
  <c r="R41" i="19"/>
  <c r="R42" i="19"/>
  <c r="R43" i="19"/>
  <c r="R44" i="19"/>
  <c r="E26" i="19"/>
  <c r="F26" i="19"/>
  <c r="H26" i="19"/>
  <c r="J26" i="19"/>
  <c r="G26" i="19" l="1"/>
  <c r="R45" i="19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11" i="4"/>
  <c r="F45" i="19" l="1"/>
  <c r="G45" i="19"/>
  <c r="C16" i="20"/>
  <c r="P34" i="9" l="1"/>
  <c r="Q34" i="9"/>
  <c r="R34" i="9"/>
  <c r="S34" i="9"/>
  <c r="O34" i="9"/>
  <c r="GE7" i="2" l="1"/>
  <c r="GD7" i="2" s="1"/>
  <c r="GC7" i="2" s="1"/>
  <c r="GB7" i="2" s="1"/>
  <c r="GA7" i="2" s="1"/>
  <c r="FZ7" i="2" s="1"/>
  <c r="FY7" i="2" s="1"/>
  <c r="FX7" i="2" s="1"/>
  <c r="FW7" i="2" s="1"/>
  <c r="FV7" i="2" s="1"/>
  <c r="FU7" i="2" s="1"/>
  <c r="N33" i="19" l="1"/>
  <c r="N34" i="19"/>
  <c r="N35" i="19"/>
  <c r="N36" i="19"/>
  <c r="N37" i="19"/>
  <c r="N38" i="19"/>
  <c r="N39" i="19"/>
  <c r="N40" i="19"/>
  <c r="N41" i="19"/>
  <c r="N42" i="19"/>
  <c r="N43" i="19"/>
  <c r="N44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32" i="19"/>
  <c r="H33" i="19"/>
  <c r="H34" i="19"/>
  <c r="H35" i="19"/>
  <c r="H36" i="19"/>
  <c r="H37" i="19"/>
  <c r="H38" i="19"/>
  <c r="H39" i="19"/>
  <c r="H40" i="19"/>
  <c r="H41" i="19"/>
  <c r="H42" i="19"/>
  <c r="H43" i="19"/>
  <c r="H44" i="19"/>
  <c r="H32" i="19"/>
  <c r="Q43" i="19" l="1"/>
  <c r="Q42" i="19"/>
  <c r="Q38" i="19"/>
  <c r="Q34" i="19"/>
  <c r="Q39" i="19"/>
  <c r="Q35" i="19"/>
  <c r="Q32" i="19"/>
  <c r="Q41" i="19"/>
  <c r="Q37" i="19"/>
  <c r="Q33" i="19"/>
  <c r="Q44" i="19"/>
  <c r="Q40" i="19"/>
  <c r="Q36" i="19"/>
  <c r="M43" i="19"/>
  <c r="M35" i="19"/>
  <c r="M42" i="19"/>
  <c r="M38" i="19"/>
  <c r="M34" i="19"/>
  <c r="M41" i="19"/>
  <c r="M37" i="19"/>
  <c r="M33" i="19"/>
  <c r="M39" i="19"/>
  <c r="M44" i="19"/>
  <c r="M40" i="19"/>
  <c r="M36" i="19"/>
  <c r="FQ9" i="2" l="1"/>
  <c r="FQ10" i="2"/>
  <c r="FQ11" i="2"/>
  <c r="FQ12" i="2"/>
  <c r="FQ13" i="2"/>
  <c r="FQ14" i="2"/>
  <c r="FQ15" i="2"/>
  <c r="FQ16" i="2"/>
  <c r="FQ17" i="2"/>
  <c r="FQ18" i="2"/>
  <c r="FQ19" i="2"/>
  <c r="FQ20" i="2"/>
  <c r="FQ21" i="2"/>
  <c r="FQ22" i="2"/>
  <c r="FQ23" i="2"/>
  <c r="FQ24" i="2"/>
  <c r="FQ25" i="2"/>
  <c r="FQ26" i="2"/>
  <c r="FQ27" i="2"/>
  <c r="FQ8" i="2"/>
  <c r="EZ9" i="2"/>
  <c r="EZ10" i="2"/>
  <c r="EZ11" i="2"/>
  <c r="EZ12" i="2"/>
  <c r="EZ13" i="2"/>
  <c r="EZ14" i="2"/>
  <c r="EZ15" i="2"/>
  <c r="EZ16" i="2"/>
  <c r="EZ17" i="2"/>
  <c r="EZ18" i="2"/>
  <c r="EZ19" i="2"/>
  <c r="EZ20" i="2"/>
  <c r="EZ21" i="2"/>
  <c r="EZ22" i="2"/>
  <c r="EZ23" i="2"/>
  <c r="EZ24" i="2"/>
  <c r="EZ25" i="2"/>
  <c r="EZ26" i="2"/>
  <c r="EZ27" i="2"/>
  <c r="EZ8" i="2"/>
  <c r="EI9" i="2"/>
  <c r="EI10" i="2"/>
  <c r="EI11" i="2"/>
  <c r="EI12" i="2"/>
  <c r="EI13" i="2"/>
  <c r="EI14" i="2"/>
  <c r="EI15" i="2"/>
  <c r="EI16" i="2"/>
  <c r="EI17" i="2"/>
  <c r="EI18" i="2"/>
  <c r="EI19" i="2"/>
  <c r="EI20" i="2"/>
  <c r="EI21" i="2"/>
  <c r="EI22" i="2"/>
  <c r="EI23" i="2"/>
  <c r="EI24" i="2"/>
  <c r="EI25" i="2"/>
  <c r="EI26" i="2"/>
  <c r="EI27" i="2"/>
  <c r="EI8" i="2"/>
  <c r="DR9" i="2"/>
  <c r="DR10" i="2"/>
  <c r="DR11" i="2"/>
  <c r="DR12" i="2"/>
  <c r="DR13" i="2"/>
  <c r="DR14" i="2"/>
  <c r="DR15" i="2"/>
  <c r="DR16" i="2"/>
  <c r="DR17" i="2"/>
  <c r="DR18" i="2"/>
  <c r="DR19" i="2"/>
  <c r="DR20" i="2"/>
  <c r="DR21" i="2"/>
  <c r="DR22" i="2"/>
  <c r="DR23" i="2"/>
  <c r="DR24" i="2"/>
  <c r="DR25" i="2"/>
  <c r="DR26" i="2"/>
  <c r="DR27" i="2"/>
  <c r="DR8" i="2"/>
  <c r="DA9" i="2"/>
  <c r="DA10" i="2"/>
  <c r="DA11" i="2"/>
  <c r="DA12" i="2"/>
  <c r="DA13" i="2"/>
  <c r="DA14" i="2"/>
  <c r="DA15" i="2"/>
  <c r="DA16" i="2"/>
  <c r="DA17" i="2"/>
  <c r="DA18" i="2"/>
  <c r="DA19" i="2"/>
  <c r="DA20" i="2"/>
  <c r="DA21" i="2"/>
  <c r="DA22" i="2"/>
  <c r="DA23" i="2"/>
  <c r="DA24" i="2"/>
  <c r="DA25" i="2"/>
  <c r="DA26" i="2"/>
  <c r="DA27" i="2"/>
  <c r="DA8" i="2"/>
  <c r="CJ9" i="2"/>
  <c r="CJ10" i="2"/>
  <c r="CJ11" i="2"/>
  <c r="CJ12" i="2"/>
  <c r="CJ13" i="2"/>
  <c r="CJ14" i="2"/>
  <c r="CJ15" i="2"/>
  <c r="CJ16" i="2"/>
  <c r="CJ17" i="2"/>
  <c r="CJ18" i="2"/>
  <c r="CJ19" i="2"/>
  <c r="CJ20" i="2"/>
  <c r="CJ21" i="2"/>
  <c r="CJ22" i="2"/>
  <c r="CJ23" i="2"/>
  <c r="CJ24" i="2"/>
  <c r="CJ25" i="2"/>
  <c r="CJ26" i="2"/>
  <c r="CJ27" i="2"/>
  <c r="CJ8" i="2"/>
  <c r="BS9" i="2"/>
  <c r="BS10" i="2"/>
  <c r="BS11" i="2"/>
  <c r="BS12" i="2"/>
  <c r="BS13" i="2"/>
  <c r="BS14" i="2"/>
  <c r="BS15" i="2"/>
  <c r="BS16" i="2"/>
  <c r="BS17" i="2"/>
  <c r="BS18" i="2"/>
  <c r="BS19" i="2"/>
  <c r="BS20" i="2"/>
  <c r="BS21" i="2"/>
  <c r="BS22" i="2"/>
  <c r="BS23" i="2"/>
  <c r="BS24" i="2"/>
  <c r="BS25" i="2"/>
  <c r="BS26" i="2"/>
  <c r="BS27" i="2"/>
  <c r="BS8" i="2"/>
  <c r="BB9" i="2"/>
  <c r="BB10" i="2"/>
  <c r="BB11" i="2"/>
  <c r="BB12" i="2"/>
  <c r="BB13" i="2"/>
  <c r="BB14" i="2"/>
  <c r="BB15" i="2"/>
  <c r="BB16" i="2"/>
  <c r="BB17" i="2"/>
  <c r="BB18" i="2"/>
  <c r="BB19" i="2"/>
  <c r="BB20" i="2"/>
  <c r="BB21" i="2"/>
  <c r="BB22" i="2"/>
  <c r="BB23" i="2"/>
  <c r="BB24" i="2"/>
  <c r="BB25" i="2"/>
  <c r="BB26" i="2"/>
  <c r="BB27" i="2"/>
  <c r="BB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8" i="2"/>
  <c r="T9" i="2"/>
  <c r="T10" i="2"/>
  <c r="T11" i="2"/>
  <c r="T12" i="2"/>
  <c r="T13" i="2"/>
  <c r="T14" i="2"/>
  <c r="T15" i="2"/>
  <c r="T16" i="2"/>
  <c r="T17" i="2"/>
  <c r="T18" i="2"/>
  <c r="T19" i="2"/>
  <c r="T20" i="2"/>
  <c r="T21" i="2"/>
  <c r="T22" i="2"/>
  <c r="T23" i="2"/>
  <c r="T24" i="2"/>
  <c r="T25" i="2"/>
  <c r="T26" i="2"/>
  <c r="T27" i="2"/>
  <c r="T8" i="2"/>
  <c r="FB33" i="2" l="1"/>
  <c r="FB31" i="2"/>
  <c r="FB30" i="2"/>
  <c r="EK33" i="2"/>
  <c r="EK31" i="2"/>
  <c r="EK30" i="2"/>
  <c r="DT33" i="2"/>
  <c r="DT31" i="2"/>
  <c r="DT30" i="2"/>
  <c r="DC33" i="2"/>
  <c r="DC31" i="2"/>
  <c r="DC30" i="2"/>
  <c r="CL33" i="2"/>
  <c r="CL31" i="2"/>
  <c r="CL30" i="2"/>
  <c r="BU33" i="2"/>
  <c r="BU31" i="2"/>
  <c r="BU30" i="2"/>
  <c r="AM30" i="2"/>
  <c r="BD33" i="2"/>
  <c r="BD31" i="2"/>
  <c r="BD30" i="2"/>
  <c r="AM33" i="2"/>
  <c r="AM31" i="2"/>
  <c r="ER7" i="2" l="1"/>
  <c r="ES7" i="2" s="1"/>
  <c r="ET7" i="2" s="1"/>
  <c r="EU7" i="2" s="1"/>
  <c r="EV7" i="2" s="1"/>
  <c r="EW7" i="2" s="1"/>
  <c r="EX7" i="2" s="1"/>
  <c r="BU32" i="2" l="1"/>
  <c r="BU34" i="2" s="1"/>
  <c r="CL32" i="2"/>
  <c r="CL34" i="2" s="1"/>
  <c r="BD32" i="2"/>
  <c r="BD34" i="2" s="1"/>
  <c r="DT32" i="2"/>
  <c r="DT34" i="2" s="1"/>
  <c r="AM32" i="2"/>
  <c r="AM34" i="2" s="1"/>
  <c r="DC32" i="2"/>
  <c r="DC34" i="2" s="1"/>
  <c r="FB32" i="2"/>
  <c r="FB34" i="2" s="1"/>
  <c r="EK32" i="2"/>
  <c r="EK34" i="2" s="1"/>
  <c r="GZ33" i="2"/>
  <c r="GZ31" i="2"/>
  <c r="GZ30" i="2"/>
  <c r="GV33" i="2"/>
  <c r="GV31" i="2"/>
  <c r="GV30" i="2"/>
  <c r="GR33" i="2"/>
  <c r="GR31" i="2"/>
  <c r="GR30" i="2"/>
  <c r="FS33" i="2"/>
  <c r="FS31" i="2"/>
  <c r="FS30" i="2"/>
  <c r="GG33" i="2"/>
  <c r="FC33" i="2"/>
  <c r="EL33" i="2"/>
  <c r="DU33" i="2"/>
  <c r="DD33" i="2"/>
  <c r="CM33" i="2"/>
  <c r="BV33" i="2"/>
  <c r="BE33" i="2"/>
  <c r="AN33" i="2"/>
  <c r="GG31" i="2"/>
  <c r="FC31" i="2"/>
  <c r="EL31" i="2"/>
  <c r="DU31" i="2"/>
  <c r="DD31" i="2"/>
  <c r="CM31" i="2"/>
  <c r="BV31" i="2"/>
  <c r="BE31" i="2"/>
  <c r="AN31" i="2"/>
  <c r="GG30" i="2"/>
  <c r="FC30" i="2"/>
  <c r="EL30" i="2"/>
  <c r="DU30" i="2"/>
  <c r="DD30" i="2"/>
  <c r="CM30" i="2"/>
  <c r="BV30" i="2"/>
  <c r="BE30" i="2"/>
  <c r="AN30" i="2"/>
  <c r="V33" i="2"/>
  <c r="V31" i="2"/>
  <c r="V30" i="2"/>
  <c r="DY7" i="2" l="1"/>
  <c r="DZ7" i="2" s="1"/>
  <c r="EA7" i="2" s="1"/>
  <c r="EB7" i="2" s="1"/>
  <c r="EC7" i="2" s="1"/>
  <c r="ED7" i="2" s="1"/>
  <c r="EE7" i="2" s="1"/>
  <c r="EF7" i="2" s="1"/>
  <c r="EG7" i="2" s="1"/>
  <c r="CM32" i="2"/>
  <c r="FC32" i="2"/>
  <c r="FC34" i="2" s="1"/>
  <c r="DU32" i="2"/>
  <c r="DU34" i="2" s="1"/>
  <c r="BV32" i="2"/>
  <c r="BV34" i="2" s="1"/>
  <c r="EL32" i="2"/>
  <c r="EL34" i="2" s="1"/>
  <c r="BE32" i="2"/>
  <c r="BE34" i="2" s="1"/>
  <c r="CM34" i="2"/>
  <c r="GZ32" i="2"/>
  <c r="GZ34" i="2" s="1"/>
  <c r="GV32" i="2"/>
  <c r="GV34" i="2" s="1"/>
  <c r="GR32" i="2"/>
  <c r="GR34" i="2" s="1"/>
  <c r="GJ32" i="2"/>
  <c r="GJ34" i="2" s="1"/>
  <c r="AN32" i="2"/>
  <c r="AN34" i="2" s="1"/>
  <c r="DD32" i="2"/>
  <c r="DD34" i="2" s="1"/>
  <c r="FS32" i="2"/>
  <c r="FS34" i="2" s="1"/>
  <c r="GG32" i="2"/>
  <c r="GG34" i="2" s="1"/>
  <c r="V32" i="2"/>
  <c r="V34" i="2" s="1"/>
  <c r="O28" i="9" l="1"/>
  <c r="O36" i="9" s="1"/>
  <c r="S28" i="9"/>
  <c r="S36" i="9" s="1"/>
  <c r="Q28" i="9"/>
  <c r="Q36" i="9" s="1"/>
  <c r="R28" i="9"/>
  <c r="R36" i="9" s="1"/>
  <c r="P28" i="9"/>
  <c r="P36" i="9" s="1"/>
  <c r="C6" i="8"/>
  <c r="BI7" i="2" l="1"/>
  <c r="BJ7" i="2" s="1"/>
  <c r="BK7" i="2" s="1"/>
  <c r="BL7" i="2" s="1"/>
  <c r="BM7" i="2" s="1"/>
  <c r="BN7" i="2" s="1"/>
  <c r="BO7" i="2" s="1"/>
  <c r="BP7" i="2" s="1"/>
  <c r="BQ7" i="2" s="1"/>
  <c r="Q7" i="9"/>
  <c r="R7" i="9"/>
  <c r="S7" i="9"/>
  <c r="P7" i="9"/>
  <c r="O7" i="9"/>
  <c r="N6" i="20"/>
  <c r="C6" i="20"/>
  <c r="F14" i="20" l="1"/>
  <c r="F13" i="20"/>
  <c r="L7" i="6" l="1"/>
  <c r="M7" i="6"/>
  <c r="N7" i="6"/>
  <c r="N7" i="20"/>
  <c r="Y7" i="6"/>
  <c r="L8" i="6"/>
  <c r="M8" i="6"/>
  <c r="N8" i="6"/>
  <c r="Y8" i="6"/>
  <c r="L9" i="6"/>
  <c r="M9" i="6"/>
  <c r="N9" i="6"/>
  <c r="Y9" i="6"/>
  <c r="L10" i="6"/>
  <c r="M10" i="6"/>
  <c r="N10" i="6"/>
  <c r="Y10" i="6"/>
  <c r="L11" i="6"/>
  <c r="M11" i="6"/>
  <c r="N11" i="6"/>
  <c r="Y11" i="6"/>
  <c r="L12" i="6"/>
  <c r="M12" i="6"/>
  <c r="N12" i="6"/>
  <c r="Y12" i="6"/>
  <c r="L13" i="6"/>
  <c r="M13" i="6"/>
  <c r="N13" i="6"/>
  <c r="Y13" i="6"/>
  <c r="L17" i="6"/>
  <c r="M17" i="6"/>
  <c r="N17" i="6"/>
  <c r="Y17" i="6"/>
  <c r="L18" i="6"/>
  <c r="M18" i="6"/>
  <c r="N18" i="6"/>
  <c r="Y18" i="6"/>
  <c r="L19" i="6"/>
  <c r="M19" i="6"/>
  <c r="N19" i="6"/>
  <c r="Y19" i="6"/>
  <c r="L20" i="6"/>
  <c r="M20" i="6"/>
  <c r="N20" i="6"/>
  <c r="Y20" i="6"/>
  <c r="L21" i="6"/>
  <c r="M21" i="6"/>
  <c r="N21" i="6"/>
  <c r="Y21" i="6"/>
  <c r="L22" i="6"/>
  <c r="M22" i="6"/>
  <c r="N22" i="6"/>
  <c r="Y22" i="6"/>
  <c r="L23" i="6"/>
  <c r="M23" i="6"/>
  <c r="N23" i="6"/>
  <c r="Y23" i="6"/>
  <c r="L26" i="6"/>
  <c r="M26" i="6"/>
  <c r="N26" i="6"/>
  <c r="Y26" i="6"/>
  <c r="L27" i="6"/>
  <c r="M27" i="6"/>
  <c r="N27" i="6"/>
  <c r="Y27" i="6"/>
  <c r="L28" i="6"/>
  <c r="M28" i="6"/>
  <c r="N28" i="6"/>
  <c r="Y28" i="6"/>
  <c r="L29" i="6"/>
  <c r="M29" i="6"/>
  <c r="N29" i="6"/>
  <c r="Y29" i="6"/>
  <c r="L34" i="6"/>
  <c r="M34" i="6"/>
  <c r="N34" i="6"/>
  <c r="Y34" i="6"/>
  <c r="L35" i="6"/>
  <c r="M35" i="6"/>
  <c r="N35" i="6"/>
  <c r="Y35" i="6"/>
  <c r="L36" i="6"/>
  <c r="M36" i="6"/>
  <c r="N36" i="6"/>
  <c r="Y36" i="6"/>
  <c r="L38" i="6"/>
  <c r="M38" i="6"/>
  <c r="N38" i="6"/>
  <c r="O38" i="6"/>
  <c r="R38" i="6" s="1"/>
  <c r="V38" i="6" s="1"/>
  <c r="W40" i="6"/>
  <c r="P19" i="9"/>
  <c r="P37" i="9" s="1"/>
  <c r="Q19" i="9"/>
  <c r="Q37" i="9" s="1"/>
  <c r="R19" i="9"/>
  <c r="R37" i="9" s="1"/>
  <c r="O19" i="9"/>
  <c r="O37" i="9" s="1"/>
  <c r="S19" i="9"/>
  <c r="S37" i="9" s="1"/>
  <c r="O33" i="6" l="1"/>
  <c r="N16" i="6"/>
  <c r="N33" i="6"/>
  <c r="M16" i="6"/>
  <c r="M33" i="6"/>
  <c r="Y16" i="6"/>
  <c r="L16" i="6"/>
  <c r="Y33" i="6"/>
  <c r="L33" i="6"/>
  <c r="O16" i="6"/>
  <c r="Q8" i="9"/>
  <c r="Q42" i="9"/>
  <c r="S8" i="9"/>
  <c r="S42" i="9"/>
  <c r="S9" i="9" s="1"/>
  <c r="P8" i="9"/>
  <c r="P42" i="9"/>
  <c r="R42" i="9"/>
  <c r="R8" i="9"/>
  <c r="O42" i="9"/>
  <c r="O8" i="9"/>
  <c r="Q6" i="9"/>
  <c r="S6" i="9"/>
  <c r="P6" i="9"/>
  <c r="O6" i="9"/>
  <c r="Z25" i="6"/>
  <c r="N25" i="6"/>
  <c r="Z6" i="6"/>
  <c r="Y25" i="6"/>
  <c r="Z15" i="6"/>
  <c r="X25" i="6"/>
  <c r="X6" i="6"/>
  <c r="Y6" i="6"/>
  <c r="R6" i="9"/>
  <c r="L25" i="6"/>
  <c r="L6" i="6"/>
  <c r="N6" i="6"/>
  <c r="M6" i="6"/>
  <c r="M25" i="6"/>
  <c r="O6" i="6"/>
  <c r="V7" i="6"/>
  <c r="O25" i="6"/>
  <c r="X3" i="18"/>
  <c r="J27" i="19"/>
  <c r="R24" i="19" s="1"/>
  <c r="B9" i="19" s="1"/>
  <c r="H27" i="19"/>
  <c r="F27" i="19"/>
  <c r="E27" i="19"/>
  <c r="B5" i="19" s="1"/>
  <c r="J25" i="19"/>
  <c r="H25" i="19"/>
  <c r="F25" i="19"/>
  <c r="E25" i="19"/>
  <c r="J24" i="19"/>
  <c r="H24" i="19"/>
  <c r="F24" i="19"/>
  <c r="E24" i="19"/>
  <c r="J23" i="19"/>
  <c r="H23" i="19"/>
  <c r="F23" i="19"/>
  <c r="E23" i="19"/>
  <c r="J22" i="19"/>
  <c r="H22" i="19"/>
  <c r="F22" i="19"/>
  <c r="B7" i="19" s="1"/>
  <c r="E22" i="19"/>
  <c r="B4" i="19" s="1"/>
  <c r="N32" i="19"/>
  <c r="K38" i="6"/>
  <c r="J38" i="6"/>
  <c r="I38" i="6"/>
  <c r="H38" i="6"/>
  <c r="G38" i="6"/>
  <c r="F38" i="6"/>
  <c r="E38" i="6"/>
  <c r="K36" i="6"/>
  <c r="J36" i="6"/>
  <c r="I36" i="6"/>
  <c r="H36" i="6"/>
  <c r="G36" i="6"/>
  <c r="F36" i="6"/>
  <c r="E36" i="6"/>
  <c r="K35" i="6"/>
  <c r="J35" i="6"/>
  <c r="I35" i="6"/>
  <c r="H35" i="6"/>
  <c r="G35" i="6"/>
  <c r="F35" i="6"/>
  <c r="E35" i="6"/>
  <c r="K34" i="6"/>
  <c r="J34" i="6"/>
  <c r="I34" i="6"/>
  <c r="H34" i="6"/>
  <c r="G34" i="6"/>
  <c r="F34" i="6"/>
  <c r="E34" i="6"/>
  <c r="K29" i="6"/>
  <c r="J29" i="6"/>
  <c r="I29" i="6"/>
  <c r="H29" i="6"/>
  <c r="G29" i="6"/>
  <c r="F29" i="6"/>
  <c r="E29" i="6"/>
  <c r="K28" i="6"/>
  <c r="J28" i="6"/>
  <c r="I28" i="6"/>
  <c r="H28" i="6"/>
  <c r="G28" i="6"/>
  <c r="F28" i="6"/>
  <c r="E28" i="6"/>
  <c r="K27" i="6"/>
  <c r="J27" i="6"/>
  <c r="I27" i="6"/>
  <c r="H27" i="6"/>
  <c r="G27" i="6"/>
  <c r="F27" i="6"/>
  <c r="E27" i="6"/>
  <c r="K26" i="6"/>
  <c r="J26" i="6"/>
  <c r="I26" i="6"/>
  <c r="H26" i="6"/>
  <c r="G26" i="6"/>
  <c r="F26" i="6"/>
  <c r="E26" i="6"/>
  <c r="K23" i="6"/>
  <c r="J23" i="6"/>
  <c r="I23" i="6"/>
  <c r="H23" i="6"/>
  <c r="G23" i="6"/>
  <c r="F23" i="6"/>
  <c r="E23" i="6"/>
  <c r="K22" i="6"/>
  <c r="J22" i="6"/>
  <c r="I22" i="6"/>
  <c r="H22" i="6"/>
  <c r="G22" i="6"/>
  <c r="F22" i="6"/>
  <c r="E22" i="6"/>
  <c r="K21" i="6"/>
  <c r="J21" i="6"/>
  <c r="I21" i="6"/>
  <c r="H21" i="6"/>
  <c r="G21" i="6"/>
  <c r="F21" i="6"/>
  <c r="E21" i="6"/>
  <c r="K20" i="6"/>
  <c r="J20" i="6"/>
  <c r="I20" i="6"/>
  <c r="H20" i="6"/>
  <c r="G20" i="6"/>
  <c r="F20" i="6"/>
  <c r="E20" i="6"/>
  <c r="K19" i="6"/>
  <c r="J19" i="6"/>
  <c r="I19" i="6"/>
  <c r="H19" i="6"/>
  <c r="G19" i="6"/>
  <c r="F19" i="6"/>
  <c r="E19" i="6"/>
  <c r="K18" i="6"/>
  <c r="J18" i="6"/>
  <c r="I18" i="6"/>
  <c r="H18" i="6"/>
  <c r="G18" i="6"/>
  <c r="F18" i="6"/>
  <c r="E18" i="6"/>
  <c r="K17" i="6"/>
  <c r="J17" i="6"/>
  <c r="I17" i="6"/>
  <c r="H17" i="6"/>
  <c r="G17" i="6"/>
  <c r="F17" i="6"/>
  <c r="E17" i="6"/>
  <c r="K13" i="6"/>
  <c r="J13" i="6"/>
  <c r="I13" i="6"/>
  <c r="H13" i="6"/>
  <c r="G13" i="6"/>
  <c r="F13" i="6"/>
  <c r="E13" i="6"/>
  <c r="K12" i="6"/>
  <c r="J12" i="6"/>
  <c r="I12" i="6"/>
  <c r="H12" i="6"/>
  <c r="G12" i="6"/>
  <c r="F12" i="6"/>
  <c r="E12" i="6"/>
  <c r="K11" i="6"/>
  <c r="J11" i="6"/>
  <c r="I11" i="6"/>
  <c r="H11" i="6"/>
  <c r="G11" i="6"/>
  <c r="F11" i="6"/>
  <c r="E11" i="6"/>
  <c r="K10" i="6"/>
  <c r="J10" i="6"/>
  <c r="I10" i="6"/>
  <c r="H10" i="6"/>
  <c r="G10" i="6"/>
  <c r="F10" i="6"/>
  <c r="E10" i="6"/>
  <c r="K9" i="6"/>
  <c r="J9" i="6"/>
  <c r="I9" i="6"/>
  <c r="H9" i="6"/>
  <c r="G9" i="6"/>
  <c r="F9" i="6"/>
  <c r="E9" i="6"/>
  <c r="K8" i="6"/>
  <c r="J8" i="6"/>
  <c r="I8" i="6"/>
  <c r="H8" i="6"/>
  <c r="G8" i="6"/>
  <c r="F8" i="6"/>
  <c r="E8" i="6"/>
  <c r="K7" i="6"/>
  <c r="J7" i="6"/>
  <c r="I7" i="6"/>
  <c r="H7" i="6"/>
  <c r="G7" i="6"/>
  <c r="F7" i="6"/>
  <c r="E7" i="6"/>
  <c r="GV27" i="2"/>
  <c r="GR27" i="2"/>
  <c r="GV26" i="2"/>
  <c r="GR26" i="2"/>
  <c r="GV25" i="2"/>
  <c r="GR25" i="2"/>
  <c r="GV24" i="2"/>
  <c r="GR24" i="2"/>
  <c r="GV23" i="2"/>
  <c r="GR23" i="2"/>
  <c r="GV22" i="2"/>
  <c r="GR22" i="2"/>
  <c r="GV21" i="2"/>
  <c r="GR21" i="2"/>
  <c r="GV20" i="2"/>
  <c r="GR20" i="2"/>
  <c r="GV19" i="2"/>
  <c r="GR19" i="2"/>
  <c r="GV18" i="2"/>
  <c r="GR18" i="2"/>
  <c r="GV17" i="2"/>
  <c r="GR17" i="2"/>
  <c r="GV16" i="2"/>
  <c r="GR16" i="2"/>
  <c r="GV15" i="2"/>
  <c r="GR15" i="2"/>
  <c r="GV14" i="2"/>
  <c r="GR14" i="2"/>
  <c r="GV13" i="2"/>
  <c r="GR13" i="2"/>
  <c r="GV12" i="2"/>
  <c r="GR12" i="2"/>
  <c r="GV11" i="2"/>
  <c r="GR11" i="2"/>
  <c r="GV10" i="2"/>
  <c r="GR10" i="2"/>
  <c r="GV9" i="2"/>
  <c r="GR9" i="2"/>
  <c r="GV8" i="2"/>
  <c r="GR8" i="2"/>
  <c r="F25" i="21"/>
  <c r="F24" i="21"/>
  <c r="F23" i="21"/>
  <c r="F22" i="21"/>
  <c r="F21" i="21"/>
  <c r="F20" i="21"/>
  <c r="F19" i="21"/>
  <c r="F18" i="21"/>
  <c r="F17" i="21"/>
  <c r="F16" i="21"/>
  <c r="F12" i="21"/>
  <c r="F11" i="21"/>
  <c r="F10" i="21"/>
  <c r="F9" i="21"/>
  <c r="F8" i="21"/>
  <c r="F7" i="21"/>
  <c r="F6" i="21"/>
  <c r="F500" i="5"/>
  <c r="E500" i="5"/>
  <c r="D500" i="5"/>
  <c r="F499" i="5"/>
  <c r="E499" i="5"/>
  <c r="D499" i="5"/>
  <c r="F498" i="5"/>
  <c r="E498" i="5"/>
  <c r="D498" i="5"/>
  <c r="F497" i="5"/>
  <c r="E497" i="5"/>
  <c r="D497" i="5"/>
  <c r="F496" i="5"/>
  <c r="E496" i="5"/>
  <c r="D496" i="5"/>
  <c r="F495" i="5"/>
  <c r="E495" i="5"/>
  <c r="D495" i="5"/>
  <c r="F494" i="5"/>
  <c r="E494" i="5"/>
  <c r="D494" i="5"/>
  <c r="F493" i="5"/>
  <c r="E493" i="5"/>
  <c r="D493" i="5"/>
  <c r="F492" i="5"/>
  <c r="E492" i="5"/>
  <c r="D492" i="5"/>
  <c r="F491" i="5"/>
  <c r="E491" i="5"/>
  <c r="D491" i="5"/>
  <c r="F490" i="5"/>
  <c r="E490" i="5"/>
  <c r="D490" i="5"/>
  <c r="F489" i="5"/>
  <c r="E489" i="5"/>
  <c r="D489" i="5"/>
  <c r="F488" i="5"/>
  <c r="E488" i="5"/>
  <c r="D488" i="5"/>
  <c r="F487" i="5"/>
  <c r="E487" i="5"/>
  <c r="D487" i="5"/>
  <c r="F486" i="5"/>
  <c r="E486" i="5"/>
  <c r="D486" i="5"/>
  <c r="F485" i="5"/>
  <c r="E485" i="5"/>
  <c r="D485" i="5"/>
  <c r="F484" i="5"/>
  <c r="E484" i="5"/>
  <c r="D484" i="5"/>
  <c r="F483" i="5"/>
  <c r="E483" i="5"/>
  <c r="D483" i="5"/>
  <c r="F482" i="5"/>
  <c r="E482" i="5"/>
  <c r="D482" i="5"/>
  <c r="F481" i="5"/>
  <c r="E481" i="5"/>
  <c r="D481" i="5"/>
  <c r="F480" i="5"/>
  <c r="E480" i="5"/>
  <c r="D480" i="5"/>
  <c r="F479" i="5"/>
  <c r="E479" i="5"/>
  <c r="D479" i="5"/>
  <c r="F478" i="5"/>
  <c r="E478" i="5"/>
  <c r="D478" i="5"/>
  <c r="F477" i="5"/>
  <c r="E477" i="5"/>
  <c r="D477" i="5"/>
  <c r="F476" i="5"/>
  <c r="E476" i="5"/>
  <c r="D476" i="5"/>
  <c r="F475" i="5"/>
  <c r="E475" i="5"/>
  <c r="D475" i="5"/>
  <c r="F474" i="5"/>
  <c r="E474" i="5"/>
  <c r="D474" i="5"/>
  <c r="F473" i="5"/>
  <c r="E473" i="5"/>
  <c r="D473" i="5"/>
  <c r="F472" i="5"/>
  <c r="E472" i="5"/>
  <c r="D472" i="5"/>
  <c r="F471" i="5"/>
  <c r="E471" i="5"/>
  <c r="D471" i="5"/>
  <c r="F470" i="5"/>
  <c r="E470" i="5"/>
  <c r="D470" i="5"/>
  <c r="F469" i="5"/>
  <c r="E469" i="5"/>
  <c r="D469" i="5"/>
  <c r="F468" i="5"/>
  <c r="E468" i="5"/>
  <c r="D468" i="5"/>
  <c r="F467" i="5"/>
  <c r="E467" i="5"/>
  <c r="D467" i="5"/>
  <c r="F466" i="5"/>
  <c r="E466" i="5"/>
  <c r="D466" i="5"/>
  <c r="F465" i="5"/>
  <c r="E465" i="5"/>
  <c r="D465" i="5"/>
  <c r="F464" i="5"/>
  <c r="E464" i="5"/>
  <c r="D464" i="5"/>
  <c r="F463" i="5"/>
  <c r="E463" i="5"/>
  <c r="D463" i="5"/>
  <c r="F462" i="5"/>
  <c r="E462" i="5"/>
  <c r="D462" i="5"/>
  <c r="F461" i="5"/>
  <c r="E461" i="5"/>
  <c r="D461" i="5"/>
  <c r="F460" i="5"/>
  <c r="E460" i="5"/>
  <c r="D460" i="5"/>
  <c r="F459" i="5"/>
  <c r="E459" i="5"/>
  <c r="D459" i="5"/>
  <c r="F458" i="5"/>
  <c r="E458" i="5"/>
  <c r="D458" i="5"/>
  <c r="F457" i="5"/>
  <c r="E457" i="5"/>
  <c r="D457" i="5"/>
  <c r="F456" i="5"/>
  <c r="E456" i="5"/>
  <c r="D456" i="5"/>
  <c r="F455" i="5"/>
  <c r="E455" i="5"/>
  <c r="D455" i="5"/>
  <c r="F454" i="5"/>
  <c r="E454" i="5"/>
  <c r="D454" i="5"/>
  <c r="F453" i="5"/>
  <c r="E453" i="5"/>
  <c r="D453" i="5"/>
  <c r="F452" i="5"/>
  <c r="E452" i="5"/>
  <c r="D452" i="5"/>
  <c r="F451" i="5"/>
  <c r="E451" i="5"/>
  <c r="D451" i="5"/>
  <c r="F450" i="5"/>
  <c r="E450" i="5"/>
  <c r="D450" i="5"/>
  <c r="F449" i="5"/>
  <c r="E449" i="5"/>
  <c r="D449" i="5"/>
  <c r="F448" i="5"/>
  <c r="E448" i="5"/>
  <c r="D448" i="5"/>
  <c r="F447" i="5"/>
  <c r="E447" i="5"/>
  <c r="D447" i="5"/>
  <c r="F446" i="5"/>
  <c r="E446" i="5"/>
  <c r="D446" i="5"/>
  <c r="F445" i="5"/>
  <c r="E445" i="5"/>
  <c r="D445" i="5"/>
  <c r="F444" i="5"/>
  <c r="E444" i="5"/>
  <c r="D444" i="5"/>
  <c r="F443" i="5"/>
  <c r="E443" i="5"/>
  <c r="D443" i="5"/>
  <c r="F442" i="5"/>
  <c r="E442" i="5"/>
  <c r="D442" i="5"/>
  <c r="F441" i="5"/>
  <c r="E441" i="5"/>
  <c r="D441" i="5"/>
  <c r="F440" i="5"/>
  <c r="E440" i="5"/>
  <c r="D440" i="5"/>
  <c r="F439" i="5"/>
  <c r="E439" i="5"/>
  <c r="D439" i="5"/>
  <c r="F438" i="5"/>
  <c r="E438" i="5"/>
  <c r="D438" i="5"/>
  <c r="F437" i="5"/>
  <c r="E437" i="5"/>
  <c r="D437" i="5"/>
  <c r="F436" i="5"/>
  <c r="E436" i="5"/>
  <c r="D436" i="5"/>
  <c r="F435" i="5"/>
  <c r="E435" i="5"/>
  <c r="D435" i="5"/>
  <c r="F434" i="5"/>
  <c r="E434" i="5"/>
  <c r="D434" i="5"/>
  <c r="F433" i="5"/>
  <c r="E433" i="5"/>
  <c r="D433" i="5"/>
  <c r="F432" i="5"/>
  <c r="E432" i="5"/>
  <c r="D432" i="5"/>
  <c r="F431" i="5"/>
  <c r="E431" i="5"/>
  <c r="D431" i="5"/>
  <c r="F430" i="5"/>
  <c r="E430" i="5"/>
  <c r="D430" i="5"/>
  <c r="F429" i="5"/>
  <c r="E429" i="5"/>
  <c r="D429" i="5"/>
  <c r="F428" i="5"/>
  <c r="E428" i="5"/>
  <c r="D428" i="5"/>
  <c r="F427" i="5"/>
  <c r="E427" i="5"/>
  <c r="D427" i="5"/>
  <c r="F426" i="5"/>
  <c r="E426" i="5"/>
  <c r="D426" i="5"/>
  <c r="F425" i="5"/>
  <c r="E425" i="5"/>
  <c r="D425" i="5"/>
  <c r="F424" i="5"/>
  <c r="E424" i="5"/>
  <c r="D424" i="5"/>
  <c r="F423" i="5"/>
  <c r="E423" i="5"/>
  <c r="D423" i="5"/>
  <c r="F422" i="5"/>
  <c r="E422" i="5"/>
  <c r="D422" i="5"/>
  <c r="F421" i="5"/>
  <c r="E421" i="5"/>
  <c r="D421" i="5"/>
  <c r="F420" i="5"/>
  <c r="E420" i="5"/>
  <c r="D420" i="5"/>
  <c r="F419" i="5"/>
  <c r="E419" i="5"/>
  <c r="D419" i="5"/>
  <c r="F418" i="5"/>
  <c r="E418" i="5"/>
  <c r="D418" i="5"/>
  <c r="F417" i="5"/>
  <c r="E417" i="5"/>
  <c r="D417" i="5"/>
  <c r="F416" i="5"/>
  <c r="E416" i="5"/>
  <c r="D416" i="5"/>
  <c r="F415" i="5"/>
  <c r="E415" i="5"/>
  <c r="D415" i="5"/>
  <c r="F414" i="5"/>
  <c r="E414" i="5"/>
  <c r="D414" i="5"/>
  <c r="F413" i="5"/>
  <c r="E413" i="5"/>
  <c r="D413" i="5"/>
  <c r="F412" i="5"/>
  <c r="E412" i="5"/>
  <c r="D412" i="5"/>
  <c r="F411" i="5"/>
  <c r="E411" i="5"/>
  <c r="D411" i="5"/>
  <c r="F410" i="5"/>
  <c r="E410" i="5"/>
  <c r="D410" i="5"/>
  <c r="F409" i="5"/>
  <c r="E409" i="5"/>
  <c r="D409" i="5"/>
  <c r="F408" i="5"/>
  <c r="E408" i="5"/>
  <c r="D408" i="5"/>
  <c r="F407" i="5"/>
  <c r="E407" i="5"/>
  <c r="D407" i="5"/>
  <c r="F406" i="5"/>
  <c r="E406" i="5"/>
  <c r="D406" i="5"/>
  <c r="F405" i="5"/>
  <c r="E405" i="5"/>
  <c r="D405" i="5"/>
  <c r="F404" i="5"/>
  <c r="E404" i="5"/>
  <c r="D404" i="5"/>
  <c r="F403" i="5"/>
  <c r="E403" i="5"/>
  <c r="D403" i="5"/>
  <c r="F402" i="5"/>
  <c r="E402" i="5"/>
  <c r="D402" i="5"/>
  <c r="F401" i="5"/>
  <c r="E401" i="5"/>
  <c r="D401" i="5"/>
  <c r="F400" i="5"/>
  <c r="E400" i="5"/>
  <c r="D400" i="5"/>
  <c r="F399" i="5"/>
  <c r="E399" i="5"/>
  <c r="D399" i="5"/>
  <c r="F398" i="5"/>
  <c r="E398" i="5"/>
  <c r="D398" i="5"/>
  <c r="F397" i="5"/>
  <c r="E397" i="5"/>
  <c r="D397" i="5"/>
  <c r="F396" i="5"/>
  <c r="E396" i="5"/>
  <c r="D396" i="5"/>
  <c r="F395" i="5"/>
  <c r="E395" i="5"/>
  <c r="D395" i="5"/>
  <c r="F394" i="5"/>
  <c r="E394" i="5"/>
  <c r="D394" i="5"/>
  <c r="F393" i="5"/>
  <c r="E393" i="5"/>
  <c r="D393" i="5"/>
  <c r="F392" i="5"/>
  <c r="E392" i="5"/>
  <c r="D392" i="5"/>
  <c r="F391" i="5"/>
  <c r="E391" i="5"/>
  <c r="D391" i="5"/>
  <c r="F390" i="5"/>
  <c r="E390" i="5"/>
  <c r="D390" i="5"/>
  <c r="F389" i="5"/>
  <c r="E389" i="5"/>
  <c r="D389" i="5"/>
  <c r="F388" i="5"/>
  <c r="E388" i="5"/>
  <c r="D388" i="5"/>
  <c r="F387" i="5"/>
  <c r="E387" i="5"/>
  <c r="D387" i="5"/>
  <c r="F386" i="5"/>
  <c r="E386" i="5"/>
  <c r="D386" i="5"/>
  <c r="F385" i="5"/>
  <c r="E385" i="5"/>
  <c r="D385" i="5"/>
  <c r="F384" i="5"/>
  <c r="E384" i="5"/>
  <c r="D384" i="5"/>
  <c r="F383" i="5"/>
  <c r="E383" i="5"/>
  <c r="D383" i="5"/>
  <c r="F382" i="5"/>
  <c r="E382" i="5"/>
  <c r="D382" i="5"/>
  <c r="F381" i="5"/>
  <c r="E381" i="5"/>
  <c r="D381" i="5"/>
  <c r="F380" i="5"/>
  <c r="E380" i="5"/>
  <c r="D380" i="5"/>
  <c r="F379" i="5"/>
  <c r="E379" i="5"/>
  <c r="D379" i="5"/>
  <c r="F378" i="5"/>
  <c r="E378" i="5"/>
  <c r="D378" i="5"/>
  <c r="F377" i="5"/>
  <c r="E377" i="5"/>
  <c r="D377" i="5"/>
  <c r="F376" i="5"/>
  <c r="E376" i="5"/>
  <c r="D376" i="5"/>
  <c r="F375" i="5"/>
  <c r="E375" i="5"/>
  <c r="D375" i="5"/>
  <c r="F374" i="5"/>
  <c r="E374" i="5"/>
  <c r="D374" i="5"/>
  <c r="F373" i="5"/>
  <c r="E373" i="5"/>
  <c r="D373" i="5"/>
  <c r="F372" i="5"/>
  <c r="E372" i="5"/>
  <c r="D372" i="5"/>
  <c r="F371" i="5"/>
  <c r="E371" i="5"/>
  <c r="D371" i="5"/>
  <c r="F370" i="5"/>
  <c r="E370" i="5"/>
  <c r="D370" i="5"/>
  <c r="F369" i="5"/>
  <c r="E369" i="5"/>
  <c r="D369" i="5"/>
  <c r="F368" i="5"/>
  <c r="E368" i="5"/>
  <c r="D368" i="5"/>
  <c r="F367" i="5"/>
  <c r="E367" i="5"/>
  <c r="D367" i="5"/>
  <c r="F366" i="5"/>
  <c r="E366" i="5"/>
  <c r="D366" i="5"/>
  <c r="F365" i="5"/>
  <c r="E365" i="5"/>
  <c r="D365" i="5"/>
  <c r="F364" i="5"/>
  <c r="E364" i="5"/>
  <c r="D364" i="5"/>
  <c r="F363" i="5"/>
  <c r="E363" i="5"/>
  <c r="D363" i="5"/>
  <c r="F362" i="5"/>
  <c r="E362" i="5"/>
  <c r="D362" i="5"/>
  <c r="F361" i="5"/>
  <c r="E361" i="5"/>
  <c r="D361" i="5"/>
  <c r="F360" i="5"/>
  <c r="E360" i="5"/>
  <c r="D360" i="5"/>
  <c r="F359" i="5"/>
  <c r="E359" i="5"/>
  <c r="D359" i="5"/>
  <c r="F358" i="5"/>
  <c r="E358" i="5"/>
  <c r="D358" i="5"/>
  <c r="F357" i="5"/>
  <c r="E357" i="5"/>
  <c r="D357" i="5"/>
  <c r="F356" i="5"/>
  <c r="E356" i="5"/>
  <c r="D356" i="5"/>
  <c r="F355" i="5"/>
  <c r="E355" i="5"/>
  <c r="D355" i="5"/>
  <c r="F354" i="5"/>
  <c r="E354" i="5"/>
  <c r="D354" i="5"/>
  <c r="F353" i="5"/>
  <c r="E353" i="5"/>
  <c r="D353" i="5"/>
  <c r="F352" i="5"/>
  <c r="E352" i="5"/>
  <c r="D352" i="5"/>
  <c r="F351" i="5"/>
  <c r="E351" i="5"/>
  <c r="D351" i="5"/>
  <c r="F350" i="5"/>
  <c r="E350" i="5"/>
  <c r="D350" i="5"/>
  <c r="F349" i="5"/>
  <c r="E349" i="5"/>
  <c r="D349" i="5"/>
  <c r="F348" i="5"/>
  <c r="E348" i="5"/>
  <c r="D348" i="5"/>
  <c r="F347" i="5"/>
  <c r="E347" i="5"/>
  <c r="D347" i="5"/>
  <c r="F346" i="5"/>
  <c r="E346" i="5"/>
  <c r="D346" i="5"/>
  <c r="F345" i="5"/>
  <c r="E345" i="5"/>
  <c r="D345" i="5"/>
  <c r="F344" i="5"/>
  <c r="E344" i="5"/>
  <c r="D344" i="5"/>
  <c r="F343" i="5"/>
  <c r="E343" i="5"/>
  <c r="D343" i="5"/>
  <c r="F342" i="5"/>
  <c r="E342" i="5"/>
  <c r="D342" i="5"/>
  <c r="F341" i="5"/>
  <c r="E341" i="5"/>
  <c r="D341" i="5"/>
  <c r="F340" i="5"/>
  <c r="E340" i="5"/>
  <c r="D340" i="5"/>
  <c r="F339" i="5"/>
  <c r="E339" i="5"/>
  <c r="D339" i="5"/>
  <c r="F338" i="5"/>
  <c r="E338" i="5"/>
  <c r="D338" i="5"/>
  <c r="F337" i="5"/>
  <c r="E337" i="5"/>
  <c r="D337" i="5"/>
  <c r="F336" i="5"/>
  <c r="E336" i="5"/>
  <c r="D336" i="5"/>
  <c r="F335" i="5"/>
  <c r="E335" i="5"/>
  <c r="D335" i="5"/>
  <c r="F334" i="5"/>
  <c r="E334" i="5"/>
  <c r="D334" i="5"/>
  <c r="F333" i="5"/>
  <c r="E333" i="5"/>
  <c r="D333" i="5"/>
  <c r="F332" i="5"/>
  <c r="E332" i="5"/>
  <c r="D332" i="5"/>
  <c r="F331" i="5"/>
  <c r="E331" i="5"/>
  <c r="D331" i="5"/>
  <c r="F330" i="5"/>
  <c r="E330" i="5"/>
  <c r="D330" i="5"/>
  <c r="F329" i="5"/>
  <c r="E329" i="5"/>
  <c r="D329" i="5"/>
  <c r="F328" i="5"/>
  <c r="E328" i="5"/>
  <c r="D328" i="5"/>
  <c r="F327" i="5"/>
  <c r="E327" i="5"/>
  <c r="D327" i="5"/>
  <c r="F326" i="5"/>
  <c r="E326" i="5"/>
  <c r="D326" i="5"/>
  <c r="F325" i="5"/>
  <c r="E325" i="5"/>
  <c r="D325" i="5"/>
  <c r="F324" i="5"/>
  <c r="E324" i="5"/>
  <c r="D324" i="5"/>
  <c r="F323" i="5"/>
  <c r="E323" i="5"/>
  <c r="D323" i="5"/>
  <c r="F322" i="5"/>
  <c r="E322" i="5"/>
  <c r="D322" i="5"/>
  <c r="F321" i="5"/>
  <c r="E321" i="5"/>
  <c r="D321" i="5"/>
  <c r="F320" i="5"/>
  <c r="E320" i="5"/>
  <c r="D320" i="5"/>
  <c r="F319" i="5"/>
  <c r="E319" i="5"/>
  <c r="D319" i="5"/>
  <c r="F318" i="5"/>
  <c r="E318" i="5"/>
  <c r="D318" i="5"/>
  <c r="F317" i="5"/>
  <c r="E317" i="5"/>
  <c r="D317" i="5"/>
  <c r="F316" i="5"/>
  <c r="E316" i="5"/>
  <c r="D316" i="5"/>
  <c r="F315" i="5"/>
  <c r="E315" i="5"/>
  <c r="D315" i="5"/>
  <c r="F314" i="5"/>
  <c r="E314" i="5"/>
  <c r="D314" i="5"/>
  <c r="F313" i="5"/>
  <c r="E313" i="5"/>
  <c r="D313" i="5"/>
  <c r="F312" i="5"/>
  <c r="E312" i="5"/>
  <c r="D312" i="5"/>
  <c r="F311" i="5"/>
  <c r="E311" i="5"/>
  <c r="D311" i="5"/>
  <c r="F310" i="5"/>
  <c r="E310" i="5"/>
  <c r="D310" i="5"/>
  <c r="F309" i="5"/>
  <c r="E309" i="5"/>
  <c r="D309" i="5"/>
  <c r="F308" i="5"/>
  <c r="E308" i="5"/>
  <c r="D308" i="5"/>
  <c r="F307" i="5"/>
  <c r="E307" i="5"/>
  <c r="D307" i="5"/>
  <c r="F306" i="5"/>
  <c r="E306" i="5"/>
  <c r="D306" i="5"/>
  <c r="F305" i="5"/>
  <c r="E305" i="5"/>
  <c r="D305" i="5"/>
  <c r="F304" i="5"/>
  <c r="E304" i="5"/>
  <c r="D304" i="5"/>
  <c r="F303" i="5"/>
  <c r="E303" i="5"/>
  <c r="D303" i="5"/>
  <c r="F302" i="5"/>
  <c r="E302" i="5"/>
  <c r="D302" i="5"/>
  <c r="F301" i="5"/>
  <c r="E301" i="5"/>
  <c r="D301" i="5"/>
  <c r="F300" i="5"/>
  <c r="E300" i="5"/>
  <c r="D300" i="5"/>
  <c r="F299" i="5"/>
  <c r="E299" i="5"/>
  <c r="D299" i="5"/>
  <c r="F298" i="5"/>
  <c r="E298" i="5"/>
  <c r="D298" i="5"/>
  <c r="F297" i="5"/>
  <c r="E297" i="5"/>
  <c r="D297" i="5"/>
  <c r="F296" i="5"/>
  <c r="E296" i="5"/>
  <c r="D296" i="5"/>
  <c r="F295" i="5"/>
  <c r="E295" i="5"/>
  <c r="D295" i="5"/>
  <c r="F294" i="5"/>
  <c r="E294" i="5"/>
  <c r="D294" i="5"/>
  <c r="F293" i="5"/>
  <c r="E293" i="5"/>
  <c r="D293" i="5"/>
  <c r="F292" i="5"/>
  <c r="E292" i="5"/>
  <c r="D292" i="5"/>
  <c r="F291" i="5"/>
  <c r="E291" i="5"/>
  <c r="D291" i="5"/>
  <c r="F290" i="5"/>
  <c r="E290" i="5"/>
  <c r="D290" i="5"/>
  <c r="F289" i="5"/>
  <c r="E289" i="5"/>
  <c r="D289" i="5"/>
  <c r="F288" i="5"/>
  <c r="E288" i="5"/>
  <c r="D288" i="5"/>
  <c r="F287" i="5"/>
  <c r="E287" i="5"/>
  <c r="D287" i="5"/>
  <c r="F286" i="5"/>
  <c r="E286" i="5"/>
  <c r="D286" i="5"/>
  <c r="F285" i="5"/>
  <c r="E285" i="5"/>
  <c r="D285" i="5"/>
  <c r="F284" i="5"/>
  <c r="E284" i="5"/>
  <c r="D284" i="5"/>
  <c r="F283" i="5"/>
  <c r="E283" i="5"/>
  <c r="D283" i="5"/>
  <c r="F282" i="5"/>
  <c r="E282" i="5"/>
  <c r="D282" i="5"/>
  <c r="F281" i="5"/>
  <c r="E281" i="5"/>
  <c r="D281" i="5"/>
  <c r="F280" i="5"/>
  <c r="E280" i="5"/>
  <c r="D280" i="5"/>
  <c r="F279" i="5"/>
  <c r="E279" i="5"/>
  <c r="D279" i="5"/>
  <c r="F278" i="5"/>
  <c r="E278" i="5"/>
  <c r="D278" i="5"/>
  <c r="F277" i="5"/>
  <c r="E277" i="5"/>
  <c r="D277" i="5"/>
  <c r="F276" i="5"/>
  <c r="E276" i="5"/>
  <c r="D276" i="5"/>
  <c r="F275" i="5"/>
  <c r="E275" i="5"/>
  <c r="D275" i="5"/>
  <c r="F274" i="5"/>
  <c r="E274" i="5"/>
  <c r="D274" i="5"/>
  <c r="F273" i="5"/>
  <c r="E273" i="5"/>
  <c r="D273" i="5"/>
  <c r="F272" i="5"/>
  <c r="E272" i="5"/>
  <c r="D272" i="5"/>
  <c r="F271" i="5"/>
  <c r="E271" i="5"/>
  <c r="D271" i="5"/>
  <c r="F270" i="5"/>
  <c r="E270" i="5"/>
  <c r="D270" i="5"/>
  <c r="F269" i="5"/>
  <c r="E269" i="5"/>
  <c r="D269" i="5"/>
  <c r="F268" i="5"/>
  <c r="E268" i="5"/>
  <c r="D268" i="5"/>
  <c r="F267" i="5"/>
  <c r="E267" i="5"/>
  <c r="D267" i="5"/>
  <c r="F266" i="5"/>
  <c r="E266" i="5"/>
  <c r="D266" i="5"/>
  <c r="F265" i="5"/>
  <c r="E265" i="5"/>
  <c r="D265" i="5"/>
  <c r="F264" i="5"/>
  <c r="E264" i="5"/>
  <c r="D264" i="5"/>
  <c r="F263" i="5"/>
  <c r="E263" i="5"/>
  <c r="D263" i="5"/>
  <c r="F262" i="5"/>
  <c r="E262" i="5"/>
  <c r="D262" i="5"/>
  <c r="F261" i="5"/>
  <c r="E261" i="5"/>
  <c r="D261" i="5"/>
  <c r="F260" i="5"/>
  <c r="E260" i="5"/>
  <c r="D260" i="5"/>
  <c r="F259" i="5"/>
  <c r="E259" i="5"/>
  <c r="D259" i="5"/>
  <c r="F258" i="5"/>
  <c r="E258" i="5"/>
  <c r="D258" i="5"/>
  <c r="F257" i="5"/>
  <c r="E257" i="5"/>
  <c r="D257" i="5"/>
  <c r="F256" i="5"/>
  <c r="E256" i="5"/>
  <c r="D256" i="5"/>
  <c r="F255" i="5"/>
  <c r="E255" i="5"/>
  <c r="D255" i="5"/>
  <c r="F254" i="5"/>
  <c r="E254" i="5"/>
  <c r="D254" i="5"/>
  <c r="F253" i="5"/>
  <c r="E253" i="5"/>
  <c r="D253" i="5"/>
  <c r="F252" i="5"/>
  <c r="E252" i="5"/>
  <c r="D252" i="5"/>
  <c r="F251" i="5"/>
  <c r="E251" i="5"/>
  <c r="D251" i="5"/>
  <c r="F250" i="5"/>
  <c r="E250" i="5"/>
  <c r="D250" i="5"/>
  <c r="F249" i="5"/>
  <c r="E249" i="5"/>
  <c r="D249" i="5"/>
  <c r="F248" i="5"/>
  <c r="E248" i="5"/>
  <c r="D248" i="5"/>
  <c r="F247" i="5"/>
  <c r="E247" i="5"/>
  <c r="D247" i="5"/>
  <c r="F246" i="5"/>
  <c r="E246" i="5"/>
  <c r="D246" i="5"/>
  <c r="F245" i="5"/>
  <c r="E245" i="5"/>
  <c r="D245" i="5"/>
  <c r="F244" i="5"/>
  <c r="E244" i="5"/>
  <c r="D244" i="5"/>
  <c r="F243" i="5"/>
  <c r="E243" i="5"/>
  <c r="D243" i="5"/>
  <c r="F242" i="5"/>
  <c r="E242" i="5"/>
  <c r="D242" i="5"/>
  <c r="F241" i="5"/>
  <c r="E241" i="5"/>
  <c r="D241" i="5"/>
  <c r="F240" i="5"/>
  <c r="E240" i="5"/>
  <c r="D240" i="5"/>
  <c r="F239" i="5"/>
  <c r="E239" i="5"/>
  <c r="D239" i="5"/>
  <c r="F238" i="5"/>
  <c r="E238" i="5"/>
  <c r="D238" i="5"/>
  <c r="F237" i="5"/>
  <c r="E237" i="5"/>
  <c r="D237" i="5"/>
  <c r="F236" i="5"/>
  <c r="E236" i="5"/>
  <c r="D236" i="5"/>
  <c r="F235" i="5"/>
  <c r="E235" i="5"/>
  <c r="D235" i="5"/>
  <c r="F234" i="5"/>
  <c r="E234" i="5"/>
  <c r="D234" i="5"/>
  <c r="F233" i="5"/>
  <c r="E233" i="5"/>
  <c r="D233" i="5"/>
  <c r="F232" i="5"/>
  <c r="E232" i="5"/>
  <c r="D232" i="5"/>
  <c r="F231" i="5"/>
  <c r="E231" i="5"/>
  <c r="D231" i="5"/>
  <c r="F230" i="5"/>
  <c r="E230" i="5"/>
  <c r="D230" i="5"/>
  <c r="F229" i="5"/>
  <c r="E229" i="5"/>
  <c r="D229" i="5"/>
  <c r="F228" i="5"/>
  <c r="E228" i="5"/>
  <c r="D228" i="5"/>
  <c r="F227" i="5"/>
  <c r="E227" i="5"/>
  <c r="D227" i="5"/>
  <c r="F226" i="5"/>
  <c r="E226" i="5"/>
  <c r="D226" i="5"/>
  <c r="F225" i="5"/>
  <c r="E225" i="5"/>
  <c r="D225" i="5"/>
  <c r="F224" i="5"/>
  <c r="E224" i="5"/>
  <c r="D224" i="5"/>
  <c r="F223" i="5"/>
  <c r="E223" i="5"/>
  <c r="D223" i="5"/>
  <c r="F222" i="5"/>
  <c r="E222" i="5"/>
  <c r="D222" i="5"/>
  <c r="F221" i="5"/>
  <c r="E221" i="5"/>
  <c r="D221" i="5"/>
  <c r="F220" i="5"/>
  <c r="E220" i="5"/>
  <c r="D220" i="5"/>
  <c r="F219" i="5"/>
  <c r="E219" i="5"/>
  <c r="D219" i="5"/>
  <c r="F218" i="5"/>
  <c r="E218" i="5"/>
  <c r="D218" i="5"/>
  <c r="F217" i="5"/>
  <c r="E217" i="5"/>
  <c r="D217" i="5"/>
  <c r="F216" i="5"/>
  <c r="E216" i="5"/>
  <c r="D216" i="5"/>
  <c r="F215" i="5"/>
  <c r="E215" i="5"/>
  <c r="D215" i="5"/>
  <c r="F214" i="5"/>
  <c r="E214" i="5"/>
  <c r="D214" i="5"/>
  <c r="F213" i="5"/>
  <c r="E213" i="5"/>
  <c r="D213" i="5"/>
  <c r="F212" i="5"/>
  <c r="E212" i="5"/>
  <c r="D212" i="5"/>
  <c r="F211" i="5"/>
  <c r="E211" i="5"/>
  <c r="D211" i="5"/>
  <c r="F210" i="5"/>
  <c r="E210" i="5"/>
  <c r="D210" i="5"/>
  <c r="F209" i="5"/>
  <c r="E209" i="5"/>
  <c r="D209" i="5"/>
  <c r="F208" i="5"/>
  <c r="E208" i="5"/>
  <c r="D208" i="5"/>
  <c r="F207" i="5"/>
  <c r="E207" i="5"/>
  <c r="D207" i="5"/>
  <c r="F206" i="5"/>
  <c r="E206" i="5"/>
  <c r="D206" i="5"/>
  <c r="F205" i="5"/>
  <c r="E205" i="5"/>
  <c r="D205" i="5"/>
  <c r="F204" i="5"/>
  <c r="E204" i="5"/>
  <c r="D204" i="5"/>
  <c r="F203" i="5"/>
  <c r="E203" i="5"/>
  <c r="D203" i="5"/>
  <c r="F202" i="5"/>
  <c r="E202" i="5"/>
  <c r="D202" i="5"/>
  <c r="F201" i="5"/>
  <c r="E201" i="5"/>
  <c r="D201" i="5"/>
  <c r="F200" i="5"/>
  <c r="E200" i="5"/>
  <c r="D200" i="5"/>
  <c r="F199" i="5"/>
  <c r="E199" i="5"/>
  <c r="D199" i="5"/>
  <c r="F198" i="5"/>
  <c r="E198" i="5"/>
  <c r="D198" i="5"/>
  <c r="F197" i="5"/>
  <c r="E197" i="5"/>
  <c r="D197" i="5"/>
  <c r="F196" i="5"/>
  <c r="E196" i="5"/>
  <c r="D196" i="5"/>
  <c r="F195" i="5"/>
  <c r="E195" i="5"/>
  <c r="D195" i="5"/>
  <c r="F194" i="5"/>
  <c r="E194" i="5"/>
  <c r="D194" i="5"/>
  <c r="F193" i="5"/>
  <c r="E193" i="5"/>
  <c r="D193" i="5"/>
  <c r="F192" i="5"/>
  <c r="E192" i="5"/>
  <c r="D192" i="5"/>
  <c r="F191" i="5"/>
  <c r="E191" i="5"/>
  <c r="D191" i="5"/>
  <c r="F190" i="5"/>
  <c r="E190" i="5"/>
  <c r="D190" i="5"/>
  <c r="F189" i="5"/>
  <c r="E189" i="5"/>
  <c r="D189" i="5"/>
  <c r="F188" i="5"/>
  <c r="E188" i="5"/>
  <c r="D188" i="5"/>
  <c r="F187" i="5"/>
  <c r="E187" i="5"/>
  <c r="D187" i="5"/>
  <c r="F186" i="5"/>
  <c r="E186" i="5"/>
  <c r="D186" i="5"/>
  <c r="F185" i="5"/>
  <c r="E185" i="5"/>
  <c r="D185" i="5"/>
  <c r="F184" i="5"/>
  <c r="E184" i="5"/>
  <c r="D184" i="5"/>
  <c r="F183" i="5"/>
  <c r="E183" i="5"/>
  <c r="D183" i="5"/>
  <c r="F182" i="5"/>
  <c r="E182" i="5"/>
  <c r="D182" i="5"/>
  <c r="F181" i="5"/>
  <c r="E181" i="5"/>
  <c r="D181" i="5"/>
  <c r="F180" i="5"/>
  <c r="E180" i="5"/>
  <c r="D180" i="5"/>
  <c r="F179" i="5"/>
  <c r="E179" i="5"/>
  <c r="D179" i="5"/>
  <c r="F178" i="5"/>
  <c r="E178" i="5"/>
  <c r="D178" i="5"/>
  <c r="F177" i="5"/>
  <c r="E177" i="5"/>
  <c r="D177" i="5"/>
  <c r="F176" i="5"/>
  <c r="E176" i="5"/>
  <c r="D176" i="5"/>
  <c r="F175" i="5"/>
  <c r="E175" i="5"/>
  <c r="D175" i="5"/>
  <c r="F174" i="5"/>
  <c r="E174" i="5"/>
  <c r="D174" i="5"/>
  <c r="F173" i="5"/>
  <c r="E173" i="5"/>
  <c r="D173" i="5"/>
  <c r="F172" i="5"/>
  <c r="E172" i="5"/>
  <c r="D172" i="5"/>
  <c r="F171" i="5"/>
  <c r="E171" i="5"/>
  <c r="D171" i="5"/>
  <c r="F170" i="5"/>
  <c r="E170" i="5"/>
  <c r="D170" i="5"/>
  <c r="F169" i="5"/>
  <c r="E169" i="5"/>
  <c r="D169" i="5"/>
  <c r="F168" i="5"/>
  <c r="E168" i="5"/>
  <c r="D168" i="5"/>
  <c r="F167" i="5"/>
  <c r="E167" i="5"/>
  <c r="D167" i="5"/>
  <c r="F166" i="5"/>
  <c r="E166" i="5"/>
  <c r="D166" i="5"/>
  <c r="F165" i="5"/>
  <c r="E165" i="5"/>
  <c r="D165" i="5"/>
  <c r="F164" i="5"/>
  <c r="E164" i="5"/>
  <c r="D164" i="5"/>
  <c r="F163" i="5"/>
  <c r="E163" i="5"/>
  <c r="D163" i="5"/>
  <c r="F162" i="5"/>
  <c r="E162" i="5"/>
  <c r="D162" i="5"/>
  <c r="F161" i="5"/>
  <c r="E161" i="5"/>
  <c r="D161" i="5"/>
  <c r="F160" i="5"/>
  <c r="E160" i="5"/>
  <c r="D160" i="5"/>
  <c r="F159" i="5"/>
  <c r="E159" i="5"/>
  <c r="D159" i="5"/>
  <c r="F158" i="5"/>
  <c r="E158" i="5"/>
  <c r="D158" i="5"/>
  <c r="F157" i="5"/>
  <c r="E157" i="5"/>
  <c r="D157" i="5"/>
  <c r="F156" i="5"/>
  <c r="E156" i="5"/>
  <c r="D156" i="5"/>
  <c r="F155" i="5"/>
  <c r="E155" i="5"/>
  <c r="D155" i="5"/>
  <c r="F154" i="5"/>
  <c r="E154" i="5"/>
  <c r="D154" i="5"/>
  <c r="F153" i="5"/>
  <c r="E153" i="5"/>
  <c r="D153" i="5"/>
  <c r="F152" i="5"/>
  <c r="E152" i="5"/>
  <c r="D152" i="5"/>
  <c r="F151" i="5"/>
  <c r="E151" i="5"/>
  <c r="D151" i="5"/>
  <c r="F150" i="5"/>
  <c r="E150" i="5"/>
  <c r="D150" i="5"/>
  <c r="C150" i="5"/>
  <c r="F149" i="5"/>
  <c r="E149" i="5"/>
  <c r="D149" i="5"/>
  <c r="C149" i="5"/>
  <c r="F148" i="5"/>
  <c r="E148" i="5"/>
  <c r="D148" i="5"/>
  <c r="C148" i="5"/>
  <c r="F147" i="5"/>
  <c r="E147" i="5"/>
  <c r="D147" i="5"/>
  <c r="C147" i="5"/>
  <c r="F146" i="5"/>
  <c r="E146" i="5"/>
  <c r="D146" i="5"/>
  <c r="C146" i="5"/>
  <c r="F145" i="5"/>
  <c r="E145" i="5"/>
  <c r="D145" i="5"/>
  <c r="C145" i="5"/>
  <c r="F144" i="5"/>
  <c r="E144" i="5"/>
  <c r="D144" i="5"/>
  <c r="C144" i="5"/>
  <c r="F143" i="5"/>
  <c r="E143" i="5"/>
  <c r="D143" i="5"/>
  <c r="C143" i="5"/>
  <c r="F142" i="5"/>
  <c r="E142" i="5"/>
  <c r="D142" i="5"/>
  <c r="C142" i="5"/>
  <c r="F141" i="5"/>
  <c r="E141" i="5"/>
  <c r="D141" i="5"/>
  <c r="C141" i="5"/>
  <c r="F140" i="5"/>
  <c r="E140" i="5"/>
  <c r="D140" i="5"/>
  <c r="C140" i="5"/>
  <c r="F139" i="5"/>
  <c r="E139" i="5"/>
  <c r="D139" i="5"/>
  <c r="C139" i="5"/>
  <c r="F138" i="5"/>
  <c r="E138" i="5"/>
  <c r="D138" i="5"/>
  <c r="C138" i="5"/>
  <c r="F137" i="5"/>
  <c r="E137" i="5"/>
  <c r="D137" i="5"/>
  <c r="C137" i="5"/>
  <c r="F136" i="5"/>
  <c r="E136" i="5"/>
  <c r="D136" i="5"/>
  <c r="C136" i="5"/>
  <c r="F135" i="5"/>
  <c r="E135" i="5"/>
  <c r="D135" i="5"/>
  <c r="C135" i="5"/>
  <c r="F134" i="5"/>
  <c r="E134" i="5"/>
  <c r="D134" i="5"/>
  <c r="C134" i="5"/>
  <c r="F133" i="5"/>
  <c r="E133" i="5"/>
  <c r="D133" i="5"/>
  <c r="C133" i="5"/>
  <c r="F132" i="5"/>
  <c r="E132" i="5"/>
  <c r="D132" i="5"/>
  <c r="C132" i="5"/>
  <c r="F131" i="5"/>
  <c r="E131" i="5"/>
  <c r="D131" i="5"/>
  <c r="C131" i="5"/>
  <c r="F130" i="5"/>
  <c r="E130" i="5"/>
  <c r="D130" i="5"/>
  <c r="C130" i="5"/>
  <c r="F129" i="5"/>
  <c r="E129" i="5"/>
  <c r="D129" i="5"/>
  <c r="C129" i="5"/>
  <c r="F128" i="5"/>
  <c r="E128" i="5"/>
  <c r="D128" i="5"/>
  <c r="C128" i="5"/>
  <c r="F127" i="5"/>
  <c r="E127" i="5"/>
  <c r="D127" i="5"/>
  <c r="C127" i="5"/>
  <c r="F126" i="5"/>
  <c r="E126" i="5"/>
  <c r="D126" i="5"/>
  <c r="C126" i="5"/>
  <c r="F125" i="5"/>
  <c r="E125" i="5"/>
  <c r="D125" i="5"/>
  <c r="C125" i="5"/>
  <c r="F124" i="5"/>
  <c r="E124" i="5"/>
  <c r="D124" i="5"/>
  <c r="C124" i="5"/>
  <c r="F123" i="5"/>
  <c r="E123" i="5"/>
  <c r="D123" i="5"/>
  <c r="C123" i="5"/>
  <c r="F122" i="5"/>
  <c r="E122" i="5"/>
  <c r="D122" i="5"/>
  <c r="C122" i="5"/>
  <c r="F121" i="5"/>
  <c r="E121" i="5"/>
  <c r="D121" i="5"/>
  <c r="C121" i="5"/>
  <c r="F120" i="5"/>
  <c r="E120" i="5"/>
  <c r="D120" i="5"/>
  <c r="C120" i="5"/>
  <c r="F119" i="5"/>
  <c r="E119" i="5"/>
  <c r="D119" i="5"/>
  <c r="C119" i="5"/>
  <c r="F118" i="5"/>
  <c r="E118" i="5"/>
  <c r="D118" i="5"/>
  <c r="C118" i="5"/>
  <c r="F117" i="5"/>
  <c r="E117" i="5"/>
  <c r="D117" i="5"/>
  <c r="C117" i="5"/>
  <c r="F116" i="5"/>
  <c r="E116" i="5"/>
  <c r="D116" i="5"/>
  <c r="C116" i="5"/>
  <c r="F115" i="5"/>
  <c r="E115" i="5"/>
  <c r="D115" i="5"/>
  <c r="C115" i="5"/>
  <c r="F114" i="5"/>
  <c r="E114" i="5"/>
  <c r="D114" i="5"/>
  <c r="C114" i="5"/>
  <c r="F113" i="5"/>
  <c r="E113" i="5"/>
  <c r="D113" i="5"/>
  <c r="C113" i="5"/>
  <c r="F112" i="5"/>
  <c r="E112" i="5"/>
  <c r="D112" i="5"/>
  <c r="C112" i="5"/>
  <c r="F111" i="5"/>
  <c r="E111" i="5"/>
  <c r="D111" i="5"/>
  <c r="C111" i="5"/>
  <c r="F110" i="5"/>
  <c r="E110" i="5"/>
  <c r="D110" i="5"/>
  <c r="C110" i="5"/>
  <c r="F109" i="5"/>
  <c r="E109" i="5"/>
  <c r="D109" i="5"/>
  <c r="C109" i="5"/>
  <c r="F108" i="5"/>
  <c r="E108" i="5"/>
  <c r="D108" i="5"/>
  <c r="C108" i="5"/>
  <c r="F107" i="5"/>
  <c r="E107" i="5"/>
  <c r="D107" i="5"/>
  <c r="C107" i="5"/>
  <c r="F106" i="5"/>
  <c r="E106" i="5"/>
  <c r="D106" i="5"/>
  <c r="C106" i="5"/>
  <c r="F105" i="5"/>
  <c r="E105" i="5"/>
  <c r="D105" i="5"/>
  <c r="C105" i="5"/>
  <c r="F104" i="5"/>
  <c r="E104" i="5"/>
  <c r="D104" i="5"/>
  <c r="C104" i="5"/>
  <c r="F103" i="5"/>
  <c r="E103" i="5"/>
  <c r="D103" i="5"/>
  <c r="C103" i="5"/>
  <c r="F102" i="5"/>
  <c r="E102" i="5"/>
  <c r="D102" i="5"/>
  <c r="C102" i="5"/>
  <c r="F101" i="5"/>
  <c r="E101" i="5"/>
  <c r="D101" i="5"/>
  <c r="C101" i="5"/>
  <c r="F100" i="5"/>
  <c r="E100" i="5"/>
  <c r="D100" i="5"/>
  <c r="C100" i="5"/>
  <c r="F99" i="5"/>
  <c r="E99" i="5"/>
  <c r="D99" i="5"/>
  <c r="C99" i="5"/>
  <c r="F98" i="5"/>
  <c r="E98" i="5"/>
  <c r="D98" i="5"/>
  <c r="C98" i="5"/>
  <c r="F97" i="5"/>
  <c r="E97" i="5"/>
  <c r="D97" i="5"/>
  <c r="C97" i="5"/>
  <c r="F96" i="5"/>
  <c r="E96" i="5"/>
  <c r="D96" i="5"/>
  <c r="C96" i="5"/>
  <c r="F95" i="5"/>
  <c r="E95" i="5"/>
  <c r="D95" i="5"/>
  <c r="C95" i="5"/>
  <c r="F94" i="5"/>
  <c r="E94" i="5"/>
  <c r="D94" i="5"/>
  <c r="C94" i="5"/>
  <c r="F93" i="5"/>
  <c r="E93" i="5"/>
  <c r="D93" i="5"/>
  <c r="C93" i="5"/>
  <c r="F92" i="5"/>
  <c r="E92" i="5"/>
  <c r="D92" i="5"/>
  <c r="C92" i="5"/>
  <c r="F91" i="5"/>
  <c r="E91" i="5"/>
  <c r="D91" i="5"/>
  <c r="C91" i="5"/>
  <c r="F90" i="5"/>
  <c r="E90" i="5"/>
  <c r="D90" i="5"/>
  <c r="C90" i="5"/>
  <c r="F89" i="5"/>
  <c r="E89" i="5"/>
  <c r="D89" i="5"/>
  <c r="C89" i="5"/>
  <c r="F88" i="5"/>
  <c r="E88" i="5"/>
  <c r="D88" i="5"/>
  <c r="C88" i="5"/>
  <c r="F87" i="5"/>
  <c r="E87" i="5"/>
  <c r="D87" i="5"/>
  <c r="C87" i="5"/>
  <c r="F86" i="5"/>
  <c r="E86" i="5"/>
  <c r="D86" i="5"/>
  <c r="C86" i="5"/>
  <c r="F85" i="5"/>
  <c r="E85" i="5"/>
  <c r="D85" i="5"/>
  <c r="C85" i="5"/>
  <c r="F84" i="5"/>
  <c r="E84" i="5"/>
  <c r="D84" i="5"/>
  <c r="C84" i="5"/>
  <c r="F83" i="5"/>
  <c r="E83" i="5"/>
  <c r="D83" i="5"/>
  <c r="C83" i="5"/>
  <c r="F82" i="5"/>
  <c r="E82" i="5"/>
  <c r="D82" i="5"/>
  <c r="C82" i="5"/>
  <c r="F81" i="5"/>
  <c r="E81" i="5"/>
  <c r="D81" i="5"/>
  <c r="C81" i="5"/>
  <c r="F80" i="5"/>
  <c r="E80" i="5"/>
  <c r="D80" i="5"/>
  <c r="C80" i="5"/>
  <c r="F79" i="5"/>
  <c r="E79" i="5"/>
  <c r="D79" i="5"/>
  <c r="C79" i="5"/>
  <c r="F78" i="5"/>
  <c r="E78" i="5"/>
  <c r="D78" i="5"/>
  <c r="C78" i="5"/>
  <c r="F77" i="5"/>
  <c r="E77" i="5"/>
  <c r="D77" i="5"/>
  <c r="C77" i="5"/>
  <c r="F76" i="5"/>
  <c r="E76" i="5"/>
  <c r="D76" i="5"/>
  <c r="C76" i="5"/>
  <c r="F75" i="5"/>
  <c r="E75" i="5"/>
  <c r="D75" i="5"/>
  <c r="C75" i="5"/>
  <c r="F74" i="5"/>
  <c r="E74" i="5"/>
  <c r="D74" i="5"/>
  <c r="C74" i="5"/>
  <c r="F73" i="5"/>
  <c r="E73" i="5"/>
  <c r="D73" i="5"/>
  <c r="C73" i="5"/>
  <c r="F72" i="5"/>
  <c r="E72" i="5"/>
  <c r="D72" i="5"/>
  <c r="C72" i="5"/>
  <c r="F71" i="5"/>
  <c r="E71" i="5"/>
  <c r="D71" i="5"/>
  <c r="C71" i="5"/>
  <c r="F70" i="5"/>
  <c r="E70" i="5"/>
  <c r="D70" i="5"/>
  <c r="C70" i="5"/>
  <c r="F69" i="5"/>
  <c r="E69" i="5"/>
  <c r="D69" i="5"/>
  <c r="C69" i="5"/>
  <c r="F68" i="5"/>
  <c r="E68" i="5"/>
  <c r="D68" i="5"/>
  <c r="C68" i="5"/>
  <c r="F67" i="5"/>
  <c r="E67" i="5"/>
  <c r="D67" i="5"/>
  <c r="C67" i="5"/>
  <c r="F66" i="5"/>
  <c r="E66" i="5"/>
  <c r="D66" i="5"/>
  <c r="C66" i="5"/>
  <c r="F65" i="5"/>
  <c r="E65" i="5"/>
  <c r="D65" i="5"/>
  <c r="C65" i="5"/>
  <c r="F64" i="5"/>
  <c r="E64" i="5"/>
  <c r="D64" i="5"/>
  <c r="C64" i="5"/>
  <c r="F63" i="5"/>
  <c r="E63" i="5"/>
  <c r="D63" i="5"/>
  <c r="C63" i="5"/>
  <c r="F62" i="5"/>
  <c r="E62" i="5"/>
  <c r="D62" i="5"/>
  <c r="C62" i="5"/>
  <c r="F61" i="5"/>
  <c r="E61" i="5"/>
  <c r="D61" i="5"/>
  <c r="C61" i="5"/>
  <c r="F60" i="5"/>
  <c r="E60" i="5"/>
  <c r="D60" i="5"/>
  <c r="C60" i="5"/>
  <c r="F59" i="5"/>
  <c r="E59" i="5"/>
  <c r="D59" i="5"/>
  <c r="C59" i="5"/>
  <c r="F58" i="5"/>
  <c r="E58" i="5"/>
  <c r="D58" i="5"/>
  <c r="C58" i="5"/>
  <c r="F57" i="5"/>
  <c r="E57" i="5"/>
  <c r="D57" i="5"/>
  <c r="C57" i="5"/>
  <c r="F56" i="5"/>
  <c r="E56" i="5"/>
  <c r="D56" i="5"/>
  <c r="C56" i="5"/>
  <c r="F55" i="5"/>
  <c r="E55" i="5"/>
  <c r="D55" i="5"/>
  <c r="C55" i="5"/>
  <c r="F54" i="5"/>
  <c r="E54" i="5"/>
  <c r="D54" i="5"/>
  <c r="C54" i="5"/>
  <c r="F53" i="5"/>
  <c r="E53" i="5"/>
  <c r="D53" i="5"/>
  <c r="C53" i="5"/>
  <c r="F52" i="5"/>
  <c r="E52" i="5"/>
  <c r="D52" i="5"/>
  <c r="C52" i="5"/>
  <c r="F51" i="5"/>
  <c r="E51" i="5"/>
  <c r="D51" i="5"/>
  <c r="C51" i="5"/>
  <c r="F50" i="5"/>
  <c r="E50" i="5"/>
  <c r="D50" i="5"/>
  <c r="C50" i="5"/>
  <c r="F49" i="5"/>
  <c r="E49" i="5"/>
  <c r="D49" i="5"/>
  <c r="C49" i="5"/>
  <c r="F48" i="5"/>
  <c r="E48" i="5"/>
  <c r="D48" i="5"/>
  <c r="C48" i="5"/>
  <c r="F47" i="5"/>
  <c r="E47" i="5"/>
  <c r="D47" i="5"/>
  <c r="C47" i="5"/>
  <c r="F46" i="5"/>
  <c r="E46" i="5"/>
  <c r="D46" i="5"/>
  <c r="C46" i="5"/>
  <c r="F45" i="5"/>
  <c r="E45" i="5"/>
  <c r="D45" i="5"/>
  <c r="C45" i="5"/>
  <c r="F44" i="5"/>
  <c r="E44" i="5"/>
  <c r="D44" i="5"/>
  <c r="C44" i="5"/>
  <c r="F43" i="5"/>
  <c r="E43" i="5"/>
  <c r="D43" i="5"/>
  <c r="C43" i="5"/>
  <c r="F42" i="5"/>
  <c r="E42" i="5"/>
  <c r="D42" i="5"/>
  <c r="C42" i="5"/>
  <c r="F41" i="5"/>
  <c r="E41" i="5"/>
  <c r="D41" i="5"/>
  <c r="C41" i="5"/>
  <c r="F40" i="5"/>
  <c r="E40" i="5"/>
  <c r="D40" i="5"/>
  <c r="C40" i="5"/>
  <c r="F39" i="5"/>
  <c r="E39" i="5"/>
  <c r="D39" i="5"/>
  <c r="C39" i="5"/>
  <c r="F38" i="5"/>
  <c r="E38" i="5"/>
  <c r="D38" i="5"/>
  <c r="C38" i="5"/>
  <c r="F37" i="5"/>
  <c r="E37" i="5"/>
  <c r="D37" i="5"/>
  <c r="C37" i="5"/>
  <c r="F36" i="5"/>
  <c r="E36" i="5"/>
  <c r="D36" i="5"/>
  <c r="C36" i="5"/>
  <c r="F35" i="5"/>
  <c r="E35" i="5"/>
  <c r="D35" i="5"/>
  <c r="C35" i="5"/>
  <c r="F34" i="5"/>
  <c r="E34" i="5"/>
  <c r="D34" i="5"/>
  <c r="C34" i="5"/>
  <c r="F33" i="5"/>
  <c r="E33" i="5"/>
  <c r="D33" i="5"/>
  <c r="C33" i="5"/>
  <c r="F32" i="5"/>
  <c r="E32" i="5"/>
  <c r="D32" i="5"/>
  <c r="C32" i="5"/>
  <c r="F31" i="5"/>
  <c r="E31" i="5"/>
  <c r="D31" i="5"/>
  <c r="C31" i="5"/>
  <c r="F30" i="5"/>
  <c r="E30" i="5"/>
  <c r="D30" i="5"/>
  <c r="C30" i="5"/>
  <c r="F29" i="5"/>
  <c r="E29" i="5"/>
  <c r="D29" i="5"/>
  <c r="C29" i="5"/>
  <c r="F28" i="5"/>
  <c r="E28" i="5"/>
  <c r="D28" i="5"/>
  <c r="C28" i="5"/>
  <c r="F27" i="5"/>
  <c r="E27" i="5"/>
  <c r="D27" i="5"/>
  <c r="C27" i="5"/>
  <c r="F26" i="5"/>
  <c r="F25" i="5" s="1"/>
  <c r="E26" i="5"/>
  <c r="E25" i="5" s="1"/>
  <c r="D26" i="5"/>
  <c r="S13" i="5"/>
  <c r="R13" i="5"/>
  <c r="Q13" i="5"/>
  <c r="P13" i="5"/>
  <c r="O13" i="5"/>
  <c r="M13" i="5"/>
  <c r="L13" i="5"/>
  <c r="J13" i="5"/>
  <c r="H13" i="5"/>
  <c r="S7" i="5"/>
  <c r="R7" i="5"/>
  <c r="Q7" i="5"/>
  <c r="P7" i="5"/>
  <c r="O7" i="5"/>
  <c r="M7" i="5"/>
  <c r="L7" i="5"/>
  <c r="J7" i="5"/>
  <c r="H7" i="5"/>
  <c r="S27" i="8"/>
  <c r="S26" i="8"/>
  <c r="C13" i="8"/>
  <c r="C12" i="8"/>
  <c r="F11" i="8"/>
  <c r="F10" i="8"/>
  <c r="F9" i="8"/>
  <c r="F6" i="8"/>
  <c r="Q1" i="8"/>
  <c r="R1" i="8" s="1"/>
  <c r="S1" i="8" s="1"/>
  <c r="T1" i="8" s="1"/>
  <c r="C21" i="20"/>
  <c r="F17" i="20"/>
  <c r="C17" i="20"/>
  <c r="F7" i="8" s="1"/>
  <c r="J13" i="20"/>
  <c r="J12" i="20"/>
  <c r="C11" i="20"/>
  <c r="R13" i="6" l="1"/>
  <c r="R10" i="6"/>
  <c r="R11" i="6"/>
  <c r="V11" i="6" s="1"/>
  <c r="R9" i="6"/>
  <c r="R12" i="6"/>
  <c r="R8" i="6"/>
  <c r="R18" i="6"/>
  <c r="V18" i="6" s="1"/>
  <c r="R22" i="6"/>
  <c r="V22" i="6" s="1"/>
  <c r="R21" i="6"/>
  <c r="V21" i="6" s="1"/>
  <c r="R19" i="6"/>
  <c r="V19" i="6" s="1"/>
  <c r="R23" i="6"/>
  <c r="V23" i="6" s="1"/>
  <c r="R20" i="6"/>
  <c r="V20" i="6" s="1"/>
  <c r="R17" i="6"/>
  <c r="R28" i="6"/>
  <c r="R29" i="6"/>
  <c r="V29" i="6" s="1"/>
  <c r="R27" i="6"/>
  <c r="V13" i="6"/>
  <c r="V10" i="6"/>
  <c r="V12" i="6"/>
  <c r="R35" i="6"/>
  <c r="R36" i="6"/>
  <c r="V36" i="6" s="1"/>
  <c r="V34" i="6"/>
  <c r="H33" i="6"/>
  <c r="G16" i="6"/>
  <c r="K16" i="6"/>
  <c r="F33" i="6"/>
  <c r="J33" i="6"/>
  <c r="H16" i="6"/>
  <c r="G33" i="6"/>
  <c r="K33" i="6"/>
  <c r="E16" i="6"/>
  <c r="I16" i="6"/>
  <c r="F16" i="6"/>
  <c r="J16" i="6"/>
  <c r="E33" i="6"/>
  <c r="I33" i="6"/>
  <c r="R23" i="19"/>
  <c r="M32" i="19"/>
  <c r="N45" i="19"/>
  <c r="R22" i="19"/>
  <c r="B24" i="8"/>
  <c r="I8" i="8"/>
  <c r="I9" i="8" s="1"/>
  <c r="Y38" i="6"/>
  <c r="X38" i="6"/>
  <c r="Z38" i="6"/>
  <c r="F8" i="8"/>
  <c r="C25" i="8"/>
  <c r="D24" i="8"/>
  <c r="I33" i="19"/>
  <c r="J45" i="19"/>
  <c r="I32" i="19"/>
  <c r="I41" i="19"/>
  <c r="I42" i="19"/>
  <c r="I43" i="19"/>
  <c r="I44" i="19"/>
  <c r="I34" i="19"/>
  <c r="I36" i="19"/>
  <c r="X4" i="18"/>
  <c r="Y15" i="6"/>
  <c r="Y31" i="6" s="1"/>
  <c r="Z31" i="6"/>
  <c r="O15" i="6"/>
  <c r="O31" i="6" s="1"/>
  <c r="O40" i="6" s="1"/>
  <c r="M15" i="6"/>
  <c r="M31" i="6" s="1"/>
  <c r="M40" i="6" s="1"/>
  <c r="N15" i="6"/>
  <c r="N31" i="6" s="1"/>
  <c r="N40" i="6" s="1"/>
  <c r="L15" i="6"/>
  <c r="L31" i="6" s="1"/>
  <c r="L40" i="6" s="1"/>
  <c r="X15" i="6"/>
  <c r="X31" i="6" s="1"/>
  <c r="F6" i="6"/>
  <c r="H6" i="6"/>
  <c r="I25" i="6"/>
  <c r="G25" i="6"/>
  <c r="O9" i="9"/>
  <c r="R9" i="9"/>
  <c r="P9" i="9"/>
  <c r="Q9" i="9"/>
  <c r="I40" i="19"/>
  <c r="G27" i="19"/>
  <c r="E28" i="19"/>
  <c r="L28" i="19"/>
  <c r="E45" i="19"/>
  <c r="G22" i="19"/>
  <c r="N28" i="19"/>
  <c r="R26" i="19" s="1"/>
  <c r="G25" i="19"/>
  <c r="I37" i="19"/>
  <c r="I38" i="19"/>
  <c r="J6" i="6"/>
  <c r="J25" i="6"/>
  <c r="K6" i="6"/>
  <c r="K25" i="6"/>
  <c r="E25" i="6"/>
  <c r="I10" i="8"/>
  <c r="V17" i="6"/>
  <c r="C14" i="8"/>
  <c r="U1" i="8"/>
  <c r="F15" i="8"/>
  <c r="F16" i="8" s="1"/>
  <c r="N499" i="8"/>
  <c r="M499" i="8"/>
  <c r="F17" i="8"/>
  <c r="H29" i="19"/>
  <c r="H28" i="19"/>
  <c r="F28" i="19"/>
  <c r="H45" i="19"/>
  <c r="E6" i="6"/>
  <c r="I6" i="6"/>
  <c r="G6" i="6"/>
  <c r="H25" i="6"/>
  <c r="J28" i="19"/>
  <c r="G24" i="19"/>
  <c r="I39" i="19"/>
  <c r="I17" i="18"/>
  <c r="E17" i="18" s="1"/>
  <c r="J16" i="18"/>
  <c r="G23" i="19"/>
  <c r="I35" i="19"/>
  <c r="X5" i="18"/>
  <c r="F25" i="6"/>
  <c r="V28" i="6" l="1"/>
  <c r="N14" i="20"/>
  <c r="V9" i="6"/>
  <c r="N8" i="20"/>
  <c r="V16" i="6"/>
  <c r="V27" i="6"/>
  <c r="N13" i="20"/>
  <c r="V35" i="6"/>
  <c r="V33" i="6" s="1"/>
  <c r="R33" i="6"/>
  <c r="N16" i="20" s="1"/>
  <c r="R16" i="6"/>
  <c r="N11" i="20" s="1"/>
  <c r="V8" i="6"/>
  <c r="V6" i="6" s="1"/>
  <c r="R6" i="6"/>
  <c r="N9" i="20"/>
  <c r="X40" i="6"/>
  <c r="P37" i="19"/>
  <c r="K37" i="19"/>
  <c r="L37" i="19"/>
  <c r="P40" i="19"/>
  <c r="L40" i="19"/>
  <c r="K40" i="19"/>
  <c r="P44" i="19"/>
  <c r="K44" i="19"/>
  <c r="L44" i="19"/>
  <c r="P32" i="19"/>
  <c r="K32" i="19"/>
  <c r="L32" i="19"/>
  <c r="P35" i="19"/>
  <c r="L35" i="19"/>
  <c r="K35" i="19"/>
  <c r="P39" i="19"/>
  <c r="K39" i="19"/>
  <c r="L39" i="19"/>
  <c r="P43" i="19"/>
  <c r="K43" i="19"/>
  <c r="L43" i="19"/>
  <c r="P38" i="19"/>
  <c r="K38" i="19"/>
  <c r="L38" i="19"/>
  <c r="P34" i="19"/>
  <c r="L34" i="19"/>
  <c r="K34" i="19"/>
  <c r="P41" i="19"/>
  <c r="L41" i="19"/>
  <c r="K41" i="19"/>
  <c r="Q45" i="19"/>
  <c r="P36" i="19"/>
  <c r="K36" i="19"/>
  <c r="L36" i="19"/>
  <c r="P42" i="19"/>
  <c r="L42" i="19"/>
  <c r="K42" i="19"/>
  <c r="P33" i="19"/>
  <c r="L33" i="19"/>
  <c r="K33" i="19"/>
  <c r="R25" i="19"/>
  <c r="R28" i="19" s="1"/>
  <c r="Z40" i="6"/>
  <c r="L24" i="8"/>
  <c r="B25" i="8"/>
  <c r="F25" i="8" s="1"/>
  <c r="F24" i="8" s="1"/>
  <c r="K24" i="8"/>
  <c r="Y40" i="6"/>
  <c r="A15" i="19"/>
  <c r="J6" i="20"/>
  <c r="A12" i="19"/>
  <c r="H15" i="6"/>
  <c r="H31" i="6" s="1"/>
  <c r="H40" i="6" s="1"/>
  <c r="I15" i="6"/>
  <c r="I31" i="6" s="1"/>
  <c r="I40" i="6" s="1"/>
  <c r="F15" i="6"/>
  <c r="F31" i="6" s="1"/>
  <c r="F40" i="6" s="1"/>
  <c r="E15" i="6"/>
  <c r="E31" i="6" s="1"/>
  <c r="E40" i="6" s="1"/>
  <c r="G15" i="6"/>
  <c r="G31" i="6" s="1"/>
  <c r="G40" i="6" s="1"/>
  <c r="K15" i="6"/>
  <c r="K31" i="6" s="1"/>
  <c r="K40" i="6" s="1"/>
  <c r="F20" i="19"/>
  <c r="I45" i="19"/>
  <c r="K45" i="19" s="1"/>
  <c r="B6" i="19"/>
  <c r="A14" i="19"/>
  <c r="A13" i="19"/>
  <c r="G28" i="19"/>
  <c r="B8" i="19" s="1"/>
  <c r="J15" i="6"/>
  <c r="J31" i="6" s="1"/>
  <c r="J40" i="6" s="1"/>
  <c r="C15" i="8"/>
  <c r="I11" i="8"/>
  <c r="B16" i="18"/>
  <c r="A17" i="18"/>
  <c r="M45" i="19"/>
  <c r="V1" i="8"/>
  <c r="J15" i="18"/>
  <c r="I16" i="18"/>
  <c r="M17" i="18"/>
  <c r="N17" i="18" s="1"/>
  <c r="K17" i="18"/>
  <c r="P17" i="18" s="1"/>
  <c r="X6" i="18"/>
  <c r="R26" i="6" l="1"/>
  <c r="N10" i="20"/>
  <c r="D25" i="8"/>
  <c r="J11" i="20"/>
  <c r="C12" i="20"/>
  <c r="K25" i="8"/>
  <c r="B26" i="8"/>
  <c r="L45" i="19"/>
  <c r="P45" i="19"/>
  <c r="I12" i="8"/>
  <c r="I15" i="18"/>
  <c r="J14" i="18"/>
  <c r="C17" i="18"/>
  <c r="G17" i="18" s="1"/>
  <c r="W1" i="8"/>
  <c r="O17" i="18"/>
  <c r="K16" i="18"/>
  <c r="P16" i="18" s="1"/>
  <c r="M16" i="18"/>
  <c r="N16" i="18" s="1"/>
  <c r="E16" i="18"/>
  <c r="F16" i="18" s="1"/>
  <c r="F17" i="18"/>
  <c r="A16" i="18"/>
  <c r="B15" i="18"/>
  <c r="N12" i="20" l="1"/>
  <c r="R25" i="6"/>
  <c r="R15" i="6" s="1"/>
  <c r="R31" i="6" s="1"/>
  <c r="R40" i="6" s="1"/>
  <c r="V26" i="6"/>
  <c r="V25" i="6" s="1"/>
  <c r="V15" i="6" s="1"/>
  <c r="V31" i="6" s="1"/>
  <c r="V40" i="6" s="1"/>
  <c r="K26" i="8"/>
  <c r="B27" i="8"/>
  <c r="F26" i="8"/>
  <c r="C26" i="8"/>
  <c r="D26" i="8" s="1"/>
  <c r="O16" i="18"/>
  <c r="H17" i="18"/>
  <c r="I13" i="8"/>
  <c r="B14" i="18"/>
  <c r="A15" i="18"/>
  <c r="M25" i="8"/>
  <c r="X1" i="8"/>
  <c r="J13" i="18"/>
  <c r="I14" i="18"/>
  <c r="C16" i="18"/>
  <c r="H16" i="18" s="1"/>
  <c r="M15" i="18"/>
  <c r="N15" i="18" s="1"/>
  <c r="K15" i="18"/>
  <c r="P15" i="18" s="1"/>
  <c r="E15" i="18"/>
  <c r="N15" i="20" l="1"/>
  <c r="C7" i="20" s="1"/>
  <c r="B28" i="8"/>
  <c r="F27" i="8"/>
  <c r="K27" i="8"/>
  <c r="C27" i="8"/>
  <c r="D27" i="8" s="1"/>
  <c r="I14" i="8"/>
  <c r="C15" i="18"/>
  <c r="F15" i="18"/>
  <c r="K14" i="18"/>
  <c r="P14" i="18" s="1"/>
  <c r="M14" i="18"/>
  <c r="N14" i="18" s="1"/>
  <c r="E14" i="18"/>
  <c r="Y1" i="8"/>
  <c r="N25" i="8"/>
  <c r="M26" i="8"/>
  <c r="A14" i="18"/>
  <c r="B13" i="18"/>
  <c r="I13" i="18"/>
  <c r="J12" i="18"/>
  <c r="O15" i="18"/>
  <c r="G16" i="18"/>
  <c r="N17" i="20"/>
  <c r="C8" i="20" s="1"/>
  <c r="H15" i="18" l="1"/>
  <c r="K28" i="8"/>
  <c r="F28" i="8"/>
  <c r="B29" i="8"/>
  <c r="C28" i="8"/>
  <c r="D28" i="8" s="1"/>
  <c r="G15" i="18"/>
  <c r="I15" i="8"/>
  <c r="M13" i="18"/>
  <c r="N13" i="18" s="1"/>
  <c r="K13" i="18"/>
  <c r="P13" i="18" s="1"/>
  <c r="E13" i="18"/>
  <c r="F14" i="18"/>
  <c r="O14" i="18"/>
  <c r="J11" i="18"/>
  <c r="I12" i="18"/>
  <c r="B12" i="18"/>
  <c r="A13" i="18"/>
  <c r="C14" i="18"/>
  <c r="H14" i="18" s="1"/>
  <c r="N26" i="8"/>
  <c r="M27" i="8"/>
  <c r="N27" i="8" s="1"/>
  <c r="Z1" i="8"/>
  <c r="J8" i="20"/>
  <c r="F21" i="20"/>
  <c r="F20" i="20"/>
  <c r="F23" i="20"/>
  <c r="K29" i="8" l="1"/>
  <c r="F29" i="8"/>
  <c r="B30" i="8"/>
  <c r="C29" i="8"/>
  <c r="D29" i="8" s="1"/>
  <c r="F13" i="18"/>
  <c r="I16" i="8"/>
  <c r="K12" i="18"/>
  <c r="P12" i="18" s="1"/>
  <c r="M12" i="18"/>
  <c r="N12" i="18" s="1"/>
  <c r="E12" i="18"/>
  <c r="I11" i="18"/>
  <c r="J10" i="18"/>
  <c r="C13" i="18"/>
  <c r="G13" i="18" s="1"/>
  <c r="AA1" i="8"/>
  <c r="M28" i="8"/>
  <c r="G14" i="18"/>
  <c r="A12" i="18"/>
  <c r="B11" i="18"/>
  <c r="O13" i="18"/>
  <c r="H23" i="20"/>
  <c r="M23" i="20"/>
  <c r="I23" i="20"/>
  <c r="H20" i="20"/>
  <c r="I20" i="20"/>
  <c r="M20" i="20"/>
  <c r="H21" i="20"/>
  <c r="M21" i="20"/>
  <c r="I21" i="20"/>
  <c r="N21" i="20"/>
  <c r="J20" i="20"/>
  <c r="J9" i="20"/>
  <c r="C9" i="20"/>
  <c r="K23" i="20" s="1"/>
  <c r="N20" i="20"/>
  <c r="J21" i="20"/>
  <c r="N23" i="20"/>
  <c r="J23" i="20"/>
  <c r="F30" i="8" l="1"/>
  <c r="K30" i="8"/>
  <c r="B31" i="8"/>
  <c r="C30" i="8"/>
  <c r="D30" i="8" s="1"/>
  <c r="F12" i="18"/>
  <c r="O12" i="18"/>
  <c r="I17" i="8"/>
  <c r="C12" i="18"/>
  <c r="G12" i="18" s="1"/>
  <c r="N28" i="8"/>
  <c r="M29" i="8"/>
  <c r="N29" i="8" s="1"/>
  <c r="J9" i="18"/>
  <c r="I10" i="18"/>
  <c r="B10" i="18"/>
  <c r="A11" i="18"/>
  <c r="AB1" i="8"/>
  <c r="H13" i="18"/>
  <c r="M11" i="18"/>
  <c r="N11" i="18" s="1"/>
  <c r="K11" i="18"/>
  <c r="P11" i="18" s="1"/>
  <c r="E11" i="18"/>
  <c r="K21" i="20"/>
  <c r="K20" i="20"/>
  <c r="F22" i="20"/>
  <c r="C10" i="20"/>
  <c r="F31" i="8" l="1"/>
  <c r="K31" i="8"/>
  <c r="B32" i="8"/>
  <c r="C31" i="8"/>
  <c r="D31" i="8" s="1"/>
  <c r="H12" i="18"/>
  <c r="O11" i="18"/>
  <c r="I18" i="8"/>
  <c r="AC1" i="8"/>
  <c r="F11" i="18"/>
  <c r="M30" i="8"/>
  <c r="N30" i="8" s="1"/>
  <c r="A10" i="18"/>
  <c r="B9" i="18"/>
  <c r="I9" i="18"/>
  <c r="J8" i="18"/>
  <c r="C11" i="18"/>
  <c r="H11" i="18" s="1"/>
  <c r="K10" i="18"/>
  <c r="M10" i="18"/>
  <c r="N10" i="18" s="1"/>
  <c r="E10" i="18"/>
  <c r="H22" i="20"/>
  <c r="K22" i="20"/>
  <c r="I22" i="20"/>
  <c r="M22" i="20"/>
  <c r="J22" i="20"/>
  <c r="N22" i="20"/>
  <c r="F24" i="20"/>
  <c r="I28" i="20" s="1"/>
  <c r="C8" i="8" l="1"/>
  <c r="C18" i="8" s="1"/>
  <c r="C19" i="8" s="1"/>
  <c r="AC3" i="8" s="1"/>
  <c r="P42" i="6"/>
  <c r="P44" i="6"/>
  <c r="K32" i="8"/>
  <c r="F32" i="8"/>
  <c r="B33" i="8"/>
  <c r="C32" i="8"/>
  <c r="D32" i="8" s="1"/>
  <c r="F10" i="18"/>
  <c r="J24" i="8"/>
  <c r="I19" i="8"/>
  <c r="J7" i="18"/>
  <c r="I8" i="18"/>
  <c r="M31" i="8"/>
  <c r="N31" i="8" s="1"/>
  <c r="O10" i="18"/>
  <c r="M9" i="18"/>
  <c r="N9" i="18" s="1"/>
  <c r="K9" i="18"/>
  <c r="P9" i="18" s="1"/>
  <c r="E9" i="18"/>
  <c r="F9" i="18" s="1"/>
  <c r="P10" i="18"/>
  <c r="B8" i="18"/>
  <c r="A9" i="18"/>
  <c r="G11" i="18"/>
  <c r="C10" i="18"/>
  <c r="H10" i="18" s="1"/>
  <c r="I27" i="20"/>
  <c r="K24" i="20"/>
  <c r="E27" i="20"/>
  <c r="E28" i="20"/>
  <c r="E29" i="20"/>
  <c r="H24" i="20"/>
  <c r="K42" i="6"/>
  <c r="G42" i="6"/>
  <c r="Y42" i="6"/>
  <c r="E42" i="6"/>
  <c r="I42" i="6"/>
  <c r="M42" i="6"/>
  <c r="F42" i="6"/>
  <c r="X42" i="6"/>
  <c r="J42" i="6"/>
  <c r="H42" i="6"/>
  <c r="N42" i="6"/>
  <c r="O42" i="6"/>
  <c r="L42" i="6"/>
  <c r="O44" i="6"/>
  <c r="N44" i="6"/>
  <c r="H44" i="6"/>
  <c r="I44" i="6"/>
  <c r="G44" i="6"/>
  <c r="Z42" i="6"/>
  <c r="J44" i="6"/>
  <c r="M44" i="6"/>
  <c r="L44" i="6"/>
  <c r="F44" i="6"/>
  <c r="E44" i="6"/>
  <c r="X44" i="6"/>
  <c r="Y44" i="6"/>
  <c r="K44" i="6"/>
  <c r="Z44" i="6"/>
  <c r="R42" i="6"/>
  <c r="V42" i="6"/>
  <c r="M24" i="20"/>
  <c r="V44" i="6"/>
  <c r="I24" i="20"/>
  <c r="R44" i="6"/>
  <c r="J24" i="20"/>
  <c r="N24" i="20"/>
  <c r="F20" i="8" l="1"/>
  <c r="AB3" i="8"/>
  <c r="AA3" i="8"/>
  <c r="C20" i="8"/>
  <c r="U3" i="8"/>
  <c r="P43" i="6"/>
  <c r="P45" i="6"/>
  <c r="K33" i="8"/>
  <c r="B34" i="8"/>
  <c r="F33" i="8"/>
  <c r="C33" i="8"/>
  <c r="D33" i="8" s="1"/>
  <c r="E25" i="8"/>
  <c r="E24" i="8" s="1"/>
  <c r="Q25" i="8"/>
  <c r="R25" i="8"/>
  <c r="S25" i="8"/>
  <c r="T25" i="8"/>
  <c r="R24" i="8"/>
  <c r="P25" i="8"/>
  <c r="Q24" i="8"/>
  <c r="H24" i="8" s="1"/>
  <c r="I24" i="8" s="1"/>
  <c r="P24" i="8"/>
  <c r="I20" i="8"/>
  <c r="K8" i="18"/>
  <c r="P8" i="18" s="1"/>
  <c r="M8" i="18"/>
  <c r="N8" i="18" s="1"/>
  <c r="E8" i="18"/>
  <c r="C9" i="18"/>
  <c r="H9" i="18" s="1"/>
  <c r="G9" i="18"/>
  <c r="A8" i="18"/>
  <c r="B7" i="18"/>
  <c r="I7" i="18"/>
  <c r="J6" i="18"/>
  <c r="I6" i="18" s="1"/>
  <c r="G10" i="18"/>
  <c r="O9" i="18"/>
  <c r="M32" i="8"/>
  <c r="N32" i="8" s="1"/>
  <c r="F43" i="6"/>
  <c r="X43" i="6"/>
  <c r="J43" i="6"/>
  <c r="H43" i="6"/>
  <c r="E43" i="6"/>
  <c r="N43" i="6"/>
  <c r="O43" i="6"/>
  <c r="L43" i="6"/>
  <c r="M43" i="6"/>
  <c r="K43" i="6"/>
  <c r="G43" i="6"/>
  <c r="Y43" i="6"/>
  <c r="I43" i="6"/>
  <c r="N45" i="6"/>
  <c r="H45" i="6"/>
  <c r="I45" i="6"/>
  <c r="G45" i="6"/>
  <c r="Z43" i="6"/>
  <c r="J45" i="6"/>
  <c r="O45" i="6"/>
  <c r="K45" i="6"/>
  <c r="L45" i="6"/>
  <c r="X45" i="6"/>
  <c r="E45" i="6"/>
  <c r="Y45" i="6"/>
  <c r="F45" i="6"/>
  <c r="M45" i="6"/>
  <c r="Z45" i="6"/>
  <c r="V43" i="6"/>
  <c r="R43" i="6"/>
  <c r="V45" i="6"/>
  <c r="R45" i="6"/>
  <c r="K34" i="8" l="1"/>
  <c r="F34" i="8"/>
  <c r="B35" i="8"/>
  <c r="C34" i="8"/>
  <c r="D34" i="8" s="1"/>
  <c r="H25" i="8"/>
  <c r="I25" i="8" s="1"/>
  <c r="F8" i="18"/>
  <c r="I21" i="8"/>
  <c r="O8" i="18"/>
  <c r="K6" i="18"/>
  <c r="M6" i="18"/>
  <c r="N6" i="18" s="1"/>
  <c r="E6" i="18"/>
  <c r="C8" i="18"/>
  <c r="M33" i="8"/>
  <c r="B6" i="18"/>
  <c r="A6" i="18" s="1"/>
  <c r="A7" i="18"/>
  <c r="M7" i="18"/>
  <c r="N7" i="18" s="1"/>
  <c r="K7" i="18"/>
  <c r="E7" i="18"/>
  <c r="P6" i="18" l="1"/>
  <c r="D15" i="18"/>
  <c r="L7" i="18"/>
  <c r="B36" i="8"/>
  <c r="F35" i="8"/>
  <c r="K35" i="8"/>
  <c r="C35" i="8"/>
  <c r="D35" i="8" s="1"/>
  <c r="G25" i="8"/>
  <c r="P7" i="18"/>
  <c r="L8" i="18"/>
  <c r="O7" i="18"/>
  <c r="D8" i="18"/>
  <c r="C6" i="18"/>
  <c r="D6" i="18" s="1"/>
  <c r="G8" i="18"/>
  <c r="F7" i="18"/>
  <c r="H8" i="18"/>
  <c r="L6" i="18"/>
  <c r="L17" i="18"/>
  <c r="L16" i="18"/>
  <c r="D17" i="18"/>
  <c r="L15" i="18"/>
  <c r="D16" i="18"/>
  <c r="L14" i="18"/>
  <c r="D14" i="18"/>
  <c r="L13" i="18"/>
  <c r="D13" i="18"/>
  <c r="L12" i="18"/>
  <c r="L11" i="18"/>
  <c r="D12" i="18"/>
  <c r="L10" i="18"/>
  <c r="D11" i="18"/>
  <c r="D10" i="18"/>
  <c r="L9" i="18"/>
  <c r="C7" i="18"/>
  <c r="D7" i="18" s="1"/>
  <c r="N33" i="8"/>
  <c r="M34" i="8"/>
  <c r="D9" i="18"/>
  <c r="F6" i="18"/>
  <c r="O6" i="18"/>
  <c r="B37" i="8" l="1"/>
  <c r="F36" i="8"/>
  <c r="C36" i="8"/>
  <c r="D36" i="8" s="1"/>
  <c r="K36" i="8"/>
  <c r="Q3" i="8" s="1"/>
  <c r="L25" i="8"/>
  <c r="J25" i="8"/>
  <c r="G7" i="18"/>
  <c r="H7" i="18"/>
  <c r="M35" i="8"/>
  <c r="G6" i="18"/>
  <c r="N34" i="8"/>
  <c r="H6" i="18"/>
  <c r="C37" i="8" l="1"/>
  <c r="D37" i="8" s="1"/>
  <c r="B38" i="8"/>
  <c r="K37" i="8"/>
  <c r="F37" i="8"/>
  <c r="R26" i="8"/>
  <c r="T26" i="8"/>
  <c r="Q26" i="8"/>
  <c r="E26" i="8"/>
  <c r="P26" i="8"/>
  <c r="M36" i="8"/>
  <c r="N35" i="8"/>
  <c r="B39" i="8" l="1"/>
  <c r="F38" i="8"/>
  <c r="C38" i="8"/>
  <c r="D38" i="8" s="1"/>
  <c r="K38" i="8"/>
  <c r="H26" i="8"/>
  <c r="I26" i="8" s="1"/>
  <c r="N36" i="8"/>
  <c r="T3" i="8" s="1"/>
  <c r="S3" i="8"/>
  <c r="M37" i="8"/>
  <c r="F39" i="8" l="1"/>
  <c r="C39" i="8"/>
  <c r="D39" i="8" s="1"/>
  <c r="K39" i="8"/>
  <c r="B40" i="8"/>
  <c r="G26" i="8"/>
  <c r="N37" i="8"/>
  <c r="M38" i="8"/>
  <c r="K40" i="8" l="1"/>
  <c r="F40" i="8"/>
  <c r="C40" i="8"/>
  <c r="D40" i="8" s="1"/>
  <c r="B41" i="8"/>
  <c r="L26" i="8"/>
  <c r="J26" i="8"/>
  <c r="N38" i="8"/>
  <c r="M39" i="8"/>
  <c r="N39" i="8" s="1"/>
  <c r="C41" i="8" l="1"/>
  <c r="D41" i="8" s="1"/>
  <c r="K41" i="8"/>
  <c r="F41" i="8"/>
  <c r="B42" i="8"/>
  <c r="R27" i="8"/>
  <c r="P27" i="8"/>
  <c r="T27" i="8"/>
  <c r="E27" i="8"/>
  <c r="Q27" i="8"/>
  <c r="M40" i="8"/>
  <c r="N40" i="8" s="1"/>
  <c r="B43" i="8" l="1"/>
  <c r="F42" i="8"/>
  <c r="C42" i="8"/>
  <c r="D42" i="8" s="1"/>
  <c r="K42" i="8"/>
  <c r="H27" i="8"/>
  <c r="I27" i="8" s="1"/>
  <c r="M41" i="8"/>
  <c r="N41" i="8" s="1"/>
  <c r="B44" i="8" l="1"/>
  <c r="K43" i="8"/>
  <c r="F43" i="8"/>
  <c r="C43" i="8"/>
  <c r="D43" i="8" s="1"/>
  <c r="G27" i="8"/>
  <c r="M42" i="8"/>
  <c r="N42" i="8" s="1"/>
  <c r="B45" i="8" l="1"/>
  <c r="C44" i="8"/>
  <c r="D44" i="8" s="1"/>
  <c r="K44" i="8"/>
  <c r="F44" i="8"/>
  <c r="L27" i="8"/>
  <c r="J27" i="8"/>
  <c r="M43" i="8"/>
  <c r="N43" i="8" s="1"/>
  <c r="B46" i="8" l="1"/>
  <c r="K45" i="8"/>
  <c r="C45" i="8"/>
  <c r="D45" i="8" s="1"/>
  <c r="F45" i="8"/>
  <c r="P28" i="8"/>
  <c r="R28" i="8"/>
  <c r="E28" i="8"/>
  <c r="S28" i="8"/>
  <c r="Q28" i="8"/>
  <c r="T28" i="8"/>
  <c r="M44" i="8"/>
  <c r="N44" i="8" s="1"/>
  <c r="B47" i="8" l="1"/>
  <c r="F46" i="8"/>
  <c r="C46" i="8"/>
  <c r="D46" i="8" s="1"/>
  <c r="K46" i="8"/>
  <c r="H28" i="8"/>
  <c r="I28" i="8" s="1"/>
  <c r="M45" i="8"/>
  <c r="B48" i="8" l="1"/>
  <c r="F47" i="8"/>
  <c r="K47" i="8"/>
  <c r="C47" i="8"/>
  <c r="D47" i="8" s="1"/>
  <c r="G28" i="8"/>
  <c r="M46" i="8"/>
  <c r="N46" i="8" s="1"/>
  <c r="N45" i="8"/>
  <c r="K48" i="8" l="1"/>
  <c r="B49" i="8"/>
  <c r="C48" i="8"/>
  <c r="D48" i="8" s="1"/>
  <c r="F48" i="8"/>
  <c r="L28" i="8"/>
  <c r="J28" i="8"/>
  <c r="M47" i="8"/>
  <c r="F49" i="8" l="1"/>
  <c r="B50" i="8"/>
  <c r="C49" i="8"/>
  <c r="D49" i="8" s="1"/>
  <c r="K49" i="8"/>
  <c r="P29" i="8"/>
  <c r="S29" i="8"/>
  <c r="R29" i="8"/>
  <c r="T29" i="8"/>
  <c r="E29" i="8"/>
  <c r="Q29" i="8"/>
  <c r="H29" i="8" s="1"/>
  <c r="I29" i="8" s="1"/>
  <c r="G29" i="8" s="1"/>
  <c r="L29" i="8" s="1"/>
  <c r="N47" i="8"/>
  <c r="M48" i="8"/>
  <c r="N48" i="8" s="1"/>
  <c r="B51" i="8" l="1"/>
  <c r="F50" i="8"/>
  <c r="C50" i="8"/>
  <c r="D50" i="8" s="1"/>
  <c r="K50" i="8"/>
  <c r="J29" i="8"/>
  <c r="M49" i="8"/>
  <c r="N49" i="8" s="1"/>
  <c r="B52" i="8" l="1"/>
  <c r="C51" i="8"/>
  <c r="D51" i="8" s="1"/>
  <c r="F51" i="8"/>
  <c r="K51" i="8"/>
  <c r="Q30" i="8"/>
  <c r="H30" i="8" s="1"/>
  <c r="I30" i="8" s="1"/>
  <c r="G30" i="8" s="1"/>
  <c r="L30" i="8" s="1"/>
  <c r="P30" i="8"/>
  <c r="S30" i="8"/>
  <c r="T30" i="8"/>
  <c r="E30" i="8"/>
  <c r="R30" i="8"/>
  <c r="M50" i="8"/>
  <c r="J30" i="8" l="1"/>
  <c r="P31" i="8" s="1"/>
  <c r="K52" i="8"/>
  <c r="B53" i="8"/>
  <c r="F52" i="8"/>
  <c r="C52" i="8"/>
  <c r="D52" i="8" s="1"/>
  <c r="M51" i="8"/>
  <c r="N51" i="8" s="1"/>
  <c r="N50" i="8"/>
  <c r="S31" i="8" l="1"/>
  <c r="T31" i="8"/>
  <c r="R31" i="8"/>
  <c r="E31" i="8"/>
  <c r="Q31" i="8"/>
  <c r="H31" i="8" s="1"/>
  <c r="I31" i="8" s="1"/>
  <c r="G31" i="8" s="1"/>
  <c r="L31" i="8" s="1"/>
  <c r="F53" i="8"/>
  <c r="C53" i="8"/>
  <c r="D53" i="8" s="1"/>
  <c r="K53" i="8"/>
  <c r="B54" i="8"/>
  <c r="M52" i="8"/>
  <c r="J31" i="8" l="1"/>
  <c r="R32" i="8" s="1"/>
  <c r="K54" i="8"/>
  <c r="C54" i="8"/>
  <c r="D54" i="8" s="1"/>
  <c r="B55" i="8"/>
  <c r="F54" i="8"/>
  <c r="N52" i="8"/>
  <c r="M53" i="8"/>
  <c r="N53" i="8" s="1"/>
  <c r="Q32" i="8" l="1"/>
  <c r="H32" i="8" s="1"/>
  <c r="I32" i="8" s="1"/>
  <c r="G32" i="8" s="1"/>
  <c r="L32" i="8" s="1"/>
  <c r="S32" i="8"/>
  <c r="T32" i="8"/>
  <c r="P32" i="8"/>
  <c r="E32" i="8"/>
  <c r="K55" i="8"/>
  <c r="C55" i="8"/>
  <c r="D55" i="8" s="1"/>
  <c r="B56" i="8"/>
  <c r="F55" i="8"/>
  <c r="M54" i="8"/>
  <c r="N54" i="8" s="1"/>
  <c r="J32" i="8" l="1"/>
  <c r="T33" i="8" s="1"/>
  <c r="F56" i="8"/>
  <c r="C56" i="8"/>
  <c r="D56" i="8" s="1"/>
  <c r="K56" i="8"/>
  <c r="B57" i="8"/>
  <c r="M55" i="8"/>
  <c r="N55" i="8" s="1"/>
  <c r="Q33" i="8" l="1"/>
  <c r="H33" i="8" s="1"/>
  <c r="I33" i="8" s="1"/>
  <c r="G33" i="8" s="1"/>
  <c r="L33" i="8" s="1"/>
  <c r="R33" i="8"/>
  <c r="S33" i="8"/>
  <c r="P33" i="8"/>
  <c r="E33" i="8"/>
  <c r="K57" i="8"/>
  <c r="C57" i="8"/>
  <c r="D57" i="8" s="1"/>
  <c r="B58" i="8"/>
  <c r="F57" i="8"/>
  <c r="M56" i="8"/>
  <c r="N56" i="8" s="1"/>
  <c r="J33" i="8" l="1"/>
  <c r="E34" i="8" s="1"/>
  <c r="K58" i="8"/>
  <c r="B59" i="8"/>
  <c r="F58" i="8"/>
  <c r="C58" i="8"/>
  <c r="D58" i="8" s="1"/>
  <c r="M57" i="8"/>
  <c r="N57" i="8" s="1"/>
  <c r="T34" i="8" l="1"/>
  <c r="P34" i="8"/>
  <c r="S34" i="8"/>
  <c r="R34" i="8"/>
  <c r="Q34" i="8"/>
  <c r="H34" i="8" s="1"/>
  <c r="I34" i="8" s="1"/>
  <c r="G34" i="8" s="1"/>
  <c r="L34" i="8" s="1"/>
  <c r="K59" i="8"/>
  <c r="C59" i="8"/>
  <c r="D59" i="8" s="1"/>
  <c r="B60" i="8"/>
  <c r="F59" i="8"/>
  <c r="M58" i="8"/>
  <c r="N58" i="8" s="1"/>
  <c r="J34" i="8" l="1"/>
  <c r="E35" i="8" s="1"/>
  <c r="F60" i="8"/>
  <c r="C60" i="8"/>
  <c r="D60" i="8" s="1"/>
  <c r="K60" i="8"/>
  <c r="B61" i="8"/>
  <c r="M59" i="8"/>
  <c r="P35" i="8" l="1"/>
  <c r="R35" i="8"/>
  <c r="Q35" i="8"/>
  <c r="H35" i="8" s="1"/>
  <c r="I35" i="8" s="1"/>
  <c r="G35" i="8" s="1"/>
  <c r="L35" i="8" s="1"/>
  <c r="T35" i="8"/>
  <c r="S35" i="8"/>
  <c r="F61" i="8"/>
  <c r="C61" i="8"/>
  <c r="D61" i="8" s="1"/>
  <c r="I61" i="8"/>
  <c r="K61" i="8"/>
  <c r="B62" i="8"/>
  <c r="M60" i="8"/>
  <c r="N60" i="8" s="1"/>
  <c r="N59" i="8"/>
  <c r="J35" i="8" l="1"/>
  <c r="S36" i="8" s="1"/>
  <c r="Y3" i="8" s="1"/>
  <c r="C62" i="8"/>
  <c r="D62" i="8" s="1"/>
  <c r="I62" i="8"/>
  <c r="K62" i="8"/>
  <c r="B63" i="8"/>
  <c r="F62" i="8"/>
  <c r="M61" i="8"/>
  <c r="Q36" i="8" l="1"/>
  <c r="W3" i="8" s="1"/>
  <c r="P36" i="8"/>
  <c r="V3" i="8" s="1"/>
  <c r="R36" i="8"/>
  <c r="X3" i="8" s="1"/>
  <c r="T36" i="8"/>
  <c r="Z3" i="8" s="1"/>
  <c r="E36" i="8"/>
  <c r="K63" i="8"/>
  <c r="I63" i="8"/>
  <c r="C63" i="8"/>
  <c r="D63" i="8" s="1"/>
  <c r="F63" i="8"/>
  <c r="B64" i="8"/>
  <c r="M62" i="8"/>
  <c r="N62" i="8" s="1"/>
  <c r="N61" i="8"/>
  <c r="H36" i="8" l="1"/>
  <c r="I36" i="8" s="1"/>
  <c r="G36" i="8" s="1"/>
  <c r="I64" i="8"/>
  <c r="B65" i="8"/>
  <c r="C64" i="8"/>
  <c r="D64" i="8" s="1"/>
  <c r="F64" i="8"/>
  <c r="K64" i="8"/>
  <c r="M63" i="8"/>
  <c r="N63" i="8" s="1"/>
  <c r="O3" i="8" l="1"/>
  <c r="B66" i="8"/>
  <c r="I65" i="8"/>
  <c r="F65" i="8"/>
  <c r="K65" i="8"/>
  <c r="C65" i="8"/>
  <c r="D65" i="8" s="1"/>
  <c r="L36" i="8"/>
  <c r="R3" i="8" s="1"/>
  <c r="J36" i="8"/>
  <c r="M64" i="8"/>
  <c r="B67" i="8" l="1"/>
  <c r="K66" i="8"/>
  <c r="I66" i="8"/>
  <c r="C66" i="8"/>
  <c r="D66" i="8" s="1"/>
  <c r="F66" i="8"/>
  <c r="P3" i="8"/>
  <c r="E37" i="8"/>
  <c r="Q37" i="8"/>
  <c r="H37" i="8" s="1"/>
  <c r="I37" i="8" s="1"/>
  <c r="G37" i="8" s="1"/>
  <c r="L37" i="8" s="1"/>
  <c r="R37" i="8"/>
  <c r="P37" i="8"/>
  <c r="T37" i="8"/>
  <c r="S37" i="8"/>
  <c r="N64" i="8"/>
  <c r="M65" i="8"/>
  <c r="N65" i="8" s="1"/>
  <c r="J37" i="8" l="1"/>
  <c r="R38" i="8" s="1"/>
  <c r="I67" i="8"/>
  <c r="C67" i="8"/>
  <c r="D67" i="8" s="1"/>
  <c r="K67" i="8"/>
  <c r="B68" i="8"/>
  <c r="F67" i="8"/>
  <c r="M66" i="8"/>
  <c r="N66" i="8" s="1"/>
  <c r="P38" i="8" l="1"/>
  <c r="Q38" i="8"/>
  <c r="H38" i="8" s="1"/>
  <c r="I38" i="8" s="1"/>
  <c r="G38" i="8" s="1"/>
  <c r="L38" i="8" s="1"/>
  <c r="T38" i="8"/>
  <c r="S38" i="8"/>
  <c r="E38" i="8"/>
  <c r="K68" i="8"/>
  <c r="I68" i="8"/>
  <c r="F68" i="8"/>
  <c r="B69" i="8"/>
  <c r="C68" i="8"/>
  <c r="D68" i="8" s="1"/>
  <c r="M67" i="8"/>
  <c r="N67" i="8" s="1"/>
  <c r="J38" i="8" l="1"/>
  <c r="S39" i="8" s="1"/>
  <c r="K69" i="8"/>
  <c r="C69" i="8"/>
  <c r="D69" i="8" s="1"/>
  <c r="F69" i="8"/>
  <c r="B70" i="8"/>
  <c r="I69" i="8"/>
  <c r="M68" i="8"/>
  <c r="Q39" i="8" l="1"/>
  <c r="H39" i="8" s="1"/>
  <c r="I39" i="8" s="1"/>
  <c r="G39" i="8" s="1"/>
  <c r="L39" i="8" s="1"/>
  <c r="P39" i="8"/>
  <c r="E39" i="8"/>
  <c r="T39" i="8"/>
  <c r="R39" i="8"/>
  <c r="I70" i="8"/>
  <c r="K70" i="8"/>
  <c r="B71" i="8"/>
  <c r="C70" i="8"/>
  <c r="D70" i="8" s="1"/>
  <c r="F70" i="8"/>
  <c r="M69" i="8"/>
  <c r="N69" i="8" s="1"/>
  <c r="N68" i="8"/>
  <c r="J39" i="8" l="1"/>
  <c r="P40" i="8" s="1"/>
  <c r="K71" i="8"/>
  <c r="B72" i="8"/>
  <c r="C71" i="8"/>
  <c r="D71" i="8" s="1"/>
  <c r="I71" i="8"/>
  <c r="F71" i="8"/>
  <c r="M70" i="8"/>
  <c r="N70" i="8" s="1"/>
  <c r="E40" i="8" l="1"/>
  <c r="Q40" i="8"/>
  <c r="H40" i="8" s="1"/>
  <c r="I40" i="8" s="1"/>
  <c r="G40" i="8" s="1"/>
  <c r="L40" i="8" s="1"/>
  <c r="R40" i="8"/>
  <c r="T40" i="8"/>
  <c r="S40" i="8"/>
  <c r="K72" i="8"/>
  <c r="I72" i="8"/>
  <c r="B73" i="8"/>
  <c r="C72" i="8"/>
  <c r="D72" i="8" s="1"/>
  <c r="F72" i="8"/>
  <c r="M71" i="8"/>
  <c r="N71" i="8" s="1"/>
  <c r="J40" i="8" l="1"/>
  <c r="T41" i="8" s="1"/>
  <c r="F73" i="8"/>
  <c r="K73" i="8"/>
  <c r="I73" i="8"/>
  <c r="C73" i="8"/>
  <c r="D73" i="8" s="1"/>
  <c r="B74" i="8"/>
  <c r="M72" i="8"/>
  <c r="N72" i="8" s="1"/>
  <c r="R41" i="8" l="1"/>
  <c r="P41" i="8"/>
  <c r="E41" i="8"/>
  <c r="Q41" i="8"/>
  <c r="H41" i="8" s="1"/>
  <c r="I41" i="8" s="1"/>
  <c r="G41" i="8" s="1"/>
  <c r="L41" i="8" s="1"/>
  <c r="S41" i="8"/>
  <c r="B75" i="8"/>
  <c r="I74" i="8"/>
  <c r="K74" i="8"/>
  <c r="F74" i="8"/>
  <c r="C74" i="8"/>
  <c r="D74" i="8" s="1"/>
  <c r="M73" i="8"/>
  <c r="N73" i="8" s="1"/>
  <c r="J41" i="8" l="1"/>
  <c r="E42" i="8" s="1"/>
  <c r="K75" i="8"/>
  <c r="B76" i="8"/>
  <c r="F75" i="8"/>
  <c r="I75" i="8"/>
  <c r="C75" i="8"/>
  <c r="D75" i="8" s="1"/>
  <c r="M74" i="8"/>
  <c r="Q42" i="8" l="1"/>
  <c r="H42" i="8" s="1"/>
  <c r="I42" i="8" s="1"/>
  <c r="G42" i="8" s="1"/>
  <c r="L42" i="8" s="1"/>
  <c r="R42" i="8"/>
  <c r="T42" i="8"/>
  <c r="P42" i="8"/>
  <c r="S42" i="8"/>
  <c r="K76" i="8"/>
  <c r="B77" i="8"/>
  <c r="I76" i="8"/>
  <c r="C76" i="8"/>
  <c r="D76" i="8" s="1"/>
  <c r="F76" i="8"/>
  <c r="M75" i="8"/>
  <c r="N74" i="8"/>
  <c r="J42" i="8" l="1"/>
  <c r="S43" i="8" s="1"/>
  <c r="F77" i="8"/>
  <c r="I77" i="8"/>
  <c r="C77" i="8"/>
  <c r="D77" i="8" s="1"/>
  <c r="K77" i="8"/>
  <c r="B78" i="8"/>
  <c r="N75" i="8"/>
  <c r="M76" i="8"/>
  <c r="N76" i="8" s="1"/>
  <c r="E43" i="8" l="1"/>
  <c r="P43" i="8"/>
  <c r="R43" i="8"/>
  <c r="T43" i="8"/>
  <c r="Q43" i="8"/>
  <c r="H43" i="8" s="1"/>
  <c r="I43" i="8" s="1"/>
  <c r="G43" i="8" s="1"/>
  <c r="L43" i="8" s="1"/>
  <c r="B79" i="8"/>
  <c r="I78" i="8"/>
  <c r="K78" i="8"/>
  <c r="F78" i="8"/>
  <c r="C78" i="8"/>
  <c r="D78" i="8" s="1"/>
  <c r="M77" i="8"/>
  <c r="J43" i="8" l="1"/>
  <c r="T44" i="8" s="1"/>
  <c r="K79" i="8"/>
  <c r="C79" i="8"/>
  <c r="D79" i="8" s="1"/>
  <c r="I79" i="8"/>
  <c r="F79" i="8"/>
  <c r="B80" i="8"/>
  <c r="N77" i="8"/>
  <c r="M78" i="8"/>
  <c r="N78" i="8" s="1"/>
  <c r="R44" i="8" l="1"/>
  <c r="E44" i="8"/>
  <c r="P44" i="8"/>
  <c r="Q44" i="8"/>
  <c r="H44" i="8" s="1"/>
  <c r="I44" i="8" s="1"/>
  <c r="G44" i="8" s="1"/>
  <c r="L44" i="8" s="1"/>
  <c r="S44" i="8"/>
  <c r="K80" i="8"/>
  <c r="I80" i="8"/>
  <c r="B81" i="8"/>
  <c r="C80" i="8"/>
  <c r="D80" i="8" s="1"/>
  <c r="F80" i="8"/>
  <c r="M79" i="8"/>
  <c r="J44" i="8" l="1"/>
  <c r="P45" i="8" s="1"/>
  <c r="F81" i="8"/>
  <c r="C81" i="8"/>
  <c r="D81" i="8" s="1"/>
  <c r="I81" i="8"/>
  <c r="K81" i="8"/>
  <c r="B82" i="8"/>
  <c r="N79" i="8"/>
  <c r="M80" i="8"/>
  <c r="N80" i="8" s="1"/>
  <c r="R45" i="8" l="1"/>
  <c r="S45" i="8"/>
  <c r="E45" i="8"/>
  <c r="T45" i="8"/>
  <c r="Q45" i="8"/>
  <c r="H45" i="8" s="1"/>
  <c r="I45" i="8" s="1"/>
  <c r="G45" i="8" s="1"/>
  <c r="L45" i="8" s="1"/>
  <c r="B83" i="8"/>
  <c r="F82" i="8"/>
  <c r="C82" i="8"/>
  <c r="D82" i="8" s="1"/>
  <c r="I82" i="8"/>
  <c r="K82" i="8"/>
  <c r="M81" i="8"/>
  <c r="N81" i="8" s="1"/>
  <c r="J45" i="8" l="1"/>
  <c r="E46" i="8" s="1"/>
  <c r="K83" i="8"/>
  <c r="B84" i="8"/>
  <c r="F83" i="8"/>
  <c r="I83" i="8"/>
  <c r="C83" i="8"/>
  <c r="D83" i="8" s="1"/>
  <c r="M82" i="8"/>
  <c r="T46" i="8" l="1"/>
  <c r="Q46" i="8"/>
  <c r="H46" i="8" s="1"/>
  <c r="I46" i="8" s="1"/>
  <c r="G46" i="8" s="1"/>
  <c r="L46" i="8" s="1"/>
  <c r="P46" i="8"/>
  <c r="R46" i="8"/>
  <c r="S46" i="8"/>
  <c r="K84" i="8"/>
  <c r="I84" i="8"/>
  <c r="B85" i="8"/>
  <c r="C84" i="8"/>
  <c r="D84" i="8" s="1"/>
  <c r="F84" i="8"/>
  <c r="N82" i="8"/>
  <c r="M83" i="8"/>
  <c r="J46" i="8" l="1"/>
  <c r="E47" i="8" s="1"/>
  <c r="F85" i="8"/>
  <c r="K85" i="8"/>
  <c r="B86" i="8"/>
  <c r="I85" i="8"/>
  <c r="C85" i="8"/>
  <c r="D85" i="8" s="1"/>
  <c r="N83" i="8"/>
  <c r="M84" i="8"/>
  <c r="N84" i="8" s="1"/>
  <c r="R47" i="8" l="1"/>
  <c r="S47" i="8"/>
  <c r="Q47" i="8"/>
  <c r="H47" i="8" s="1"/>
  <c r="I47" i="8" s="1"/>
  <c r="G47" i="8" s="1"/>
  <c r="L47" i="8" s="1"/>
  <c r="T47" i="8"/>
  <c r="P47" i="8"/>
  <c r="B87" i="8"/>
  <c r="F86" i="8"/>
  <c r="C86" i="8"/>
  <c r="D86" i="8" s="1"/>
  <c r="I86" i="8"/>
  <c r="K86" i="8"/>
  <c r="M85" i="8"/>
  <c r="J47" i="8" l="1"/>
  <c r="R48" i="8" s="1"/>
  <c r="K87" i="8"/>
  <c r="F87" i="8"/>
  <c r="B88" i="8"/>
  <c r="I87" i="8"/>
  <c r="C87" i="8"/>
  <c r="D87" i="8" s="1"/>
  <c r="N85" i="8"/>
  <c r="M86" i="8"/>
  <c r="N86" i="8" s="1"/>
  <c r="E48" i="8" l="1"/>
  <c r="Q48" i="8"/>
  <c r="H48" i="8" s="1"/>
  <c r="I48" i="8" s="1"/>
  <c r="G48" i="8" s="1"/>
  <c r="L48" i="8" s="1"/>
  <c r="P48" i="8"/>
  <c r="T48" i="8"/>
  <c r="S48" i="8"/>
  <c r="K88" i="8"/>
  <c r="I88" i="8"/>
  <c r="B89" i="8"/>
  <c r="C88" i="8"/>
  <c r="D88" i="8" s="1"/>
  <c r="F88" i="8"/>
  <c r="M87" i="8"/>
  <c r="N87" i="8" s="1"/>
  <c r="J48" i="8" l="1"/>
  <c r="Q49" i="8" s="1"/>
  <c r="H49" i="8" s="1"/>
  <c r="I49" i="8" s="1"/>
  <c r="G49" i="8" s="1"/>
  <c r="L49" i="8" s="1"/>
  <c r="F89" i="8"/>
  <c r="I89" i="8"/>
  <c r="C89" i="8"/>
  <c r="D89" i="8" s="1"/>
  <c r="B90" i="8"/>
  <c r="K89" i="8"/>
  <c r="M88" i="8"/>
  <c r="N88" i="8" s="1"/>
  <c r="S49" i="8" l="1"/>
  <c r="P49" i="8"/>
  <c r="T49" i="8"/>
  <c r="R49" i="8"/>
  <c r="E49" i="8"/>
  <c r="B91" i="8"/>
  <c r="C90" i="8"/>
  <c r="D90" i="8" s="1"/>
  <c r="F90" i="8"/>
  <c r="I90" i="8"/>
  <c r="K90" i="8"/>
  <c r="J49" i="8"/>
  <c r="M89" i="8"/>
  <c r="K91" i="8" l="1"/>
  <c r="B92" i="8"/>
  <c r="F91" i="8"/>
  <c r="I91" i="8"/>
  <c r="C91" i="8"/>
  <c r="D91" i="8" s="1"/>
  <c r="Q50" i="8"/>
  <c r="H50" i="8" s="1"/>
  <c r="I50" i="8" s="1"/>
  <c r="G50" i="8" s="1"/>
  <c r="L50" i="8" s="1"/>
  <c r="S50" i="8"/>
  <c r="R50" i="8"/>
  <c r="T50" i="8"/>
  <c r="E50" i="8"/>
  <c r="P50" i="8"/>
  <c r="N89" i="8"/>
  <c r="M90" i="8"/>
  <c r="N90" i="8" s="1"/>
  <c r="K92" i="8" l="1"/>
  <c r="I92" i="8"/>
  <c r="F92" i="8"/>
  <c r="C92" i="8"/>
  <c r="D92" i="8" s="1"/>
  <c r="B93" i="8"/>
  <c r="J50" i="8"/>
  <c r="M91" i="8"/>
  <c r="F93" i="8" l="1"/>
  <c r="C93" i="8"/>
  <c r="D93" i="8" s="1"/>
  <c r="I93" i="8"/>
  <c r="K93" i="8"/>
  <c r="B94" i="8"/>
  <c r="S51" i="8"/>
  <c r="Q51" i="8"/>
  <c r="H51" i="8" s="1"/>
  <c r="I51" i="8" s="1"/>
  <c r="G51" i="8" s="1"/>
  <c r="L51" i="8" s="1"/>
  <c r="P51" i="8"/>
  <c r="R51" i="8"/>
  <c r="T51" i="8"/>
  <c r="E51" i="8"/>
  <c r="N91" i="8"/>
  <c r="M92" i="8"/>
  <c r="J51" i="8" l="1"/>
  <c r="T52" i="8" s="1"/>
  <c r="B95" i="8"/>
  <c r="C94" i="8"/>
  <c r="D94" i="8" s="1"/>
  <c r="F94" i="8"/>
  <c r="I94" i="8"/>
  <c r="K94" i="8"/>
  <c r="N92" i="8"/>
  <c r="M93" i="8"/>
  <c r="R52" i="8" l="1"/>
  <c r="P52" i="8"/>
  <c r="Q52" i="8"/>
  <c r="H52" i="8" s="1"/>
  <c r="I52" i="8" s="1"/>
  <c r="G52" i="8" s="1"/>
  <c r="L52" i="8" s="1"/>
  <c r="E52" i="8"/>
  <c r="S52" i="8"/>
  <c r="B96" i="8"/>
  <c r="K95" i="8"/>
  <c r="F95" i="8"/>
  <c r="I95" i="8"/>
  <c r="C95" i="8"/>
  <c r="D95" i="8" s="1"/>
  <c r="N93" i="8"/>
  <c r="M94" i="8"/>
  <c r="N94" i="8" s="1"/>
  <c r="J52" i="8" l="1"/>
  <c r="S53" i="8" s="1"/>
  <c r="C96" i="8"/>
  <c r="D96" i="8" s="1"/>
  <c r="F96" i="8"/>
  <c r="K96" i="8"/>
  <c r="B97" i="8"/>
  <c r="I96" i="8"/>
  <c r="M95" i="8"/>
  <c r="R53" i="8" l="1"/>
  <c r="Q53" i="8"/>
  <c r="H53" i="8" s="1"/>
  <c r="I53" i="8" s="1"/>
  <c r="G53" i="8" s="1"/>
  <c r="L53" i="8" s="1"/>
  <c r="P53" i="8"/>
  <c r="T53" i="8"/>
  <c r="E53" i="8"/>
  <c r="I97" i="8"/>
  <c r="C97" i="8"/>
  <c r="D97" i="8" s="1"/>
  <c r="K97" i="8"/>
  <c r="B98" i="8"/>
  <c r="F97" i="8"/>
  <c r="N95" i="8"/>
  <c r="M96" i="8"/>
  <c r="N96" i="8" s="1"/>
  <c r="J53" i="8" l="1"/>
  <c r="T54" i="8" s="1"/>
  <c r="B99" i="8"/>
  <c r="C98" i="8"/>
  <c r="D98" i="8" s="1"/>
  <c r="K98" i="8"/>
  <c r="F98" i="8"/>
  <c r="I98" i="8"/>
  <c r="M97" i="8"/>
  <c r="N97" i="8" s="1"/>
  <c r="P54" i="8" l="1"/>
  <c r="E54" i="8"/>
  <c r="R54" i="8"/>
  <c r="S54" i="8"/>
  <c r="Q54" i="8"/>
  <c r="H54" i="8" s="1"/>
  <c r="I54" i="8" s="1"/>
  <c r="G54" i="8" s="1"/>
  <c r="L54" i="8" s="1"/>
  <c r="B100" i="8"/>
  <c r="I99" i="8"/>
  <c r="C99" i="8"/>
  <c r="D99" i="8" s="1"/>
  <c r="F99" i="8"/>
  <c r="K99" i="8"/>
  <c r="M98" i="8"/>
  <c r="J54" i="8" l="1"/>
  <c r="Q55" i="8" s="1"/>
  <c r="H55" i="8" s="1"/>
  <c r="I55" i="8" s="1"/>
  <c r="G55" i="8" s="1"/>
  <c r="L55" i="8" s="1"/>
  <c r="C100" i="8"/>
  <c r="D100" i="8" s="1"/>
  <c r="K100" i="8"/>
  <c r="I100" i="8"/>
  <c r="F100" i="8"/>
  <c r="B101" i="8"/>
  <c r="M99" i="8"/>
  <c r="N99" i="8" s="1"/>
  <c r="N98" i="8"/>
  <c r="S55" i="8" l="1"/>
  <c r="P55" i="8"/>
  <c r="E55" i="8"/>
  <c r="R55" i="8"/>
  <c r="T55" i="8"/>
  <c r="I101" i="8"/>
  <c r="C101" i="8"/>
  <c r="D101" i="8" s="1"/>
  <c r="K101" i="8"/>
  <c r="F101" i="8"/>
  <c r="B102" i="8"/>
  <c r="J55" i="8"/>
  <c r="M100" i="8"/>
  <c r="N100" i="8" s="1"/>
  <c r="I102" i="8" l="1"/>
  <c r="B103" i="8"/>
  <c r="C102" i="8"/>
  <c r="D102" i="8" s="1"/>
  <c r="F102" i="8"/>
  <c r="K102" i="8"/>
  <c r="Q56" i="8"/>
  <c r="H56" i="8" s="1"/>
  <c r="I56" i="8" s="1"/>
  <c r="G56" i="8" s="1"/>
  <c r="L56" i="8" s="1"/>
  <c r="S56" i="8"/>
  <c r="E56" i="8"/>
  <c r="T56" i="8"/>
  <c r="P56" i="8"/>
  <c r="R56" i="8"/>
  <c r="M101" i="8"/>
  <c r="C103" i="8" l="1"/>
  <c r="D103" i="8" s="1"/>
  <c r="K103" i="8"/>
  <c r="F103" i="8"/>
  <c r="B104" i="8"/>
  <c r="I103" i="8"/>
  <c r="J56" i="8"/>
  <c r="M102" i="8"/>
  <c r="N102" i="8" s="1"/>
  <c r="N101" i="8"/>
  <c r="C104" i="8" l="1"/>
  <c r="D104" i="8" s="1"/>
  <c r="K104" i="8"/>
  <c r="F104" i="8"/>
  <c r="B105" i="8"/>
  <c r="I104" i="8"/>
  <c r="S57" i="8"/>
  <c r="P57" i="8"/>
  <c r="E57" i="8"/>
  <c r="R57" i="8"/>
  <c r="T57" i="8"/>
  <c r="Q57" i="8"/>
  <c r="H57" i="8" s="1"/>
  <c r="I57" i="8" s="1"/>
  <c r="G57" i="8" s="1"/>
  <c r="L57" i="8" s="1"/>
  <c r="M103" i="8"/>
  <c r="C105" i="8" l="1"/>
  <c r="D105" i="8" s="1"/>
  <c r="F105" i="8"/>
  <c r="K105" i="8"/>
  <c r="B106" i="8"/>
  <c r="I105" i="8"/>
  <c r="J57" i="8"/>
  <c r="M104" i="8"/>
  <c r="N104" i="8" s="1"/>
  <c r="N103" i="8"/>
  <c r="I106" i="8" l="1"/>
  <c r="B107" i="8"/>
  <c r="C106" i="8"/>
  <c r="D106" i="8" s="1"/>
  <c r="F106" i="8"/>
  <c r="K106" i="8"/>
  <c r="E58" i="8"/>
  <c r="T58" i="8"/>
  <c r="R58" i="8"/>
  <c r="S58" i="8"/>
  <c r="Q58" i="8"/>
  <c r="H58" i="8" s="1"/>
  <c r="I58" i="8" s="1"/>
  <c r="G58" i="8" s="1"/>
  <c r="L58" i="8" s="1"/>
  <c r="P58" i="8"/>
  <c r="M105" i="8"/>
  <c r="B108" i="8" l="1"/>
  <c r="C107" i="8"/>
  <c r="D107" i="8" s="1"/>
  <c r="K107" i="8"/>
  <c r="I107" i="8"/>
  <c r="F107" i="8"/>
  <c r="J58" i="8"/>
  <c r="M106" i="8"/>
  <c r="N105" i="8"/>
  <c r="C108" i="8" l="1"/>
  <c r="D108" i="8" s="1"/>
  <c r="K108" i="8"/>
  <c r="I108" i="8"/>
  <c r="F108" i="8"/>
  <c r="B109" i="8"/>
  <c r="E59" i="8"/>
  <c r="S59" i="8"/>
  <c r="P59" i="8"/>
  <c r="Q59" i="8"/>
  <c r="H59" i="8" s="1"/>
  <c r="I59" i="8" s="1"/>
  <c r="G59" i="8" s="1"/>
  <c r="L59" i="8" s="1"/>
  <c r="R59" i="8"/>
  <c r="T59" i="8"/>
  <c r="M107" i="8"/>
  <c r="N107" i="8" s="1"/>
  <c r="N106" i="8"/>
  <c r="I109" i="8" l="1"/>
  <c r="C109" i="8"/>
  <c r="D109" i="8" s="1"/>
  <c r="K109" i="8"/>
  <c r="F109" i="8"/>
  <c r="B110" i="8"/>
  <c r="J59" i="8"/>
  <c r="M108" i="8"/>
  <c r="N108" i="8" s="1"/>
  <c r="I110" i="8" l="1"/>
  <c r="B111" i="8"/>
  <c r="C110" i="8"/>
  <c r="D110" i="8" s="1"/>
  <c r="F110" i="8"/>
  <c r="K110" i="8"/>
  <c r="R60" i="8"/>
  <c r="Q60" i="8"/>
  <c r="H60" i="8" s="1"/>
  <c r="I60" i="8" s="1"/>
  <c r="G60" i="8" s="1"/>
  <c r="L60" i="8" s="1"/>
  <c r="E60" i="8"/>
  <c r="T60" i="8"/>
  <c r="P60" i="8"/>
  <c r="S60" i="8"/>
  <c r="M109" i="8"/>
  <c r="J60" i="8" l="1"/>
  <c r="S61" i="8" s="1"/>
  <c r="I111" i="8"/>
  <c r="K111" i="8"/>
  <c r="B112" i="8"/>
  <c r="C111" i="8"/>
  <c r="D111" i="8" s="1"/>
  <c r="F111" i="8"/>
  <c r="M110" i="8"/>
  <c r="N110" i="8" s="1"/>
  <c r="N109" i="8"/>
  <c r="P61" i="8" l="1"/>
  <c r="T61" i="8"/>
  <c r="R61" i="8"/>
  <c r="Q61" i="8"/>
  <c r="H61" i="8" s="1"/>
  <c r="G61" i="8" s="1"/>
  <c r="L61" i="8" s="1"/>
  <c r="E61" i="8"/>
  <c r="C112" i="8"/>
  <c r="D112" i="8" s="1"/>
  <c r="K112" i="8"/>
  <c r="I112" i="8"/>
  <c r="F112" i="8"/>
  <c r="B113" i="8"/>
  <c r="M111" i="8"/>
  <c r="J61" i="8" l="1"/>
  <c r="P62" i="8" s="1"/>
  <c r="F113" i="8"/>
  <c r="I113" i="8"/>
  <c r="C113" i="8"/>
  <c r="D113" i="8" s="1"/>
  <c r="K113" i="8"/>
  <c r="B114" i="8"/>
  <c r="M112" i="8"/>
  <c r="N112" i="8" s="1"/>
  <c r="N111" i="8"/>
  <c r="R62" i="8" l="1"/>
  <c r="S62" i="8"/>
  <c r="Q62" i="8"/>
  <c r="H62" i="8" s="1"/>
  <c r="G62" i="8" s="1"/>
  <c r="L62" i="8" s="1"/>
  <c r="E62" i="8"/>
  <c r="T62" i="8"/>
  <c r="C114" i="8"/>
  <c r="D114" i="8" s="1"/>
  <c r="F114" i="8"/>
  <c r="B115" i="8"/>
  <c r="K114" i="8"/>
  <c r="I114" i="8"/>
  <c r="M113" i="8"/>
  <c r="N113" i="8" s="1"/>
  <c r="J62" i="8" l="1"/>
  <c r="E63" i="8" s="1"/>
  <c r="I115" i="8"/>
  <c r="K115" i="8"/>
  <c r="F115" i="8"/>
  <c r="C115" i="8"/>
  <c r="D115" i="8" s="1"/>
  <c r="B116" i="8"/>
  <c r="M114" i="8"/>
  <c r="S63" i="8" l="1"/>
  <c r="T63" i="8"/>
  <c r="R63" i="8"/>
  <c r="P63" i="8"/>
  <c r="Q63" i="8"/>
  <c r="H63" i="8" s="1"/>
  <c r="G63" i="8" s="1"/>
  <c r="L63" i="8" s="1"/>
  <c r="B117" i="8"/>
  <c r="K116" i="8"/>
  <c r="I116" i="8"/>
  <c r="C116" i="8"/>
  <c r="D116" i="8" s="1"/>
  <c r="F116" i="8"/>
  <c r="N114" i="8"/>
  <c r="M115" i="8"/>
  <c r="J63" i="8" l="1"/>
  <c r="E64" i="8" s="1"/>
  <c r="C117" i="8"/>
  <c r="D117" i="8" s="1"/>
  <c r="K117" i="8"/>
  <c r="F117" i="8"/>
  <c r="B118" i="8"/>
  <c r="I117" i="8"/>
  <c r="M116" i="8"/>
  <c r="N116" i="8" s="1"/>
  <c r="N115" i="8"/>
  <c r="R64" i="8" l="1"/>
  <c r="P64" i="8"/>
  <c r="S64" i="8"/>
  <c r="Q64" i="8"/>
  <c r="H64" i="8" s="1"/>
  <c r="G64" i="8" s="1"/>
  <c r="L64" i="8" s="1"/>
  <c r="T64" i="8"/>
  <c r="K118" i="8"/>
  <c r="B119" i="8"/>
  <c r="F118" i="8"/>
  <c r="I118" i="8"/>
  <c r="C118" i="8"/>
  <c r="D118" i="8" s="1"/>
  <c r="M117" i="8"/>
  <c r="J64" i="8" l="1"/>
  <c r="P65" i="8" s="1"/>
  <c r="C119" i="8"/>
  <c r="D119" i="8" s="1"/>
  <c r="F119" i="8"/>
  <c r="B120" i="8"/>
  <c r="K119" i="8"/>
  <c r="I119" i="8"/>
  <c r="M118" i="8"/>
  <c r="N118" i="8" s="1"/>
  <c r="N117" i="8"/>
  <c r="R65" i="8" l="1"/>
  <c r="S65" i="8"/>
  <c r="E65" i="8"/>
  <c r="Q65" i="8"/>
  <c r="H65" i="8" s="1"/>
  <c r="G65" i="8" s="1"/>
  <c r="L65" i="8" s="1"/>
  <c r="T65" i="8"/>
  <c r="B121" i="8"/>
  <c r="C120" i="8"/>
  <c r="D120" i="8" s="1"/>
  <c r="K120" i="8"/>
  <c r="I120" i="8"/>
  <c r="F120" i="8"/>
  <c r="M119" i="8"/>
  <c r="N119" i="8" s="1"/>
  <c r="J65" i="8" l="1"/>
  <c r="P66" i="8" s="1"/>
  <c r="K121" i="8"/>
  <c r="B122" i="8"/>
  <c r="F121" i="8"/>
  <c r="I121" i="8"/>
  <c r="C121" i="8"/>
  <c r="D121" i="8" s="1"/>
  <c r="M120" i="8"/>
  <c r="N120" i="8" s="1"/>
  <c r="T66" i="8" l="1"/>
  <c r="S66" i="8"/>
  <c r="R66" i="8"/>
  <c r="Q66" i="8"/>
  <c r="H66" i="8" s="1"/>
  <c r="G66" i="8" s="1"/>
  <c r="L66" i="8" s="1"/>
  <c r="E66" i="8"/>
  <c r="K122" i="8"/>
  <c r="I122" i="8"/>
  <c r="B123" i="8"/>
  <c r="C122" i="8"/>
  <c r="D122" i="8" s="1"/>
  <c r="F122" i="8"/>
  <c r="M121" i="8"/>
  <c r="N121" i="8" s="1"/>
  <c r="J66" i="8" l="1"/>
  <c r="E67" i="8" s="1"/>
  <c r="I123" i="8"/>
  <c r="C123" i="8"/>
  <c r="D123" i="8" s="1"/>
  <c r="F123" i="8"/>
  <c r="K123" i="8"/>
  <c r="B124" i="8"/>
  <c r="M122" i="8"/>
  <c r="N122" i="8" s="1"/>
  <c r="Q67" i="8" l="1"/>
  <c r="H67" i="8" s="1"/>
  <c r="G67" i="8" s="1"/>
  <c r="L67" i="8" s="1"/>
  <c r="R67" i="8"/>
  <c r="T67" i="8"/>
  <c r="S67" i="8"/>
  <c r="P67" i="8"/>
  <c r="I124" i="8"/>
  <c r="F124" i="8"/>
  <c r="B125" i="8"/>
  <c r="C124" i="8"/>
  <c r="D124" i="8" s="1"/>
  <c r="K124" i="8"/>
  <c r="M123" i="8"/>
  <c r="J67" i="8" l="1"/>
  <c r="S68" i="8" s="1"/>
  <c r="F125" i="8"/>
  <c r="B126" i="8"/>
  <c r="I125" i="8"/>
  <c r="C125" i="8"/>
  <c r="D125" i="8" s="1"/>
  <c r="K125" i="8"/>
  <c r="M124" i="8"/>
  <c r="N124" i="8" s="1"/>
  <c r="N123" i="8"/>
  <c r="E68" i="8" l="1"/>
  <c r="Q68" i="8"/>
  <c r="H68" i="8" s="1"/>
  <c r="G68" i="8" s="1"/>
  <c r="L68" i="8" s="1"/>
  <c r="P68" i="8"/>
  <c r="T68" i="8"/>
  <c r="R68" i="8"/>
  <c r="K126" i="8"/>
  <c r="I126" i="8"/>
  <c r="B127" i="8"/>
  <c r="C126" i="8"/>
  <c r="D126" i="8" s="1"/>
  <c r="F126" i="8"/>
  <c r="M125" i="8"/>
  <c r="N125" i="8" s="1"/>
  <c r="J68" i="8" l="1"/>
  <c r="Q69" i="8" s="1"/>
  <c r="H69" i="8" s="1"/>
  <c r="G69" i="8" s="1"/>
  <c r="L69" i="8" s="1"/>
  <c r="C127" i="8"/>
  <c r="D127" i="8" s="1"/>
  <c r="K127" i="8"/>
  <c r="F127" i="8"/>
  <c r="B128" i="8"/>
  <c r="I127" i="8"/>
  <c r="M126" i="8"/>
  <c r="N126" i="8" s="1"/>
  <c r="R69" i="8" l="1"/>
  <c r="T69" i="8"/>
  <c r="P69" i="8"/>
  <c r="S69" i="8"/>
  <c r="E69" i="8"/>
  <c r="J69" i="8"/>
  <c r="P70" i="8" s="1"/>
  <c r="B129" i="8"/>
  <c r="C128" i="8"/>
  <c r="D128" i="8" s="1"/>
  <c r="K128" i="8"/>
  <c r="I128" i="8"/>
  <c r="F128" i="8"/>
  <c r="M127" i="8"/>
  <c r="N127" i="8" s="1"/>
  <c r="Q70" i="8" l="1"/>
  <c r="H70" i="8" s="1"/>
  <c r="G70" i="8" s="1"/>
  <c r="L70" i="8" s="1"/>
  <c r="S70" i="8"/>
  <c r="T70" i="8"/>
  <c r="E70" i="8"/>
  <c r="R70" i="8"/>
  <c r="K129" i="8"/>
  <c r="B130" i="8"/>
  <c r="F129" i="8"/>
  <c r="I129" i="8"/>
  <c r="C129" i="8"/>
  <c r="D129" i="8" s="1"/>
  <c r="M128" i="8"/>
  <c r="N128" i="8" s="1"/>
  <c r="J70" i="8" l="1"/>
  <c r="Q71" i="8" s="1"/>
  <c r="H71" i="8" s="1"/>
  <c r="G71" i="8" s="1"/>
  <c r="L71" i="8" s="1"/>
  <c r="K130" i="8"/>
  <c r="I130" i="8"/>
  <c r="B131" i="8"/>
  <c r="C130" i="8"/>
  <c r="D130" i="8" s="1"/>
  <c r="F130" i="8"/>
  <c r="M129" i="8"/>
  <c r="T71" i="8" l="1"/>
  <c r="P71" i="8"/>
  <c r="E71" i="8"/>
  <c r="S71" i="8"/>
  <c r="R71" i="8"/>
  <c r="J71" i="8"/>
  <c r="P72" i="8" s="1"/>
  <c r="I131" i="8"/>
  <c r="C131" i="8"/>
  <c r="D131" i="8" s="1"/>
  <c r="F131" i="8"/>
  <c r="K131" i="8"/>
  <c r="B132" i="8"/>
  <c r="N129" i="8"/>
  <c r="M130" i="8"/>
  <c r="T72" i="8" l="1"/>
  <c r="R72" i="8"/>
  <c r="Q72" i="8"/>
  <c r="H72" i="8" s="1"/>
  <c r="G72" i="8" s="1"/>
  <c r="L72" i="8" s="1"/>
  <c r="S72" i="8"/>
  <c r="E72" i="8"/>
  <c r="I132" i="8"/>
  <c r="F132" i="8"/>
  <c r="B133" i="8"/>
  <c r="C132" i="8"/>
  <c r="D132" i="8" s="1"/>
  <c r="K132" i="8"/>
  <c r="N130" i="8"/>
  <c r="M131" i="8"/>
  <c r="J72" i="8" l="1"/>
  <c r="E73" i="8" s="1"/>
  <c r="I133" i="8"/>
  <c r="C133" i="8"/>
  <c r="D133" i="8" s="1"/>
  <c r="K133" i="8"/>
  <c r="F133" i="8"/>
  <c r="B134" i="8"/>
  <c r="N131" i="8"/>
  <c r="M132" i="8"/>
  <c r="N132" i="8" s="1"/>
  <c r="P73" i="8" l="1"/>
  <c r="T73" i="8"/>
  <c r="R73" i="8"/>
  <c r="Q73" i="8"/>
  <c r="H73" i="8" s="1"/>
  <c r="G73" i="8" s="1"/>
  <c r="L73" i="8" s="1"/>
  <c r="S73" i="8"/>
  <c r="I134" i="8"/>
  <c r="B135" i="8"/>
  <c r="C134" i="8"/>
  <c r="D134" i="8" s="1"/>
  <c r="F134" i="8"/>
  <c r="K134" i="8"/>
  <c r="M133" i="8"/>
  <c r="N133" i="8" s="1"/>
  <c r="J73" i="8" l="1"/>
  <c r="T74" i="8" s="1"/>
  <c r="I135" i="8"/>
  <c r="F135" i="8"/>
  <c r="B136" i="8"/>
  <c r="C135" i="8"/>
  <c r="D135" i="8" s="1"/>
  <c r="K135" i="8"/>
  <c r="M134" i="8"/>
  <c r="R74" i="8" l="1"/>
  <c r="S74" i="8"/>
  <c r="P74" i="8"/>
  <c r="E74" i="8"/>
  <c r="Q74" i="8"/>
  <c r="H74" i="8" s="1"/>
  <c r="G74" i="8" s="1"/>
  <c r="L74" i="8" s="1"/>
  <c r="C136" i="8"/>
  <c r="D136" i="8" s="1"/>
  <c r="K136" i="8"/>
  <c r="I136" i="8"/>
  <c r="F136" i="8"/>
  <c r="B137" i="8"/>
  <c r="N134" i="8"/>
  <c r="M135" i="8"/>
  <c r="J74" i="8" l="1"/>
  <c r="S75" i="8" s="1"/>
  <c r="C137" i="8"/>
  <c r="D137" i="8" s="1"/>
  <c r="K137" i="8"/>
  <c r="B138" i="8"/>
  <c r="F137" i="8"/>
  <c r="I137" i="8"/>
  <c r="N135" i="8"/>
  <c r="M136" i="8"/>
  <c r="N136" i="8" s="1"/>
  <c r="P75" i="8" l="1"/>
  <c r="E75" i="8"/>
  <c r="Q75" i="8"/>
  <c r="H75" i="8" s="1"/>
  <c r="G75" i="8" s="1"/>
  <c r="L75" i="8" s="1"/>
  <c r="T75" i="8"/>
  <c r="R75" i="8"/>
  <c r="I138" i="8"/>
  <c r="B139" i="8"/>
  <c r="C138" i="8"/>
  <c r="D138" i="8" s="1"/>
  <c r="F138" i="8"/>
  <c r="K138" i="8"/>
  <c r="M137" i="8"/>
  <c r="J75" i="8" l="1"/>
  <c r="E76" i="8" s="1"/>
  <c r="B140" i="8"/>
  <c r="F139" i="8"/>
  <c r="K139" i="8"/>
  <c r="I139" i="8"/>
  <c r="C139" i="8"/>
  <c r="D139" i="8" s="1"/>
  <c r="N137" i="8"/>
  <c r="M138" i="8"/>
  <c r="N138" i="8" s="1"/>
  <c r="P76" i="8" l="1"/>
  <c r="R76" i="8"/>
  <c r="S76" i="8"/>
  <c r="Q76" i="8"/>
  <c r="H76" i="8" s="1"/>
  <c r="G76" i="8" s="1"/>
  <c r="L76" i="8" s="1"/>
  <c r="T76" i="8"/>
  <c r="C140" i="8"/>
  <c r="D140" i="8" s="1"/>
  <c r="K140" i="8"/>
  <c r="I140" i="8"/>
  <c r="F140" i="8"/>
  <c r="B141" i="8"/>
  <c r="M139" i="8"/>
  <c r="N139" i="8" s="1"/>
  <c r="J76" i="8" l="1"/>
  <c r="P77" i="8" s="1"/>
  <c r="I141" i="8"/>
  <c r="C141" i="8"/>
  <c r="D141" i="8" s="1"/>
  <c r="K141" i="8"/>
  <c r="F141" i="8"/>
  <c r="B142" i="8"/>
  <c r="M140" i="8"/>
  <c r="N140" i="8" s="1"/>
  <c r="E77" i="8" l="1"/>
  <c r="Q77" i="8"/>
  <c r="H77" i="8" s="1"/>
  <c r="G77" i="8" s="1"/>
  <c r="L77" i="8" s="1"/>
  <c r="R77" i="8"/>
  <c r="S77" i="8"/>
  <c r="T77" i="8"/>
  <c r="I142" i="8"/>
  <c r="B143" i="8"/>
  <c r="C142" i="8"/>
  <c r="D142" i="8" s="1"/>
  <c r="F142" i="8"/>
  <c r="K142" i="8"/>
  <c r="M141" i="8"/>
  <c r="J77" i="8" l="1"/>
  <c r="Q78" i="8" s="1"/>
  <c r="H78" i="8" s="1"/>
  <c r="G78" i="8" s="1"/>
  <c r="L78" i="8" s="1"/>
  <c r="I143" i="8"/>
  <c r="C143" i="8"/>
  <c r="D143" i="8" s="1"/>
  <c r="K143" i="8"/>
  <c r="F143" i="8"/>
  <c r="B144" i="8"/>
  <c r="M142" i="8"/>
  <c r="N142" i="8" s="1"/>
  <c r="N141" i="8"/>
  <c r="R78" i="8" l="1"/>
  <c r="P78" i="8"/>
  <c r="S78" i="8"/>
  <c r="J78" i="8"/>
  <c r="S79" i="8" s="1"/>
  <c r="E78" i="8"/>
  <c r="T78" i="8"/>
  <c r="K144" i="8"/>
  <c r="B145" i="8"/>
  <c r="J144" i="8"/>
  <c r="C144" i="8"/>
  <c r="D144" i="8" s="1"/>
  <c r="F144" i="8"/>
  <c r="M143" i="8"/>
  <c r="R79" i="8" l="1"/>
  <c r="Q79" i="8"/>
  <c r="H79" i="8" s="1"/>
  <c r="G79" i="8" s="1"/>
  <c r="L79" i="8" s="1"/>
  <c r="T79" i="8"/>
  <c r="P79" i="8"/>
  <c r="E79" i="8"/>
  <c r="J145" i="8"/>
  <c r="G145" i="8"/>
  <c r="D145" i="8"/>
  <c r="K145" i="8"/>
  <c r="I145" i="8"/>
  <c r="H145" i="8"/>
  <c r="E145" i="8"/>
  <c r="F145" i="8"/>
  <c r="L145" i="8"/>
  <c r="B146" i="8"/>
  <c r="C145" i="8"/>
  <c r="N143" i="8"/>
  <c r="S150" i="8"/>
  <c r="R145" i="8"/>
  <c r="Q145" i="8"/>
  <c r="P145" i="8"/>
  <c r="T145" i="8"/>
  <c r="M144" i="8"/>
  <c r="N144" i="8"/>
  <c r="J79" i="8" l="1"/>
  <c r="R80" i="8" s="1"/>
  <c r="K146" i="8"/>
  <c r="H146" i="8"/>
  <c r="F146" i="8"/>
  <c r="E146" i="8"/>
  <c r="J146" i="8"/>
  <c r="C146" i="8"/>
  <c r="I146" i="8"/>
  <c r="G146" i="8"/>
  <c r="B147" i="8"/>
  <c r="L146" i="8"/>
  <c r="D146" i="8"/>
  <c r="E80" i="8"/>
  <c r="S151" i="8"/>
  <c r="Q146" i="8"/>
  <c r="T146" i="8"/>
  <c r="P146" i="8"/>
  <c r="R146" i="8"/>
  <c r="M145" i="8"/>
  <c r="N145" i="8"/>
  <c r="S145" i="8"/>
  <c r="T80" i="8" l="1"/>
  <c r="Q80" i="8"/>
  <c r="H80" i="8" s="1"/>
  <c r="G80" i="8" s="1"/>
  <c r="L80" i="8" s="1"/>
  <c r="S80" i="8"/>
  <c r="P80" i="8"/>
  <c r="S146" i="8"/>
  <c r="H147" i="8"/>
  <c r="L147" i="8"/>
  <c r="K147" i="8"/>
  <c r="F147" i="8"/>
  <c r="G147" i="8"/>
  <c r="J147" i="8"/>
  <c r="B148" i="8"/>
  <c r="C147" i="8"/>
  <c r="D147" i="8"/>
  <c r="E147" i="8"/>
  <c r="I147" i="8"/>
  <c r="R147" i="8"/>
  <c r="S152" i="8"/>
  <c r="T147" i="8"/>
  <c r="P147" i="8"/>
  <c r="Q147" i="8"/>
  <c r="N146" i="8"/>
  <c r="M146" i="8"/>
  <c r="J80" i="8" l="1"/>
  <c r="T81" i="8" s="1"/>
  <c r="E148" i="8"/>
  <c r="J148" i="8"/>
  <c r="D148" i="8"/>
  <c r="H148" i="8"/>
  <c r="G148" i="8"/>
  <c r="L148" i="8"/>
  <c r="F148" i="8"/>
  <c r="S148" i="8" s="1"/>
  <c r="K148" i="8"/>
  <c r="I148" i="8"/>
  <c r="C148" i="8"/>
  <c r="B149" i="8"/>
  <c r="S81" i="8"/>
  <c r="S147" i="8"/>
  <c r="Q148" i="8"/>
  <c r="P148" i="8"/>
  <c r="S153" i="8"/>
  <c r="T148" i="8"/>
  <c r="R148" i="8"/>
  <c r="N147" i="8"/>
  <c r="M147" i="8"/>
  <c r="P81" i="8" l="1"/>
  <c r="R81" i="8"/>
  <c r="Q81" i="8"/>
  <c r="H81" i="8" s="1"/>
  <c r="G81" i="8" s="1"/>
  <c r="L81" i="8" s="1"/>
  <c r="E81" i="8"/>
  <c r="G149" i="8"/>
  <c r="L149" i="8"/>
  <c r="F149" i="8"/>
  <c r="S149" i="8" s="1"/>
  <c r="K149" i="8"/>
  <c r="E149" i="8"/>
  <c r="J149" i="8"/>
  <c r="D149" i="8"/>
  <c r="I149" i="8"/>
  <c r="C149" i="8"/>
  <c r="H149" i="8"/>
  <c r="B150" i="8"/>
  <c r="Q149" i="8"/>
  <c r="T149" i="8"/>
  <c r="S154" i="8"/>
  <c r="R149" i="8"/>
  <c r="P149" i="8"/>
  <c r="N148" i="8"/>
  <c r="M148" i="8"/>
  <c r="J81" i="8" l="1"/>
  <c r="S82" i="8" s="1"/>
  <c r="D150" i="8"/>
  <c r="I150" i="8"/>
  <c r="K150" i="8"/>
  <c r="H150" i="8"/>
  <c r="B151" i="8"/>
  <c r="L150" i="8"/>
  <c r="F150" i="8"/>
  <c r="E150" i="8"/>
  <c r="J150" i="8"/>
  <c r="G150" i="8"/>
  <c r="S155" i="8"/>
  <c r="T150" i="8"/>
  <c r="P150" i="8"/>
  <c r="R150" i="8"/>
  <c r="Q150" i="8"/>
  <c r="M149" i="8"/>
  <c r="N149" i="8"/>
  <c r="T82" i="8" l="1"/>
  <c r="Q82" i="8"/>
  <c r="H82" i="8" s="1"/>
  <c r="G82" i="8" s="1"/>
  <c r="L82" i="8" s="1"/>
  <c r="R82" i="8"/>
  <c r="E82" i="8"/>
  <c r="P82" i="8"/>
  <c r="G151" i="8"/>
  <c r="L151" i="8"/>
  <c r="J151" i="8"/>
  <c r="K151" i="8"/>
  <c r="E151" i="8"/>
  <c r="F151" i="8"/>
  <c r="D151" i="8"/>
  <c r="I151" i="8"/>
  <c r="H151" i="8"/>
  <c r="B152" i="8"/>
  <c r="S156" i="8"/>
  <c r="R151" i="8"/>
  <c r="Q151" i="8"/>
  <c r="P151" i="8"/>
  <c r="T151" i="8"/>
  <c r="N150" i="8"/>
  <c r="M150" i="8"/>
  <c r="J82" i="8" l="1"/>
  <c r="P83" i="8" s="1"/>
  <c r="E152" i="8"/>
  <c r="J152" i="8"/>
  <c r="D152" i="8"/>
  <c r="I152" i="8"/>
  <c r="G152" i="8"/>
  <c r="H152" i="8"/>
  <c r="B153" i="8"/>
  <c r="K152" i="8"/>
  <c r="L152" i="8"/>
  <c r="F152" i="8"/>
  <c r="R152" i="8"/>
  <c r="Q152" i="8"/>
  <c r="P152" i="8"/>
  <c r="T152" i="8"/>
  <c r="S157" i="8"/>
  <c r="M151" i="8"/>
  <c r="N151" i="8"/>
  <c r="T83" i="8" l="1"/>
  <c r="E83" i="8"/>
  <c r="S83" i="8"/>
  <c r="Q83" i="8"/>
  <c r="H83" i="8" s="1"/>
  <c r="G83" i="8" s="1"/>
  <c r="L83" i="8" s="1"/>
  <c r="R83" i="8"/>
  <c r="J153" i="8"/>
  <c r="H153" i="8"/>
  <c r="I153" i="8"/>
  <c r="G153" i="8"/>
  <c r="L153" i="8"/>
  <c r="F153" i="8"/>
  <c r="D153" i="8"/>
  <c r="E153" i="8"/>
  <c r="K153" i="8"/>
  <c r="B154" i="8"/>
  <c r="Q153" i="8"/>
  <c r="P153" i="8"/>
  <c r="T153" i="8"/>
  <c r="R153" i="8"/>
  <c r="S158" i="8"/>
  <c r="N152" i="8"/>
  <c r="M152" i="8"/>
  <c r="J83" i="8" l="1"/>
  <c r="R84" i="8" s="1"/>
  <c r="D154" i="8"/>
  <c r="I154" i="8"/>
  <c r="G154" i="8"/>
  <c r="H154" i="8"/>
  <c r="B155" i="8"/>
  <c r="K154" i="8"/>
  <c r="F154" i="8"/>
  <c r="L154" i="8"/>
  <c r="E154" i="8"/>
  <c r="J154" i="8"/>
  <c r="S159" i="8"/>
  <c r="T154" i="8"/>
  <c r="P154" i="8"/>
  <c r="R154" i="8"/>
  <c r="Q154" i="8"/>
  <c r="M153" i="8"/>
  <c r="N153" i="8"/>
  <c r="P84" i="8" l="1"/>
  <c r="Q84" i="8"/>
  <c r="H84" i="8" s="1"/>
  <c r="G84" i="8" s="1"/>
  <c r="L84" i="8" s="1"/>
  <c r="T84" i="8"/>
  <c r="E84" i="8"/>
  <c r="S84" i="8"/>
  <c r="J155" i="8"/>
  <c r="H155" i="8"/>
  <c r="E155" i="8"/>
  <c r="G155" i="8"/>
  <c r="L155" i="8"/>
  <c r="K155" i="8"/>
  <c r="I155" i="8"/>
  <c r="F155" i="8"/>
  <c r="D155" i="8"/>
  <c r="B156" i="8"/>
  <c r="T155" i="8"/>
  <c r="S160" i="8"/>
  <c r="R155" i="8"/>
  <c r="Q155" i="8"/>
  <c r="P155" i="8"/>
  <c r="M154" i="8"/>
  <c r="N154" i="8"/>
  <c r="J84" i="8" l="1"/>
  <c r="R85" i="8" s="1"/>
  <c r="D156" i="8"/>
  <c r="I156" i="8"/>
  <c r="G156" i="8"/>
  <c r="E156" i="8"/>
  <c r="J156" i="8"/>
  <c r="H156" i="8"/>
  <c r="B157" i="8"/>
  <c r="K156" i="8"/>
  <c r="L156" i="8"/>
  <c r="F156" i="8"/>
  <c r="R156" i="8"/>
  <c r="S161" i="8"/>
  <c r="Q156" i="8"/>
  <c r="P156" i="8"/>
  <c r="T156" i="8"/>
  <c r="N155" i="8"/>
  <c r="M155" i="8"/>
  <c r="T85" i="8" l="1"/>
  <c r="S85" i="8"/>
  <c r="Q85" i="8"/>
  <c r="H85" i="8" s="1"/>
  <c r="G85" i="8" s="1"/>
  <c r="L85" i="8" s="1"/>
  <c r="P85" i="8"/>
  <c r="E85" i="8"/>
  <c r="G157" i="8"/>
  <c r="L157" i="8"/>
  <c r="K157" i="8"/>
  <c r="E157" i="8"/>
  <c r="F157" i="8"/>
  <c r="D157" i="8"/>
  <c r="I157" i="8"/>
  <c r="J157" i="8"/>
  <c r="H157" i="8"/>
  <c r="B158" i="8"/>
  <c r="Q157" i="8"/>
  <c r="R157" i="8"/>
  <c r="P157" i="8"/>
  <c r="T157" i="8"/>
  <c r="S162" i="8"/>
  <c r="N156" i="8"/>
  <c r="M156" i="8"/>
  <c r="J85" i="8" l="1"/>
  <c r="R86" i="8" s="1"/>
  <c r="D158" i="8"/>
  <c r="I158" i="8"/>
  <c r="K158" i="8"/>
  <c r="H158" i="8"/>
  <c r="B159" i="8"/>
  <c r="G158" i="8"/>
  <c r="L158" i="8"/>
  <c r="F158" i="8"/>
  <c r="E158" i="8"/>
  <c r="J158" i="8"/>
  <c r="S163" i="8"/>
  <c r="T158" i="8"/>
  <c r="P158" i="8"/>
  <c r="Q158" i="8"/>
  <c r="R158" i="8"/>
  <c r="M157" i="8"/>
  <c r="N157" i="8"/>
  <c r="T86" i="8" l="1"/>
  <c r="P86" i="8"/>
  <c r="E86" i="8"/>
  <c r="Q86" i="8"/>
  <c r="H86" i="8" s="1"/>
  <c r="G86" i="8" s="1"/>
  <c r="L86" i="8" s="1"/>
  <c r="S86" i="8"/>
  <c r="G159" i="8"/>
  <c r="L159" i="8"/>
  <c r="K159" i="8"/>
  <c r="E159" i="8"/>
  <c r="F159" i="8"/>
  <c r="D159" i="8"/>
  <c r="I159" i="8"/>
  <c r="J159" i="8"/>
  <c r="H159" i="8"/>
  <c r="B160" i="8"/>
  <c r="P159" i="8"/>
  <c r="T159" i="8"/>
  <c r="S164" i="8"/>
  <c r="R159" i="8"/>
  <c r="Q159" i="8"/>
  <c r="M158" i="8"/>
  <c r="N158" i="8"/>
  <c r="J86" i="8" l="1"/>
  <c r="E87" i="8" s="1"/>
  <c r="D160" i="8"/>
  <c r="I160" i="8"/>
  <c r="G160" i="8"/>
  <c r="L160" i="8"/>
  <c r="F160" i="8"/>
  <c r="H160" i="8"/>
  <c r="B161" i="8"/>
  <c r="K160" i="8"/>
  <c r="E160" i="8"/>
  <c r="J160" i="8"/>
  <c r="R160" i="8"/>
  <c r="T160" i="8"/>
  <c r="S165" i="8"/>
  <c r="P160" i="8"/>
  <c r="Q160" i="8"/>
  <c r="N159" i="8"/>
  <c r="M159" i="8"/>
  <c r="T87" i="8" l="1"/>
  <c r="S87" i="8"/>
  <c r="R87" i="8"/>
  <c r="P87" i="8"/>
  <c r="Q87" i="8"/>
  <c r="H87" i="8" s="1"/>
  <c r="G87" i="8" s="1"/>
  <c r="L87" i="8" s="1"/>
  <c r="J161" i="8"/>
  <c r="H161" i="8"/>
  <c r="I161" i="8"/>
  <c r="G161" i="8"/>
  <c r="L161" i="8"/>
  <c r="K161" i="8"/>
  <c r="B162" i="8"/>
  <c r="F161" i="8"/>
  <c r="D161" i="8"/>
  <c r="E161" i="8"/>
  <c r="Q161" i="8"/>
  <c r="S166" i="8"/>
  <c r="R161" i="8"/>
  <c r="P161" i="8"/>
  <c r="T161" i="8"/>
  <c r="M160" i="8"/>
  <c r="N160" i="8"/>
  <c r="J87" i="8" l="1"/>
  <c r="T88" i="8" s="1"/>
  <c r="D162" i="8"/>
  <c r="I162" i="8"/>
  <c r="G162" i="8"/>
  <c r="H162" i="8"/>
  <c r="B163" i="8"/>
  <c r="K162" i="8"/>
  <c r="L162" i="8"/>
  <c r="F162" i="8"/>
  <c r="E162" i="8"/>
  <c r="J162" i="8"/>
  <c r="S167" i="8"/>
  <c r="T162" i="8"/>
  <c r="P162" i="8"/>
  <c r="R162" i="8"/>
  <c r="Q162" i="8"/>
  <c r="N161" i="8"/>
  <c r="M161" i="8"/>
  <c r="S88" i="8" l="1"/>
  <c r="E88" i="8"/>
  <c r="Q88" i="8"/>
  <c r="H88" i="8" s="1"/>
  <c r="G88" i="8" s="1"/>
  <c r="L88" i="8" s="1"/>
  <c r="R88" i="8"/>
  <c r="P88" i="8"/>
  <c r="J163" i="8"/>
  <c r="H163" i="8"/>
  <c r="E163" i="8"/>
  <c r="G163" i="8"/>
  <c r="L163" i="8"/>
  <c r="K163" i="8"/>
  <c r="I163" i="8"/>
  <c r="F163" i="8"/>
  <c r="D163" i="8"/>
  <c r="B164" i="8"/>
  <c r="Q163" i="8"/>
  <c r="P163" i="8"/>
  <c r="S168" i="8"/>
  <c r="R163" i="8"/>
  <c r="M162" i="8"/>
  <c r="T163" i="8"/>
  <c r="N162" i="8"/>
  <c r="J88" i="8" l="1"/>
  <c r="Q89" i="8" s="1"/>
  <c r="H89" i="8" s="1"/>
  <c r="G89" i="8" s="1"/>
  <c r="L89" i="8" s="1"/>
  <c r="E164" i="8"/>
  <c r="J164" i="8"/>
  <c r="D164" i="8"/>
  <c r="I164" i="8"/>
  <c r="G164" i="8"/>
  <c r="H164" i="8"/>
  <c r="B165" i="8"/>
  <c r="K164" i="8"/>
  <c r="L164" i="8"/>
  <c r="F164" i="8"/>
  <c r="R164" i="8"/>
  <c r="P164" i="8"/>
  <c r="T164" i="8"/>
  <c r="S169" i="8"/>
  <c r="Q164" i="8"/>
  <c r="N163" i="8"/>
  <c r="M163" i="8"/>
  <c r="T89" i="8" l="1"/>
  <c r="P89" i="8"/>
  <c r="J89" i="8"/>
  <c r="E90" i="8" s="1"/>
  <c r="R89" i="8"/>
  <c r="E89" i="8"/>
  <c r="S89" i="8"/>
  <c r="K165" i="8"/>
  <c r="E165" i="8"/>
  <c r="F165" i="8"/>
  <c r="D165" i="8"/>
  <c r="I165" i="8"/>
  <c r="J165" i="8"/>
  <c r="H165" i="8"/>
  <c r="B166" i="8"/>
  <c r="G165" i="8"/>
  <c r="L165" i="8"/>
  <c r="Q165" i="8"/>
  <c r="T165" i="8"/>
  <c r="S170" i="8"/>
  <c r="R165" i="8"/>
  <c r="P165" i="8"/>
  <c r="N164" i="8"/>
  <c r="M164" i="8"/>
  <c r="R90" i="8" l="1"/>
  <c r="S90" i="8"/>
  <c r="P90" i="8"/>
  <c r="Q90" i="8"/>
  <c r="H90" i="8" s="1"/>
  <c r="G90" i="8" s="1"/>
  <c r="L90" i="8" s="1"/>
  <c r="T90" i="8"/>
  <c r="E166" i="8"/>
  <c r="J166" i="8"/>
  <c r="H166" i="8"/>
  <c r="B167" i="8"/>
  <c r="G166" i="8"/>
  <c r="D166" i="8"/>
  <c r="I166" i="8"/>
  <c r="K166" i="8"/>
  <c r="L166" i="8"/>
  <c r="F166" i="8"/>
  <c r="S171" i="8"/>
  <c r="T166" i="8"/>
  <c r="P166" i="8"/>
  <c r="R166" i="8"/>
  <c r="Q166" i="8"/>
  <c r="M165" i="8"/>
  <c r="N165" i="8"/>
  <c r="J90" i="8" l="1"/>
  <c r="P91" i="8" s="1"/>
  <c r="F167" i="8"/>
  <c r="L167" i="8"/>
  <c r="G167" i="8"/>
  <c r="J167" i="8"/>
  <c r="K167" i="8"/>
  <c r="I167" i="8"/>
  <c r="D167" i="8"/>
  <c r="E167" i="8"/>
  <c r="H167" i="8"/>
  <c r="B168" i="8"/>
  <c r="S172" i="8"/>
  <c r="R167" i="8"/>
  <c r="Q167" i="8"/>
  <c r="T167" i="8"/>
  <c r="P167" i="8"/>
  <c r="M166" i="8"/>
  <c r="N166" i="8"/>
  <c r="S91" i="8" l="1"/>
  <c r="Q91" i="8"/>
  <c r="H91" i="8" s="1"/>
  <c r="G91" i="8" s="1"/>
  <c r="L91" i="8" s="1"/>
  <c r="R91" i="8"/>
  <c r="E91" i="8"/>
  <c r="T91" i="8"/>
  <c r="H168" i="8"/>
  <c r="I168" i="8"/>
  <c r="G168" i="8"/>
  <c r="L168" i="8"/>
  <c r="K168" i="8"/>
  <c r="F168" i="8"/>
  <c r="E168" i="8"/>
  <c r="D168" i="8"/>
  <c r="J168" i="8"/>
  <c r="B169" i="8"/>
  <c r="R168" i="8"/>
  <c r="Q168" i="8"/>
  <c r="P168" i="8"/>
  <c r="M167" i="8"/>
  <c r="T168" i="8"/>
  <c r="S173" i="8"/>
  <c r="N167" i="8"/>
  <c r="J91" i="8" l="1"/>
  <c r="E92" i="8" s="1"/>
  <c r="F169" i="8"/>
  <c r="L169" i="8"/>
  <c r="B170" i="8"/>
  <c r="J169" i="8"/>
  <c r="G169" i="8"/>
  <c r="E169" i="8"/>
  <c r="D169" i="8"/>
  <c r="I169" i="8"/>
  <c r="H169" i="8"/>
  <c r="K169" i="8"/>
  <c r="Q169" i="8"/>
  <c r="P169" i="8"/>
  <c r="T169" i="8"/>
  <c r="S174" i="8"/>
  <c r="R169" i="8"/>
  <c r="M168" i="8"/>
  <c r="N168" i="8"/>
  <c r="R92" i="8" l="1"/>
  <c r="S92" i="8"/>
  <c r="Q92" i="8"/>
  <c r="H92" i="8" s="1"/>
  <c r="G92" i="8" s="1"/>
  <c r="L92" i="8" s="1"/>
  <c r="T92" i="8"/>
  <c r="P92" i="8"/>
  <c r="H170" i="8"/>
  <c r="E170" i="8"/>
  <c r="K170" i="8"/>
  <c r="L170" i="8"/>
  <c r="B171" i="8"/>
  <c r="F170" i="8"/>
  <c r="G170" i="8"/>
  <c r="D170" i="8"/>
  <c r="J170" i="8"/>
  <c r="I170" i="8"/>
  <c r="S175" i="8"/>
  <c r="T170" i="8"/>
  <c r="P170" i="8"/>
  <c r="R170" i="8"/>
  <c r="Q170" i="8"/>
  <c r="M169" i="8"/>
  <c r="N169" i="8"/>
  <c r="J92" i="8" l="1"/>
  <c r="P93" i="8" s="1"/>
  <c r="F171" i="8"/>
  <c r="L171" i="8"/>
  <c r="G171" i="8"/>
  <c r="J171" i="8"/>
  <c r="K171" i="8"/>
  <c r="I171" i="8"/>
  <c r="D171" i="8"/>
  <c r="E171" i="8"/>
  <c r="H171" i="8"/>
  <c r="B172" i="8"/>
  <c r="T171" i="8"/>
  <c r="S176" i="8"/>
  <c r="R171" i="8"/>
  <c r="Q171" i="8"/>
  <c r="P171" i="8"/>
  <c r="M170" i="8"/>
  <c r="N170" i="8"/>
  <c r="T93" i="8" l="1"/>
  <c r="E93" i="8"/>
  <c r="Q93" i="8"/>
  <c r="H93" i="8" s="1"/>
  <c r="G93" i="8" s="1"/>
  <c r="L93" i="8" s="1"/>
  <c r="R93" i="8"/>
  <c r="S93" i="8"/>
  <c r="H172" i="8"/>
  <c r="I172" i="8"/>
  <c r="G172" i="8"/>
  <c r="D172" i="8"/>
  <c r="J172" i="8"/>
  <c r="L172" i="8"/>
  <c r="K172" i="8"/>
  <c r="F172" i="8"/>
  <c r="E172" i="8"/>
  <c r="B173" i="8"/>
  <c r="R172" i="8"/>
  <c r="S177" i="8"/>
  <c r="Q172" i="8"/>
  <c r="T172" i="8"/>
  <c r="P172" i="8"/>
  <c r="N171" i="8"/>
  <c r="M171" i="8"/>
  <c r="J93" i="8" l="1"/>
  <c r="Q94" i="8" s="1"/>
  <c r="H94" i="8" s="1"/>
  <c r="G94" i="8" s="1"/>
  <c r="L94" i="8" s="1"/>
  <c r="F173" i="8"/>
  <c r="L173" i="8"/>
  <c r="E173" i="8"/>
  <c r="D173" i="8"/>
  <c r="I173" i="8"/>
  <c r="J173" i="8"/>
  <c r="G173" i="8"/>
  <c r="B174" i="8"/>
  <c r="H173" i="8"/>
  <c r="K173" i="8"/>
  <c r="Q173" i="8"/>
  <c r="R173" i="8"/>
  <c r="P173" i="8"/>
  <c r="S178" i="8"/>
  <c r="T173" i="8"/>
  <c r="N172" i="8"/>
  <c r="M172" i="8"/>
  <c r="E94" i="8" l="1"/>
  <c r="J94" i="8"/>
  <c r="Q95" i="8" s="1"/>
  <c r="H95" i="8" s="1"/>
  <c r="G95" i="8" s="1"/>
  <c r="L95" i="8" s="1"/>
  <c r="S94" i="8"/>
  <c r="R94" i="8"/>
  <c r="T94" i="8"/>
  <c r="P94" i="8"/>
  <c r="H174" i="8"/>
  <c r="E174" i="8"/>
  <c r="K174" i="8"/>
  <c r="D174" i="8"/>
  <c r="J174" i="8"/>
  <c r="I174" i="8"/>
  <c r="L174" i="8"/>
  <c r="B175" i="8"/>
  <c r="F174" i="8"/>
  <c r="G174" i="8"/>
  <c r="S95" i="8"/>
  <c r="R95" i="8"/>
  <c r="P95" i="8"/>
  <c r="S179" i="8"/>
  <c r="T174" i="8"/>
  <c r="P174" i="8"/>
  <c r="Q174" i="8"/>
  <c r="R174" i="8"/>
  <c r="M173" i="8"/>
  <c r="N173" i="8"/>
  <c r="E95" i="8" l="1"/>
  <c r="T95" i="8"/>
  <c r="F175" i="8"/>
  <c r="L175" i="8"/>
  <c r="G175" i="8"/>
  <c r="J175" i="8"/>
  <c r="K175" i="8"/>
  <c r="I175" i="8"/>
  <c r="E175" i="8"/>
  <c r="D175" i="8"/>
  <c r="H175" i="8"/>
  <c r="B176" i="8"/>
  <c r="J95" i="8"/>
  <c r="P175" i="8"/>
  <c r="T175" i="8"/>
  <c r="Q175" i="8"/>
  <c r="S180" i="8"/>
  <c r="R175" i="8"/>
  <c r="M174" i="8"/>
  <c r="N174" i="8"/>
  <c r="H176" i="8" l="1"/>
  <c r="I176" i="8"/>
  <c r="G176" i="8"/>
  <c r="F176" i="8"/>
  <c r="E176" i="8"/>
  <c r="D176" i="8"/>
  <c r="J176" i="8"/>
  <c r="B177" i="8"/>
  <c r="L176" i="8"/>
  <c r="K176" i="8"/>
  <c r="T96" i="8"/>
  <c r="S96" i="8"/>
  <c r="Q96" i="8"/>
  <c r="H96" i="8" s="1"/>
  <c r="G96" i="8" s="1"/>
  <c r="L96" i="8" s="1"/>
  <c r="P96" i="8"/>
  <c r="E96" i="8"/>
  <c r="R96" i="8"/>
  <c r="R176" i="8"/>
  <c r="T176" i="8"/>
  <c r="S181" i="8"/>
  <c r="Q176" i="8"/>
  <c r="P176" i="8"/>
  <c r="M175" i="8"/>
  <c r="N175" i="8"/>
  <c r="F177" i="8" l="1"/>
  <c r="L177" i="8"/>
  <c r="E177" i="8"/>
  <c r="D177" i="8"/>
  <c r="I177" i="8"/>
  <c r="H177" i="8"/>
  <c r="K177" i="8"/>
  <c r="J177" i="8"/>
  <c r="G177" i="8"/>
  <c r="B178" i="8"/>
  <c r="J96" i="8"/>
  <c r="Q177" i="8"/>
  <c r="S182" i="8"/>
  <c r="R177" i="8"/>
  <c r="T177" i="8"/>
  <c r="P177" i="8"/>
  <c r="M176" i="8"/>
  <c r="N176" i="8"/>
  <c r="H178" i="8" l="1"/>
  <c r="E178" i="8"/>
  <c r="K178" i="8"/>
  <c r="L178" i="8"/>
  <c r="B179" i="8"/>
  <c r="G178" i="8"/>
  <c r="I178" i="8"/>
  <c r="F178" i="8"/>
  <c r="D178" i="8"/>
  <c r="J178" i="8"/>
  <c r="R97" i="8"/>
  <c r="P97" i="8"/>
  <c r="S97" i="8"/>
  <c r="T97" i="8"/>
  <c r="E97" i="8"/>
  <c r="Q97" i="8"/>
  <c r="H97" i="8" s="1"/>
  <c r="G97" i="8" s="1"/>
  <c r="L97" i="8" s="1"/>
  <c r="S183" i="8"/>
  <c r="T178" i="8"/>
  <c r="P178" i="8"/>
  <c r="R178" i="8"/>
  <c r="Q178" i="8"/>
  <c r="N177" i="8"/>
  <c r="M177" i="8"/>
  <c r="F179" i="8" l="1"/>
  <c r="L179" i="8"/>
  <c r="G179" i="8"/>
  <c r="H179" i="8"/>
  <c r="B180" i="8"/>
  <c r="J179" i="8"/>
  <c r="K179" i="8"/>
  <c r="I179" i="8"/>
  <c r="D179" i="8"/>
  <c r="E179" i="8"/>
  <c r="J97" i="8"/>
  <c r="Q179" i="8"/>
  <c r="P179" i="8"/>
  <c r="T179" i="8"/>
  <c r="S184" i="8"/>
  <c r="R179" i="8"/>
  <c r="M178" i="8"/>
  <c r="N178" i="8"/>
  <c r="H180" i="8" l="1"/>
  <c r="I180" i="8"/>
  <c r="G180" i="8"/>
  <c r="L180" i="8"/>
  <c r="K180" i="8"/>
  <c r="F180" i="8"/>
  <c r="E180" i="8"/>
  <c r="J180" i="8"/>
  <c r="B181" i="8"/>
  <c r="D180" i="8"/>
  <c r="P98" i="8"/>
  <c r="E98" i="8"/>
  <c r="R98" i="8"/>
  <c r="T98" i="8"/>
  <c r="Q98" i="8"/>
  <c r="H98" i="8" s="1"/>
  <c r="G98" i="8" s="1"/>
  <c r="L98" i="8" s="1"/>
  <c r="S98" i="8"/>
  <c r="R180" i="8"/>
  <c r="P180" i="8"/>
  <c r="T180" i="8"/>
  <c r="S185" i="8"/>
  <c r="Q180" i="8"/>
  <c r="N179" i="8"/>
  <c r="M179" i="8"/>
  <c r="F181" i="8" l="1"/>
  <c r="L181" i="8"/>
  <c r="E181" i="8"/>
  <c r="H181" i="8"/>
  <c r="B182" i="8"/>
  <c r="D181" i="8"/>
  <c r="I181" i="8"/>
  <c r="K181" i="8"/>
  <c r="G181" i="8"/>
  <c r="J181" i="8"/>
  <c r="J98" i="8"/>
  <c r="Q181" i="8"/>
  <c r="T181" i="8"/>
  <c r="S186" i="8"/>
  <c r="R181" i="8"/>
  <c r="P181" i="8"/>
  <c r="M180" i="8"/>
  <c r="N180" i="8"/>
  <c r="J182" i="8" l="1"/>
  <c r="H182" i="8"/>
  <c r="B183" i="8"/>
  <c r="K182" i="8"/>
  <c r="F182" i="8"/>
  <c r="D182" i="8"/>
  <c r="G182" i="8"/>
  <c r="L182" i="8"/>
  <c r="E182" i="8"/>
  <c r="I182" i="8"/>
  <c r="E99" i="8"/>
  <c r="R99" i="8"/>
  <c r="S99" i="8"/>
  <c r="P99" i="8"/>
  <c r="T99" i="8"/>
  <c r="Q99" i="8"/>
  <c r="H99" i="8" s="1"/>
  <c r="G99" i="8" s="1"/>
  <c r="L99" i="8" s="1"/>
  <c r="S187" i="8"/>
  <c r="T182" i="8"/>
  <c r="P182" i="8"/>
  <c r="R182" i="8"/>
  <c r="Q182" i="8"/>
  <c r="M181" i="8"/>
  <c r="N181" i="8"/>
  <c r="D183" i="8" l="1"/>
  <c r="I183" i="8"/>
  <c r="K183" i="8"/>
  <c r="L183" i="8"/>
  <c r="F183" i="8"/>
  <c r="H183" i="8"/>
  <c r="B184" i="8"/>
  <c r="G183" i="8"/>
  <c r="E183" i="8"/>
  <c r="J183" i="8"/>
  <c r="J99" i="8"/>
  <c r="S188" i="8"/>
  <c r="R183" i="8"/>
  <c r="Q183" i="8"/>
  <c r="P183" i="8"/>
  <c r="T183" i="8"/>
  <c r="N182" i="8"/>
  <c r="M182" i="8"/>
  <c r="J184" i="8" l="1"/>
  <c r="H184" i="8"/>
  <c r="B185" i="8"/>
  <c r="E184" i="8"/>
  <c r="D184" i="8"/>
  <c r="G184" i="8"/>
  <c r="L184" i="8"/>
  <c r="K184" i="8"/>
  <c r="F184" i="8"/>
  <c r="I184" i="8"/>
  <c r="T100" i="8"/>
  <c r="Q100" i="8"/>
  <c r="H100" i="8" s="1"/>
  <c r="G100" i="8" s="1"/>
  <c r="L100" i="8" s="1"/>
  <c r="S100" i="8"/>
  <c r="P100" i="8"/>
  <c r="R100" i="8"/>
  <c r="E100" i="8"/>
  <c r="R184" i="8"/>
  <c r="Q184" i="8"/>
  <c r="P184" i="8"/>
  <c r="T184" i="8"/>
  <c r="S189" i="8"/>
  <c r="M183" i="8"/>
  <c r="N183" i="8"/>
  <c r="D185" i="8" l="1"/>
  <c r="I185" i="8"/>
  <c r="G185" i="8"/>
  <c r="B186" i="8"/>
  <c r="K185" i="8"/>
  <c r="E185" i="8"/>
  <c r="J185" i="8"/>
  <c r="H185" i="8"/>
  <c r="L185" i="8"/>
  <c r="F185" i="8"/>
  <c r="J100" i="8"/>
  <c r="Q185" i="8"/>
  <c r="P185" i="8"/>
  <c r="T185" i="8"/>
  <c r="R185" i="8"/>
  <c r="S190" i="8"/>
  <c r="M184" i="8"/>
  <c r="N184" i="8"/>
  <c r="J186" i="8" l="1"/>
  <c r="H186" i="8"/>
  <c r="I186" i="8"/>
  <c r="B187" i="8"/>
  <c r="F186" i="8"/>
  <c r="D186" i="8"/>
  <c r="G186" i="8"/>
  <c r="L186" i="8"/>
  <c r="K186" i="8"/>
  <c r="E186" i="8"/>
  <c r="Q101" i="8"/>
  <c r="H101" i="8" s="1"/>
  <c r="G101" i="8" s="1"/>
  <c r="L101" i="8" s="1"/>
  <c r="R101" i="8"/>
  <c r="E101" i="8"/>
  <c r="S101" i="8"/>
  <c r="T101" i="8"/>
  <c r="P101" i="8"/>
  <c r="S191" i="8"/>
  <c r="T186" i="8"/>
  <c r="P186" i="8"/>
  <c r="R186" i="8"/>
  <c r="Q186" i="8"/>
  <c r="N185" i="8"/>
  <c r="M185" i="8"/>
  <c r="D187" i="8" l="1"/>
  <c r="I187" i="8"/>
  <c r="G187" i="8"/>
  <c r="L187" i="8"/>
  <c r="F187" i="8"/>
  <c r="H187" i="8"/>
  <c r="B188" i="8"/>
  <c r="K187" i="8"/>
  <c r="E187" i="8"/>
  <c r="J187" i="8"/>
  <c r="J101" i="8"/>
  <c r="E102" i="8" s="1"/>
  <c r="T187" i="8"/>
  <c r="S192" i="8"/>
  <c r="R187" i="8"/>
  <c r="Q187" i="8"/>
  <c r="P187" i="8"/>
  <c r="M186" i="8"/>
  <c r="N186" i="8"/>
  <c r="T102" i="8" l="1"/>
  <c r="R102" i="8"/>
  <c r="P102" i="8"/>
  <c r="J188" i="8"/>
  <c r="H188" i="8"/>
  <c r="E188" i="8"/>
  <c r="G188" i="8"/>
  <c r="L188" i="8"/>
  <c r="K188" i="8"/>
  <c r="I188" i="8"/>
  <c r="F188" i="8"/>
  <c r="D188" i="8"/>
  <c r="B189" i="8"/>
  <c r="Q102" i="8"/>
  <c r="H102" i="8" s="1"/>
  <c r="G102" i="8" s="1"/>
  <c r="L102" i="8" s="1"/>
  <c r="S102" i="8"/>
  <c r="R188" i="8"/>
  <c r="S193" i="8"/>
  <c r="Q188" i="8"/>
  <c r="P188" i="8"/>
  <c r="T188" i="8"/>
  <c r="N187" i="8"/>
  <c r="M187" i="8"/>
  <c r="E189" i="8" l="1"/>
  <c r="J189" i="8"/>
  <c r="H189" i="8"/>
  <c r="K189" i="8"/>
  <c r="L189" i="8"/>
  <c r="D189" i="8"/>
  <c r="I189" i="8"/>
  <c r="G189" i="8"/>
  <c r="B190" i="8"/>
  <c r="F189" i="8"/>
  <c r="J102" i="8"/>
  <c r="T103" i="8" s="1"/>
  <c r="Q189" i="8"/>
  <c r="R189" i="8"/>
  <c r="P189" i="8"/>
  <c r="T189" i="8"/>
  <c r="S194" i="8"/>
  <c r="N188" i="8"/>
  <c r="M188" i="8"/>
  <c r="S103" i="8" l="1"/>
  <c r="Q103" i="8"/>
  <c r="H103" i="8" s="1"/>
  <c r="G103" i="8" s="1"/>
  <c r="L103" i="8" s="1"/>
  <c r="R103" i="8"/>
  <c r="E103" i="8"/>
  <c r="P103" i="8"/>
  <c r="K190" i="8"/>
  <c r="E190" i="8"/>
  <c r="D190" i="8"/>
  <c r="B191" i="8"/>
  <c r="G190" i="8"/>
  <c r="F190" i="8"/>
  <c r="I190" i="8"/>
  <c r="J190" i="8"/>
  <c r="H190" i="8"/>
  <c r="L190" i="8"/>
  <c r="S195" i="8"/>
  <c r="T190" i="8"/>
  <c r="P190" i="8"/>
  <c r="Q190" i="8"/>
  <c r="R190" i="8"/>
  <c r="M189" i="8"/>
  <c r="N189" i="8"/>
  <c r="J103" i="8" l="1"/>
  <c r="P104" i="8" s="1"/>
  <c r="E191" i="8"/>
  <c r="J191" i="8"/>
  <c r="D191" i="8"/>
  <c r="I191" i="8"/>
  <c r="K191" i="8"/>
  <c r="H191" i="8"/>
  <c r="B192" i="8"/>
  <c r="G191" i="8"/>
  <c r="L191" i="8"/>
  <c r="F191" i="8"/>
  <c r="P191" i="8"/>
  <c r="T191" i="8"/>
  <c r="S196" i="8"/>
  <c r="R191" i="8"/>
  <c r="Q191" i="8"/>
  <c r="N190" i="8"/>
  <c r="M190" i="8"/>
  <c r="S104" i="8" l="1"/>
  <c r="T104" i="8"/>
  <c r="Q104" i="8"/>
  <c r="H104" i="8" s="1"/>
  <c r="G104" i="8" s="1"/>
  <c r="L104" i="8" s="1"/>
  <c r="R104" i="8"/>
  <c r="E104" i="8"/>
  <c r="K192" i="8"/>
  <c r="E192" i="8"/>
  <c r="G192" i="8"/>
  <c r="L192" i="8"/>
  <c r="F192" i="8"/>
  <c r="D192" i="8"/>
  <c r="I192" i="8"/>
  <c r="J192" i="8"/>
  <c r="H192" i="8"/>
  <c r="B193" i="8"/>
  <c r="R192" i="8"/>
  <c r="T192" i="8"/>
  <c r="S197" i="8"/>
  <c r="Q192" i="8"/>
  <c r="P192" i="8"/>
  <c r="N191" i="8"/>
  <c r="M191" i="8"/>
  <c r="J104" i="8" l="1"/>
  <c r="R105" i="8" s="1"/>
  <c r="E193" i="8"/>
  <c r="J193" i="8"/>
  <c r="H193" i="8"/>
  <c r="B194" i="8"/>
  <c r="K193" i="8"/>
  <c r="L193" i="8"/>
  <c r="D193" i="8"/>
  <c r="I193" i="8"/>
  <c r="G193" i="8"/>
  <c r="F193" i="8"/>
  <c r="Q193" i="8"/>
  <c r="S198" i="8"/>
  <c r="R193" i="8"/>
  <c r="P193" i="8"/>
  <c r="T193" i="8"/>
  <c r="M192" i="8"/>
  <c r="N192" i="8"/>
  <c r="E105" i="8" l="1"/>
  <c r="P105" i="8"/>
  <c r="S105" i="8"/>
  <c r="Q105" i="8"/>
  <c r="H105" i="8" s="1"/>
  <c r="G105" i="8" s="1"/>
  <c r="L105" i="8" s="1"/>
  <c r="T105" i="8"/>
  <c r="K194" i="8"/>
  <c r="B195" i="8"/>
  <c r="F194" i="8"/>
  <c r="D194" i="8"/>
  <c r="E194" i="8"/>
  <c r="J194" i="8"/>
  <c r="H194" i="8"/>
  <c r="I194" i="8"/>
  <c r="G194" i="8"/>
  <c r="L194" i="8"/>
  <c r="S199" i="8"/>
  <c r="T194" i="8"/>
  <c r="P194" i="8"/>
  <c r="R194" i="8"/>
  <c r="Q194" i="8"/>
  <c r="N193" i="8"/>
  <c r="M193" i="8"/>
  <c r="J105" i="8" l="1"/>
  <c r="Q106" i="8" s="1"/>
  <c r="H106" i="8" s="1"/>
  <c r="G106" i="8" s="1"/>
  <c r="L106" i="8" s="1"/>
  <c r="L195" i="8"/>
  <c r="F195" i="8"/>
  <c r="E195" i="8"/>
  <c r="J195" i="8"/>
  <c r="D195" i="8"/>
  <c r="I195" i="8"/>
  <c r="G195" i="8"/>
  <c r="H195" i="8"/>
  <c r="B196" i="8"/>
  <c r="K195" i="8"/>
  <c r="Q195" i="8"/>
  <c r="P195" i="8"/>
  <c r="R195" i="8"/>
  <c r="T195" i="8"/>
  <c r="S200" i="8"/>
  <c r="M194" i="8"/>
  <c r="N194" i="8"/>
  <c r="P106" i="8" l="1"/>
  <c r="R106" i="8"/>
  <c r="E106" i="8"/>
  <c r="T106" i="8"/>
  <c r="S106" i="8"/>
  <c r="J106" i="8"/>
  <c r="J196" i="8"/>
  <c r="H196" i="8"/>
  <c r="E196" i="8"/>
  <c r="L196" i="8"/>
  <c r="G196" i="8"/>
  <c r="D196" i="8"/>
  <c r="K196" i="8"/>
  <c r="I196" i="8"/>
  <c r="F196" i="8"/>
  <c r="B197" i="8"/>
  <c r="R196" i="8"/>
  <c r="P196" i="8"/>
  <c r="T196" i="8"/>
  <c r="S201" i="8"/>
  <c r="Q196" i="8"/>
  <c r="N195" i="8"/>
  <c r="M195" i="8"/>
  <c r="T107" i="8" l="1"/>
  <c r="E107" i="8"/>
  <c r="Q107" i="8"/>
  <c r="H107" i="8" s="1"/>
  <c r="G107" i="8" s="1"/>
  <c r="R107" i="8"/>
  <c r="P107" i="8"/>
  <c r="S107" i="8"/>
  <c r="D197" i="8"/>
  <c r="I197" i="8"/>
  <c r="G197" i="8"/>
  <c r="H197" i="8"/>
  <c r="B198" i="8"/>
  <c r="K197" i="8"/>
  <c r="L197" i="8"/>
  <c r="F197" i="8"/>
  <c r="E197" i="8"/>
  <c r="J197" i="8"/>
  <c r="Q197" i="8"/>
  <c r="T197" i="8"/>
  <c r="S202" i="8"/>
  <c r="P197" i="8"/>
  <c r="R197" i="8"/>
  <c r="N196" i="8"/>
  <c r="M196" i="8"/>
  <c r="L107" i="8" l="1"/>
  <c r="J107" i="8"/>
  <c r="F198" i="8"/>
  <c r="D198" i="8"/>
  <c r="I198" i="8"/>
  <c r="J198" i="8"/>
  <c r="H198" i="8"/>
  <c r="B199" i="8"/>
  <c r="G198" i="8"/>
  <c r="L198" i="8"/>
  <c r="K198" i="8"/>
  <c r="E198" i="8"/>
  <c r="S203" i="8"/>
  <c r="T198" i="8"/>
  <c r="P198" i="8"/>
  <c r="R198" i="8"/>
  <c r="Q198" i="8"/>
  <c r="M197" i="8"/>
  <c r="N197" i="8"/>
  <c r="R108" i="8" l="1"/>
  <c r="T108" i="8"/>
  <c r="S108" i="8"/>
  <c r="E108" i="8"/>
  <c r="Q108" i="8"/>
  <c r="H108" i="8" s="1"/>
  <c r="G108" i="8" s="1"/>
  <c r="P108" i="8"/>
  <c r="D199" i="8"/>
  <c r="I199" i="8"/>
  <c r="K199" i="8"/>
  <c r="H199" i="8"/>
  <c r="B200" i="8"/>
  <c r="G199" i="8"/>
  <c r="E199" i="8"/>
  <c r="L199" i="8"/>
  <c r="F199" i="8"/>
  <c r="J199" i="8"/>
  <c r="S204" i="8"/>
  <c r="R199" i="8"/>
  <c r="Q199" i="8"/>
  <c r="T199" i="8"/>
  <c r="P199" i="8"/>
  <c r="M198" i="8"/>
  <c r="N198" i="8"/>
  <c r="L108" i="8" l="1"/>
  <c r="J108" i="8"/>
  <c r="F200" i="8"/>
  <c r="D200" i="8"/>
  <c r="I200" i="8"/>
  <c r="J200" i="8"/>
  <c r="H200" i="8"/>
  <c r="B201" i="8"/>
  <c r="G200" i="8"/>
  <c r="L200" i="8"/>
  <c r="K200" i="8"/>
  <c r="E200" i="8"/>
  <c r="R200" i="8"/>
  <c r="Q200" i="8"/>
  <c r="P200" i="8"/>
  <c r="S205" i="8"/>
  <c r="T200" i="8"/>
  <c r="M199" i="8"/>
  <c r="N199" i="8"/>
  <c r="Q109" i="8" l="1"/>
  <c r="H109" i="8" s="1"/>
  <c r="G109" i="8" s="1"/>
  <c r="S109" i="8"/>
  <c r="P109" i="8"/>
  <c r="E109" i="8"/>
  <c r="T109" i="8"/>
  <c r="R109" i="8"/>
  <c r="D201" i="8"/>
  <c r="I201" i="8"/>
  <c r="G201" i="8"/>
  <c r="H201" i="8"/>
  <c r="B202" i="8"/>
  <c r="K201" i="8"/>
  <c r="E201" i="8"/>
  <c r="J201" i="8"/>
  <c r="L201" i="8"/>
  <c r="F201" i="8"/>
  <c r="Q201" i="8"/>
  <c r="P201" i="8"/>
  <c r="T201" i="8"/>
  <c r="S206" i="8"/>
  <c r="R201" i="8"/>
  <c r="M200" i="8"/>
  <c r="N200" i="8"/>
  <c r="J109" i="8" l="1"/>
  <c r="L109" i="8"/>
  <c r="F202" i="8"/>
  <c r="D202" i="8"/>
  <c r="E202" i="8"/>
  <c r="J202" i="8"/>
  <c r="H202" i="8"/>
  <c r="G202" i="8"/>
  <c r="L202" i="8"/>
  <c r="K202" i="8"/>
  <c r="B203" i="8"/>
  <c r="I202" i="8"/>
  <c r="S207" i="8"/>
  <c r="T202" i="8"/>
  <c r="P202" i="8"/>
  <c r="Q202" i="8"/>
  <c r="R202" i="8"/>
  <c r="M201" i="8"/>
  <c r="N201" i="8"/>
  <c r="Q110" i="8" l="1"/>
  <c r="H110" i="8" s="1"/>
  <c r="G110" i="8" s="1"/>
  <c r="E110" i="8"/>
  <c r="T110" i="8"/>
  <c r="S110" i="8"/>
  <c r="R110" i="8"/>
  <c r="P110" i="8"/>
  <c r="D203" i="8"/>
  <c r="I203" i="8"/>
  <c r="G203" i="8"/>
  <c r="H203" i="8"/>
  <c r="B204" i="8"/>
  <c r="K203" i="8"/>
  <c r="L203" i="8"/>
  <c r="F203" i="8"/>
  <c r="E203" i="8"/>
  <c r="J203" i="8"/>
  <c r="T203" i="8"/>
  <c r="S208" i="8"/>
  <c r="R203" i="8"/>
  <c r="Q203" i="8"/>
  <c r="P203" i="8"/>
  <c r="M202" i="8"/>
  <c r="N202" i="8"/>
  <c r="J110" i="8" l="1"/>
  <c r="L110" i="8"/>
  <c r="J204" i="8"/>
  <c r="H204" i="8"/>
  <c r="E204" i="8"/>
  <c r="G204" i="8"/>
  <c r="L204" i="8"/>
  <c r="K204" i="8"/>
  <c r="I204" i="8"/>
  <c r="F204" i="8"/>
  <c r="D204" i="8"/>
  <c r="B205" i="8"/>
  <c r="R204" i="8"/>
  <c r="S209" i="8"/>
  <c r="Q204" i="8"/>
  <c r="T204" i="8"/>
  <c r="P204" i="8"/>
  <c r="N203" i="8"/>
  <c r="M203" i="8"/>
  <c r="E111" i="8" l="1"/>
  <c r="T111" i="8"/>
  <c r="Q111" i="8"/>
  <c r="H111" i="8" s="1"/>
  <c r="G111" i="8" s="1"/>
  <c r="P111" i="8"/>
  <c r="S111" i="8"/>
  <c r="R111" i="8"/>
  <c r="D205" i="8"/>
  <c r="I205" i="8"/>
  <c r="G205" i="8"/>
  <c r="H205" i="8"/>
  <c r="B206" i="8"/>
  <c r="K205" i="8"/>
  <c r="L205" i="8"/>
  <c r="F205" i="8"/>
  <c r="E205" i="8"/>
  <c r="J205" i="8"/>
  <c r="Q205" i="8"/>
  <c r="R205" i="8"/>
  <c r="P205" i="8"/>
  <c r="N204" i="8"/>
  <c r="T205" i="8"/>
  <c r="S210" i="8"/>
  <c r="M204" i="8"/>
  <c r="L111" i="8" l="1"/>
  <c r="J111" i="8"/>
  <c r="J206" i="8"/>
  <c r="H206" i="8"/>
  <c r="B207" i="8"/>
  <c r="K206" i="8"/>
  <c r="E206" i="8"/>
  <c r="G206" i="8"/>
  <c r="L206" i="8"/>
  <c r="F206" i="8"/>
  <c r="D206" i="8"/>
  <c r="I206" i="8"/>
  <c r="S211" i="8"/>
  <c r="T206" i="8"/>
  <c r="P206" i="8"/>
  <c r="Q206" i="8"/>
  <c r="R206" i="8"/>
  <c r="N205" i="8"/>
  <c r="M205" i="8"/>
  <c r="S112" i="8" l="1"/>
  <c r="T112" i="8"/>
  <c r="R112" i="8"/>
  <c r="E112" i="8"/>
  <c r="P112" i="8"/>
  <c r="Q112" i="8"/>
  <c r="H112" i="8" s="1"/>
  <c r="G112" i="8" s="1"/>
  <c r="H207" i="8"/>
  <c r="B208" i="8"/>
  <c r="G207" i="8"/>
  <c r="F207" i="8"/>
  <c r="E207" i="8"/>
  <c r="J207" i="8"/>
  <c r="D207" i="8"/>
  <c r="K207" i="8"/>
  <c r="L207" i="8"/>
  <c r="I207" i="8"/>
  <c r="P207" i="8"/>
  <c r="T207" i="8"/>
  <c r="S212" i="8"/>
  <c r="R207" i="8"/>
  <c r="Q207" i="8"/>
  <c r="N206" i="8"/>
  <c r="M206" i="8"/>
  <c r="J112" i="8" l="1"/>
  <c r="L112" i="8"/>
  <c r="F208" i="8"/>
  <c r="D208" i="8"/>
  <c r="I208" i="8"/>
  <c r="J208" i="8"/>
  <c r="H208" i="8"/>
  <c r="B209" i="8"/>
  <c r="G208" i="8"/>
  <c r="L208" i="8"/>
  <c r="K208" i="8"/>
  <c r="E208" i="8"/>
  <c r="R208" i="8"/>
  <c r="T208" i="8"/>
  <c r="S213" i="8"/>
  <c r="Q208" i="8"/>
  <c r="P208" i="8"/>
  <c r="M207" i="8"/>
  <c r="N207" i="8"/>
  <c r="S113" i="8" l="1"/>
  <c r="T113" i="8"/>
  <c r="Q113" i="8"/>
  <c r="H113" i="8" s="1"/>
  <c r="G113" i="8" s="1"/>
  <c r="P113" i="8"/>
  <c r="R113" i="8"/>
  <c r="E113" i="8"/>
  <c r="D209" i="8"/>
  <c r="I209" i="8"/>
  <c r="G209" i="8"/>
  <c r="L209" i="8"/>
  <c r="F209" i="8"/>
  <c r="H209" i="8"/>
  <c r="B210" i="8"/>
  <c r="K209" i="8"/>
  <c r="E209" i="8"/>
  <c r="J209" i="8"/>
  <c r="Q209" i="8"/>
  <c r="S214" i="8"/>
  <c r="R209" i="8"/>
  <c r="T209" i="8"/>
  <c r="P209" i="8"/>
  <c r="M208" i="8"/>
  <c r="N208" i="8"/>
  <c r="J113" i="8" l="1"/>
  <c r="L113" i="8"/>
  <c r="F210" i="8"/>
  <c r="D210" i="8"/>
  <c r="E210" i="8"/>
  <c r="J210" i="8"/>
  <c r="H210" i="8"/>
  <c r="I210" i="8"/>
  <c r="G210" i="8"/>
  <c r="L210" i="8"/>
  <c r="K210" i="8"/>
  <c r="B211" i="8"/>
  <c r="S215" i="8"/>
  <c r="T210" i="8"/>
  <c r="P210" i="8"/>
  <c r="R210" i="8"/>
  <c r="Q210" i="8"/>
  <c r="N209" i="8"/>
  <c r="M209" i="8"/>
  <c r="P114" i="8" l="1"/>
  <c r="Q114" i="8"/>
  <c r="H114" i="8" s="1"/>
  <c r="G114" i="8" s="1"/>
  <c r="R114" i="8"/>
  <c r="S114" i="8"/>
  <c r="E114" i="8"/>
  <c r="T114" i="8"/>
  <c r="D211" i="8"/>
  <c r="I211" i="8"/>
  <c r="G211" i="8"/>
  <c r="L211" i="8"/>
  <c r="E211" i="8"/>
  <c r="J211" i="8"/>
  <c r="H211" i="8"/>
  <c r="B212" i="8"/>
  <c r="K211" i="8"/>
  <c r="F211" i="8"/>
  <c r="Q211" i="8"/>
  <c r="P211" i="8"/>
  <c r="T211" i="8"/>
  <c r="R211" i="8"/>
  <c r="S216" i="8"/>
  <c r="M210" i="8"/>
  <c r="N210" i="8"/>
  <c r="L114" i="8" l="1"/>
  <c r="J114" i="8"/>
  <c r="F212" i="8"/>
  <c r="D212" i="8"/>
  <c r="B213" i="8"/>
  <c r="J212" i="8"/>
  <c r="H212" i="8"/>
  <c r="E212" i="8"/>
  <c r="G212" i="8"/>
  <c r="L212" i="8"/>
  <c r="K212" i="8"/>
  <c r="I212" i="8"/>
  <c r="R212" i="8"/>
  <c r="P212" i="8"/>
  <c r="T212" i="8"/>
  <c r="S217" i="8"/>
  <c r="Q212" i="8"/>
  <c r="N211" i="8"/>
  <c r="M211" i="8"/>
  <c r="S115" i="8" l="1"/>
  <c r="Q115" i="8"/>
  <c r="H115" i="8" s="1"/>
  <c r="G115" i="8" s="1"/>
  <c r="T115" i="8"/>
  <c r="P115" i="8"/>
  <c r="E115" i="8"/>
  <c r="R115" i="8"/>
  <c r="D213" i="8"/>
  <c r="I213" i="8"/>
  <c r="G213" i="8"/>
  <c r="H213" i="8"/>
  <c r="B214" i="8"/>
  <c r="K213" i="8"/>
  <c r="L213" i="8"/>
  <c r="F213" i="8"/>
  <c r="E213" i="8"/>
  <c r="J213" i="8"/>
  <c r="Q213" i="8"/>
  <c r="T213" i="8"/>
  <c r="S218" i="8"/>
  <c r="R213" i="8"/>
  <c r="P213" i="8"/>
  <c r="M212" i="8"/>
  <c r="N212" i="8"/>
  <c r="L115" i="8" l="1"/>
  <c r="J115" i="8"/>
  <c r="F214" i="8"/>
  <c r="D214" i="8"/>
  <c r="I214" i="8"/>
  <c r="J214" i="8"/>
  <c r="H214" i="8"/>
  <c r="B215" i="8"/>
  <c r="G214" i="8"/>
  <c r="L214" i="8"/>
  <c r="K214" i="8"/>
  <c r="E214" i="8"/>
  <c r="S219" i="8"/>
  <c r="T214" i="8"/>
  <c r="P214" i="8"/>
  <c r="R214" i="8"/>
  <c r="Q214" i="8"/>
  <c r="M213" i="8"/>
  <c r="N213" i="8"/>
  <c r="R116" i="8" l="1"/>
  <c r="S116" i="8"/>
  <c r="Q116" i="8"/>
  <c r="H116" i="8" s="1"/>
  <c r="G116" i="8" s="1"/>
  <c r="P116" i="8"/>
  <c r="T116" i="8"/>
  <c r="E116" i="8"/>
  <c r="D215" i="8"/>
  <c r="I215" i="8"/>
  <c r="K215" i="8"/>
  <c r="L215" i="8"/>
  <c r="F215" i="8"/>
  <c r="H215" i="8"/>
  <c r="B216" i="8"/>
  <c r="G215" i="8"/>
  <c r="E215" i="8"/>
  <c r="J215" i="8"/>
  <c r="S220" i="8"/>
  <c r="R215" i="8"/>
  <c r="Q215" i="8"/>
  <c r="P215" i="8"/>
  <c r="T215" i="8"/>
  <c r="N214" i="8"/>
  <c r="M214" i="8"/>
  <c r="J116" i="8" l="1"/>
  <c r="L116" i="8"/>
  <c r="J216" i="8"/>
  <c r="H216" i="8"/>
  <c r="B217" i="8"/>
  <c r="G216" i="8"/>
  <c r="L216" i="8"/>
  <c r="K216" i="8"/>
  <c r="E216" i="8"/>
  <c r="F216" i="8"/>
  <c r="D216" i="8"/>
  <c r="I216" i="8"/>
  <c r="R216" i="8"/>
  <c r="Q216" i="8"/>
  <c r="P216" i="8"/>
  <c r="T216" i="8"/>
  <c r="S221" i="8"/>
  <c r="M215" i="8"/>
  <c r="N215" i="8"/>
  <c r="R117" i="8" l="1"/>
  <c r="S117" i="8"/>
  <c r="E117" i="8"/>
  <c r="Q117" i="8"/>
  <c r="H117" i="8" s="1"/>
  <c r="G117" i="8" s="1"/>
  <c r="T117" i="8"/>
  <c r="P117" i="8"/>
  <c r="D217" i="8"/>
  <c r="I217" i="8"/>
  <c r="G217" i="8"/>
  <c r="E217" i="8"/>
  <c r="H217" i="8"/>
  <c r="B218" i="8"/>
  <c r="K217" i="8"/>
  <c r="L217" i="8"/>
  <c r="F217" i="8"/>
  <c r="J217" i="8"/>
  <c r="Q217" i="8"/>
  <c r="P217" i="8"/>
  <c r="T217" i="8"/>
  <c r="S222" i="8"/>
  <c r="R217" i="8"/>
  <c r="M216" i="8"/>
  <c r="N216" i="8"/>
  <c r="L117" i="8" l="1"/>
  <c r="J117" i="8"/>
  <c r="E218" i="8"/>
  <c r="J218" i="8"/>
  <c r="H218" i="8"/>
  <c r="I218" i="8"/>
  <c r="K218" i="8"/>
  <c r="B219" i="8"/>
  <c r="F218" i="8"/>
  <c r="D218" i="8"/>
  <c r="G218" i="8"/>
  <c r="L218" i="8"/>
  <c r="S223" i="8"/>
  <c r="T218" i="8"/>
  <c r="P218" i="8"/>
  <c r="R218" i="8"/>
  <c r="Q218" i="8"/>
  <c r="M217" i="8"/>
  <c r="N217" i="8"/>
  <c r="T118" i="8" l="1"/>
  <c r="E118" i="8"/>
  <c r="R118" i="8"/>
  <c r="S118" i="8"/>
  <c r="Q118" i="8"/>
  <c r="H118" i="8" s="1"/>
  <c r="G118" i="8" s="1"/>
  <c r="P118" i="8"/>
  <c r="D219" i="8"/>
  <c r="I219" i="8"/>
  <c r="G219" i="8"/>
  <c r="H219" i="8"/>
  <c r="B220" i="8"/>
  <c r="K219" i="8"/>
  <c r="L219" i="8"/>
  <c r="F219" i="8"/>
  <c r="J219" i="8"/>
  <c r="E219" i="8"/>
  <c r="T219" i="8"/>
  <c r="S224" i="8"/>
  <c r="R219" i="8"/>
  <c r="Q219" i="8"/>
  <c r="P219" i="8"/>
  <c r="M218" i="8"/>
  <c r="N218" i="8"/>
  <c r="J118" i="8" l="1"/>
  <c r="L118" i="8"/>
  <c r="F220" i="8"/>
  <c r="D220" i="8"/>
  <c r="B221" i="8"/>
  <c r="K220" i="8"/>
  <c r="I220" i="8"/>
  <c r="J220" i="8"/>
  <c r="H220" i="8"/>
  <c r="E220" i="8"/>
  <c r="G220" i="8"/>
  <c r="L220" i="8"/>
  <c r="R220" i="8"/>
  <c r="S225" i="8"/>
  <c r="Q220" i="8"/>
  <c r="P220" i="8"/>
  <c r="T220" i="8"/>
  <c r="N219" i="8"/>
  <c r="M219" i="8"/>
  <c r="S119" i="8" l="1"/>
  <c r="E119" i="8"/>
  <c r="P119" i="8"/>
  <c r="T119" i="8"/>
  <c r="R119" i="8"/>
  <c r="Q119" i="8"/>
  <c r="H119" i="8" s="1"/>
  <c r="G119" i="8" s="1"/>
  <c r="D221" i="8"/>
  <c r="I221" i="8"/>
  <c r="G221" i="8"/>
  <c r="H221" i="8"/>
  <c r="B222" i="8"/>
  <c r="K221" i="8"/>
  <c r="L221" i="8"/>
  <c r="F221" i="8"/>
  <c r="E221" i="8"/>
  <c r="J221" i="8"/>
  <c r="Q221" i="8"/>
  <c r="R221" i="8"/>
  <c r="P221" i="8"/>
  <c r="T221" i="8"/>
  <c r="S226" i="8"/>
  <c r="N220" i="8"/>
  <c r="M220" i="8"/>
  <c r="L119" i="8" l="1"/>
  <c r="J119" i="8"/>
  <c r="F222" i="8"/>
  <c r="D222" i="8"/>
  <c r="I222" i="8"/>
  <c r="G222" i="8"/>
  <c r="L222" i="8"/>
  <c r="J222" i="8"/>
  <c r="H222" i="8"/>
  <c r="B223" i="8"/>
  <c r="K222" i="8"/>
  <c r="E222" i="8"/>
  <c r="S227" i="8"/>
  <c r="T222" i="8"/>
  <c r="P222" i="8"/>
  <c r="Q222" i="8"/>
  <c r="M221" i="8"/>
  <c r="R222" i="8"/>
  <c r="N221" i="8"/>
  <c r="T120" i="8" l="1"/>
  <c r="R120" i="8"/>
  <c r="Q120" i="8"/>
  <c r="H120" i="8" s="1"/>
  <c r="G120" i="8" s="1"/>
  <c r="S120" i="8"/>
  <c r="P120" i="8"/>
  <c r="E120" i="8"/>
  <c r="D223" i="8"/>
  <c r="I223" i="8"/>
  <c r="K223" i="8"/>
  <c r="H223" i="8"/>
  <c r="B224" i="8"/>
  <c r="G223" i="8"/>
  <c r="L223" i="8"/>
  <c r="F223" i="8"/>
  <c r="E223" i="8"/>
  <c r="J223" i="8"/>
  <c r="P223" i="8"/>
  <c r="T223" i="8"/>
  <c r="S228" i="8"/>
  <c r="R223" i="8"/>
  <c r="Q223" i="8"/>
  <c r="M222" i="8"/>
  <c r="N222" i="8"/>
  <c r="L120" i="8" l="1"/>
  <c r="J120" i="8"/>
  <c r="J224" i="8"/>
  <c r="H224" i="8"/>
  <c r="B225" i="8"/>
  <c r="G224" i="8"/>
  <c r="L224" i="8"/>
  <c r="K224" i="8"/>
  <c r="E224" i="8"/>
  <c r="F224" i="8"/>
  <c r="D224" i="8"/>
  <c r="I224" i="8"/>
  <c r="R224" i="8"/>
  <c r="T224" i="8"/>
  <c r="S229" i="8"/>
  <c r="Q224" i="8"/>
  <c r="P224" i="8"/>
  <c r="N223" i="8"/>
  <c r="M223" i="8"/>
  <c r="E121" i="8" l="1"/>
  <c r="S121" i="8"/>
  <c r="T121" i="8"/>
  <c r="P121" i="8"/>
  <c r="R121" i="8"/>
  <c r="Q121" i="8"/>
  <c r="H121" i="8" s="1"/>
  <c r="G121" i="8" s="1"/>
  <c r="D225" i="8"/>
  <c r="I225" i="8"/>
  <c r="G225" i="8"/>
  <c r="H225" i="8"/>
  <c r="B226" i="8"/>
  <c r="K225" i="8"/>
  <c r="L225" i="8"/>
  <c r="F225" i="8"/>
  <c r="E225" i="8"/>
  <c r="J225" i="8"/>
  <c r="Q225" i="8"/>
  <c r="S230" i="8"/>
  <c r="R225" i="8"/>
  <c r="P225" i="8"/>
  <c r="T225" i="8"/>
  <c r="M224" i="8"/>
  <c r="N224" i="8"/>
  <c r="L121" i="8" l="1"/>
  <c r="J121" i="8"/>
  <c r="F226" i="8"/>
  <c r="D226" i="8"/>
  <c r="E226" i="8"/>
  <c r="J226" i="8"/>
  <c r="H226" i="8"/>
  <c r="I226" i="8"/>
  <c r="K226" i="8"/>
  <c r="G226" i="8"/>
  <c r="L226" i="8"/>
  <c r="B227" i="8"/>
  <c r="S231" i="8"/>
  <c r="T226" i="8"/>
  <c r="P226" i="8"/>
  <c r="R226" i="8"/>
  <c r="Q226" i="8"/>
  <c r="N225" i="8"/>
  <c r="M225" i="8"/>
  <c r="S122" i="8" l="1"/>
  <c r="T122" i="8"/>
  <c r="R122" i="8"/>
  <c r="P122" i="8"/>
  <c r="Q122" i="8"/>
  <c r="H122" i="8" s="1"/>
  <c r="G122" i="8" s="1"/>
  <c r="L122" i="8" s="1"/>
  <c r="E122" i="8"/>
  <c r="D227" i="8"/>
  <c r="I227" i="8"/>
  <c r="G227" i="8"/>
  <c r="H227" i="8"/>
  <c r="B228" i="8"/>
  <c r="K227" i="8"/>
  <c r="L227" i="8"/>
  <c r="F227" i="8"/>
  <c r="E227" i="8"/>
  <c r="J227" i="8"/>
  <c r="Q227" i="8"/>
  <c r="P227" i="8"/>
  <c r="T227" i="8"/>
  <c r="M226" i="8"/>
  <c r="S232" i="8"/>
  <c r="R227" i="8"/>
  <c r="N226" i="8"/>
  <c r="J122" i="8" l="1"/>
  <c r="F228" i="8"/>
  <c r="D228" i="8"/>
  <c r="B229" i="8"/>
  <c r="G228" i="8"/>
  <c r="L228" i="8"/>
  <c r="K228" i="8"/>
  <c r="I228" i="8"/>
  <c r="J228" i="8"/>
  <c r="H228" i="8"/>
  <c r="E228" i="8"/>
  <c r="R228" i="8"/>
  <c r="P228" i="8"/>
  <c r="T228" i="8"/>
  <c r="S233" i="8"/>
  <c r="Q228" i="8"/>
  <c r="N227" i="8"/>
  <c r="M227" i="8"/>
  <c r="T123" i="8" l="1"/>
  <c r="E123" i="8"/>
  <c r="S123" i="8"/>
  <c r="P123" i="8"/>
  <c r="Q123" i="8"/>
  <c r="H123" i="8" s="1"/>
  <c r="G123" i="8" s="1"/>
  <c r="R123" i="8"/>
  <c r="D229" i="8"/>
  <c r="J229" i="8"/>
  <c r="B230" i="8"/>
  <c r="H229" i="8"/>
  <c r="I229" i="8"/>
  <c r="L229" i="8"/>
  <c r="K229" i="8"/>
  <c r="G229" i="8"/>
  <c r="F229" i="8"/>
  <c r="E229" i="8"/>
  <c r="Q229" i="8"/>
  <c r="T229" i="8"/>
  <c r="S234" i="8"/>
  <c r="R229" i="8"/>
  <c r="P229" i="8"/>
  <c r="N228" i="8"/>
  <c r="M228" i="8"/>
  <c r="J123" i="8" l="1"/>
  <c r="L123" i="8"/>
  <c r="F230" i="8"/>
  <c r="L230" i="8"/>
  <c r="E230" i="8"/>
  <c r="I230" i="8"/>
  <c r="H230" i="8"/>
  <c r="J230" i="8"/>
  <c r="G230" i="8"/>
  <c r="B231" i="8"/>
  <c r="D230" i="8"/>
  <c r="K230" i="8"/>
  <c r="S235" i="8"/>
  <c r="T230" i="8"/>
  <c r="P230" i="8"/>
  <c r="R230" i="8"/>
  <c r="Q230" i="8"/>
  <c r="M229" i="8"/>
  <c r="N229" i="8"/>
  <c r="T124" i="8" l="1"/>
  <c r="R124" i="8"/>
  <c r="S124" i="8"/>
  <c r="P124" i="8"/>
  <c r="E124" i="8"/>
  <c r="Q124" i="8"/>
  <c r="H124" i="8" s="1"/>
  <c r="G124" i="8" s="1"/>
  <c r="D231" i="8"/>
  <c r="J231" i="8"/>
  <c r="I231" i="8"/>
  <c r="H231" i="8"/>
  <c r="E231" i="8"/>
  <c r="K231" i="8"/>
  <c r="L231" i="8"/>
  <c r="B232" i="8"/>
  <c r="F231" i="8"/>
  <c r="G231" i="8"/>
  <c r="R231" i="8"/>
  <c r="S236" i="8"/>
  <c r="Q231" i="8"/>
  <c r="P231" i="8"/>
  <c r="T231" i="8"/>
  <c r="M230" i="8"/>
  <c r="N230" i="8"/>
  <c r="L124" i="8" l="1"/>
  <c r="J124" i="8"/>
  <c r="F232" i="8"/>
  <c r="L232" i="8"/>
  <c r="G232" i="8"/>
  <c r="J232" i="8"/>
  <c r="K232" i="8"/>
  <c r="I232" i="8"/>
  <c r="D232" i="8"/>
  <c r="E232" i="8"/>
  <c r="H232" i="8"/>
  <c r="B233" i="8"/>
  <c r="R232" i="8"/>
  <c r="S237" i="8"/>
  <c r="Q232" i="8"/>
  <c r="P232" i="8"/>
  <c r="T232" i="8"/>
  <c r="M231" i="8"/>
  <c r="N231" i="8"/>
  <c r="R125" i="8" l="1"/>
  <c r="Q125" i="8"/>
  <c r="H125" i="8" s="1"/>
  <c r="G125" i="8" s="1"/>
  <c r="E125" i="8"/>
  <c r="P125" i="8"/>
  <c r="S125" i="8"/>
  <c r="T125" i="8"/>
  <c r="D233" i="8"/>
  <c r="J233" i="8"/>
  <c r="B234" i="8"/>
  <c r="H233" i="8"/>
  <c r="I233" i="8"/>
  <c r="G233" i="8"/>
  <c r="F233" i="8"/>
  <c r="E233" i="8"/>
  <c r="L233" i="8"/>
  <c r="K233" i="8"/>
  <c r="Q233" i="8"/>
  <c r="S238" i="8"/>
  <c r="P233" i="8"/>
  <c r="T233" i="8"/>
  <c r="R233" i="8"/>
  <c r="M232" i="8"/>
  <c r="N232" i="8"/>
  <c r="L125" i="8" l="1"/>
  <c r="J125" i="8"/>
  <c r="F234" i="8"/>
  <c r="L234" i="8"/>
  <c r="E234" i="8"/>
  <c r="H234" i="8"/>
  <c r="J234" i="8"/>
  <c r="G234" i="8"/>
  <c r="B235" i="8"/>
  <c r="D234" i="8"/>
  <c r="I234" i="8"/>
  <c r="K234" i="8"/>
  <c r="S239" i="8"/>
  <c r="T234" i="8"/>
  <c r="P234" i="8"/>
  <c r="R234" i="8"/>
  <c r="Q234" i="8"/>
  <c r="M233" i="8"/>
  <c r="N233" i="8"/>
  <c r="Q126" i="8" l="1"/>
  <c r="H126" i="8" s="1"/>
  <c r="G126" i="8" s="1"/>
  <c r="T126" i="8"/>
  <c r="P126" i="8"/>
  <c r="E126" i="8"/>
  <c r="S126" i="8"/>
  <c r="R126" i="8"/>
  <c r="D235" i="8"/>
  <c r="J235" i="8"/>
  <c r="I235" i="8"/>
  <c r="F235" i="8"/>
  <c r="G235" i="8"/>
  <c r="H235" i="8"/>
  <c r="E235" i="8"/>
  <c r="K235" i="8"/>
  <c r="L235" i="8"/>
  <c r="B236" i="8"/>
  <c r="T235" i="8"/>
  <c r="R235" i="8"/>
  <c r="Q235" i="8"/>
  <c r="S240" i="8"/>
  <c r="P235" i="8"/>
  <c r="M234" i="8"/>
  <c r="N234" i="8"/>
  <c r="L126" i="8" l="1"/>
  <c r="J126" i="8"/>
  <c r="F236" i="8"/>
  <c r="L236" i="8"/>
  <c r="G236" i="8"/>
  <c r="J236" i="8"/>
  <c r="K236" i="8"/>
  <c r="I236" i="8"/>
  <c r="D236" i="8"/>
  <c r="E236" i="8"/>
  <c r="H236" i="8"/>
  <c r="B237" i="8"/>
  <c r="R236" i="8"/>
  <c r="Q236" i="8"/>
  <c r="T236" i="8"/>
  <c r="S241" i="8"/>
  <c r="P236" i="8"/>
  <c r="N235" i="8"/>
  <c r="M235" i="8"/>
  <c r="R127" i="8" l="1"/>
  <c r="E127" i="8"/>
  <c r="P127" i="8"/>
  <c r="S127" i="8"/>
  <c r="Q127" i="8"/>
  <c r="H127" i="8" s="1"/>
  <c r="G127" i="8" s="1"/>
  <c r="L127" i="8" s="1"/>
  <c r="T127" i="8"/>
  <c r="H237" i="8"/>
  <c r="I237" i="8"/>
  <c r="G237" i="8"/>
  <c r="L237" i="8"/>
  <c r="K237" i="8"/>
  <c r="F237" i="8"/>
  <c r="E237" i="8"/>
  <c r="D237" i="8"/>
  <c r="J237" i="8"/>
  <c r="B238" i="8"/>
  <c r="Q237" i="8"/>
  <c r="S242" i="8"/>
  <c r="T237" i="8"/>
  <c r="P237" i="8"/>
  <c r="R237" i="8"/>
  <c r="N236" i="8"/>
  <c r="M236" i="8"/>
  <c r="J127" i="8" l="1"/>
  <c r="T128" i="8" s="1"/>
  <c r="F238" i="8"/>
  <c r="L238" i="8"/>
  <c r="B239" i="8"/>
  <c r="H238" i="8"/>
  <c r="K238" i="8"/>
  <c r="J238" i="8"/>
  <c r="G238" i="8"/>
  <c r="E238" i="8"/>
  <c r="D238" i="8"/>
  <c r="I238" i="8"/>
  <c r="S243" i="8"/>
  <c r="T238" i="8"/>
  <c r="P238" i="8"/>
  <c r="R238" i="8"/>
  <c r="Q238" i="8"/>
  <c r="M237" i="8"/>
  <c r="N237" i="8"/>
  <c r="P128" i="8" l="1"/>
  <c r="S128" i="8"/>
  <c r="E128" i="8"/>
  <c r="R128" i="8"/>
  <c r="Q128" i="8"/>
  <c r="H128" i="8" s="1"/>
  <c r="G128" i="8" s="1"/>
  <c r="L128" i="8" s="1"/>
  <c r="F239" i="8"/>
  <c r="K239" i="8"/>
  <c r="B240" i="8"/>
  <c r="D239" i="8"/>
  <c r="I239" i="8"/>
  <c r="E239" i="8"/>
  <c r="H239" i="8"/>
  <c r="J239" i="8"/>
  <c r="L239" i="8"/>
  <c r="G239" i="8"/>
  <c r="R239" i="8"/>
  <c r="Q239" i="8"/>
  <c r="S244" i="8"/>
  <c r="P239" i="8"/>
  <c r="T239" i="8"/>
  <c r="M238" i="8"/>
  <c r="N238" i="8"/>
  <c r="J128" i="8" l="1"/>
  <c r="E240" i="8"/>
  <c r="J240" i="8"/>
  <c r="H240" i="8"/>
  <c r="G240" i="8"/>
  <c r="F240" i="8"/>
  <c r="D240" i="8"/>
  <c r="I240" i="8"/>
  <c r="K240" i="8"/>
  <c r="B241" i="8"/>
  <c r="L240" i="8"/>
  <c r="R240" i="8"/>
  <c r="Q240" i="8"/>
  <c r="S245" i="8"/>
  <c r="P240" i="8"/>
  <c r="T240" i="8"/>
  <c r="N239" i="8"/>
  <c r="M239" i="8"/>
  <c r="R129" i="8" l="1"/>
  <c r="T129" i="8"/>
  <c r="S129" i="8"/>
  <c r="Q129" i="8"/>
  <c r="H129" i="8" s="1"/>
  <c r="G129" i="8" s="1"/>
  <c r="L129" i="8" s="1"/>
  <c r="E129" i="8"/>
  <c r="P129" i="8"/>
  <c r="F241" i="8"/>
  <c r="D241" i="8"/>
  <c r="B242" i="8"/>
  <c r="H241" i="8"/>
  <c r="G241" i="8"/>
  <c r="L241" i="8"/>
  <c r="J241" i="8"/>
  <c r="I241" i="8"/>
  <c r="K241" i="8"/>
  <c r="E241" i="8"/>
  <c r="Q241" i="8"/>
  <c r="S246" i="8"/>
  <c r="T241" i="8"/>
  <c r="P241" i="8"/>
  <c r="R241" i="8"/>
  <c r="M240" i="8"/>
  <c r="N240" i="8"/>
  <c r="J129" i="8" l="1"/>
  <c r="H242" i="8"/>
  <c r="B243" i="8"/>
  <c r="K242" i="8"/>
  <c r="I242" i="8"/>
  <c r="L242" i="8"/>
  <c r="F242" i="8"/>
  <c r="E242" i="8"/>
  <c r="J242" i="8"/>
  <c r="D242" i="8"/>
  <c r="G242" i="8"/>
  <c r="S247" i="8"/>
  <c r="T242" i="8"/>
  <c r="P242" i="8"/>
  <c r="R242" i="8"/>
  <c r="Q242" i="8"/>
  <c r="M241" i="8"/>
  <c r="N241" i="8"/>
  <c r="P130" i="8" l="1"/>
  <c r="Q130" i="8"/>
  <c r="H130" i="8" s="1"/>
  <c r="G130" i="8" s="1"/>
  <c r="L130" i="8" s="1"/>
  <c r="S130" i="8"/>
  <c r="E130" i="8"/>
  <c r="R130" i="8"/>
  <c r="T130" i="8"/>
  <c r="F243" i="8"/>
  <c r="D243" i="8"/>
  <c r="E243" i="8"/>
  <c r="J243" i="8"/>
  <c r="H243" i="8"/>
  <c r="I243" i="8"/>
  <c r="G243" i="8"/>
  <c r="L243" i="8"/>
  <c r="K243" i="8"/>
  <c r="B244" i="8"/>
  <c r="R243" i="8"/>
  <c r="T243" i="8"/>
  <c r="Q243" i="8"/>
  <c r="P243" i="8"/>
  <c r="S248" i="8"/>
  <c r="M242" i="8"/>
  <c r="N242" i="8"/>
  <c r="J130" i="8" l="1"/>
  <c r="D244" i="8"/>
  <c r="I244" i="8"/>
  <c r="G244" i="8"/>
  <c r="E244" i="8"/>
  <c r="J244" i="8"/>
  <c r="H244" i="8"/>
  <c r="B245" i="8"/>
  <c r="K244" i="8"/>
  <c r="L244" i="8"/>
  <c r="F244" i="8"/>
  <c r="R244" i="8"/>
  <c r="Q244" i="8"/>
  <c r="T244" i="8"/>
  <c r="S249" i="8"/>
  <c r="P244" i="8"/>
  <c r="N243" i="8"/>
  <c r="M243" i="8"/>
  <c r="P131" i="8" l="1"/>
  <c r="E131" i="8"/>
  <c r="T131" i="8"/>
  <c r="Q131" i="8"/>
  <c r="H131" i="8" s="1"/>
  <c r="G131" i="8" s="1"/>
  <c r="L131" i="8" s="1"/>
  <c r="S131" i="8"/>
  <c r="R131" i="8"/>
  <c r="F245" i="8"/>
  <c r="D245" i="8"/>
  <c r="B246" i="8"/>
  <c r="G245" i="8"/>
  <c r="L245" i="8"/>
  <c r="K245" i="8"/>
  <c r="I245" i="8"/>
  <c r="J245" i="8"/>
  <c r="H245" i="8"/>
  <c r="E245" i="8"/>
  <c r="Q245" i="8"/>
  <c r="S250" i="8"/>
  <c r="T245" i="8"/>
  <c r="P245" i="8"/>
  <c r="R245" i="8"/>
  <c r="N244" i="8"/>
  <c r="M244" i="8"/>
  <c r="J131" i="8" l="1"/>
  <c r="E132" i="8" s="1"/>
  <c r="D246" i="8"/>
  <c r="I246" i="8"/>
  <c r="G246" i="8"/>
  <c r="E246" i="8"/>
  <c r="J246" i="8"/>
  <c r="H246" i="8"/>
  <c r="B247" i="8"/>
  <c r="K246" i="8"/>
  <c r="L246" i="8"/>
  <c r="F246" i="8"/>
  <c r="S251" i="8"/>
  <c r="T246" i="8"/>
  <c r="P246" i="8"/>
  <c r="R246" i="8"/>
  <c r="Q246" i="8"/>
  <c r="M245" i="8"/>
  <c r="N245" i="8"/>
  <c r="P132" i="8" l="1"/>
  <c r="Q132" i="8"/>
  <c r="H132" i="8" s="1"/>
  <c r="G132" i="8" s="1"/>
  <c r="L132" i="8" s="1"/>
  <c r="T132" i="8"/>
  <c r="R132" i="8"/>
  <c r="S132" i="8"/>
  <c r="F247" i="8"/>
  <c r="D247" i="8"/>
  <c r="I247" i="8"/>
  <c r="G247" i="8"/>
  <c r="L247" i="8"/>
  <c r="K247" i="8"/>
  <c r="E247" i="8"/>
  <c r="J247" i="8"/>
  <c r="H247" i="8"/>
  <c r="B248" i="8"/>
  <c r="R247" i="8"/>
  <c r="Q247" i="8"/>
  <c r="S252" i="8"/>
  <c r="P247" i="8"/>
  <c r="T247" i="8"/>
  <c r="M246" i="8"/>
  <c r="N246" i="8"/>
  <c r="J132" i="8" l="1"/>
  <c r="P133" i="8" s="1"/>
  <c r="D248" i="8"/>
  <c r="I248" i="8"/>
  <c r="K248" i="8"/>
  <c r="H248" i="8"/>
  <c r="B249" i="8"/>
  <c r="G248" i="8"/>
  <c r="L248" i="8"/>
  <c r="F248" i="8"/>
  <c r="E248" i="8"/>
  <c r="J248" i="8"/>
  <c r="R248" i="8"/>
  <c r="Q248" i="8"/>
  <c r="S253" i="8"/>
  <c r="P248" i="8"/>
  <c r="T248" i="8"/>
  <c r="N247" i="8"/>
  <c r="M247" i="8"/>
  <c r="R133" i="8" l="1"/>
  <c r="S133" i="8"/>
  <c r="T133" i="8"/>
  <c r="E133" i="8"/>
  <c r="Q133" i="8"/>
  <c r="H133" i="8" s="1"/>
  <c r="G133" i="8" s="1"/>
  <c r="L133" i="8" s="1"/>
  <c r="F249" i="8"/>
  <c r="D249" i="8"/>
  <c r="I249" i="8"/>
  <c r="H249" i="8"/>
  <c r="B250" i="8"/>
  <c r="J249" i="8"/>
  <c r="K249" i="8"/>
  <c r="G249" i="8"/>
  <c r="L249" i="8"/>
  <c r="E249" i="8"/>
  <c r="Q249" i="8"/>
  <c r="S254" i="8"/>
  <c r="T249" i="8"/>
  <c r="P249" i="8"/>
  <c r="R249" i="8"/>
  <c r="M248" i="8"/>
  <c r="N248" i="8"/>
  <c r="J133" i="8" l="1"/>
  <c r="S134" i="8" s="1"/>
  <c r="H250" i="8"/>
  <c r="B251" i="8"/>
  <c r="K250" i="8"/>
  <c r="I250" i="8"/>
  <c r="L250" i="8"/>
  <c r="F250" i="8"/>
  <c r="D250" i="8"/>
  <c r="G250" i="8"/>
  <c r="E250" i="8"/>
  <c r="J250" i="8"/>
  <c r="S255" i="8"/>
  <c r="T250" i="8"/>
  <c r="P250" i="8"/>
  <c r="R250" i="8"/>
  <c r="Q250" i="8"/>
  <c r="M249" i="8"/>
  <c r="N249" i="8"/>
  <c r="E134" i="8" l="1"/>
  <c r="Q134" i="8"/>
  <c r="H134" i="8" s="1"/>
  <c r="G134" i="8" s="1"/>
  <c r="J134" i="8" s="1"/>
  <c r="R134" i="8"/>
  <c r="P134" i="8"/>
  <c r="T134" i="8"/>
  <c r="F251" i="8"/>
  <c r="D251" i="8"/>
  <c r="I251" i="8"/>
  <c r="J251" i="8"/>
  <c r="H251" i="8"/>
  <c r="E251" i="8"/>
  <c r="K251" i="8"/>
  <c r="B252" i="8"/>
  <c r="G251" i="8"/>
  <c r="L251" i="8"/>
  <c r="R251" i="8"/>
  <c r="T251" i="8"/>
  <c r="Q251" i="8"/>
  <c r="S256" i="8"/>
  <c r="P251" i="8"/>
  <c r="N250" i="8"/>
  <c r="M250" i="8"/>
  <c r="L134" i="8" l="1"/>
  <c r="R135" i="8"/>
  <c r="T135" i="8"/>
  <c r="P135" i="8"/>
  <c r="Q135" i="8"/>
  <c r="H135" i="8" s="1"/>
  <c r="G135" i="8" s="1"/>
  <c r="S135" i="8"/>
  <c r="E135" i="8"/>
  <c r="H252" i="8"/>
  <c r="B253" i="8"/>
  <c r="K252" i="8"/>
  <c r="F252" i="8"/>
  <c r="E252" i="8"/>
  <c r="J252" i="8"/>
  <c r="I252" i="8"/>
  <c r="G252" i="8"/>
  <c r="L252" i="8"/>
  <c r="D252" i="8"/>
  <c r="R252" i="8"/>
  <c r="Q252" i="8"/>
  <c r="T252" i="8"/>
  <c r="S257" i="8"/>
  <c r="P252" i="8"/>
  <c r="N251" i="8"/>
  <c r="M251" i="8"/>
  <c r="L135" i="8" l="1"/>
  <c r="J135" i="8"/>
  <c r="F253" i="8"/>
  <c r="D253" i="8"/>
  <c r="B254" i="8"/>
  <c r="J253" i="8"/>
  <c r="H253" i="8"/>
  <c r="E253" i="8"/>
  <c r="G253" i="8"/>
  <c r="L253" i="8"/>
  <c r="K253" i="8"/>
  <c r="I253" i="8"/>
  <c r="Q253" i="8"/>
  <c r="S258" i="8"/>
  <c r="T253" i="8"/>
  <c r="P253" i="8"/>
  <c r="R253" i="8"/>
  <c r="N252" i="8"/>
  <c r="M252" i="8"/>
  <c r="P136" i="8" l="1"/>
  <c r="S136" i="8"/>
  <c r="R136" i="8"/>
  <c r="T136" i="8"/>
  <c r="Q136" i="8"/>
  <c r="H136" i="8" s="1"/>
  <c r="G136" i="8" s="1"/>
  <c r="E136" i="8"/>
  <c r="H254" i="8"/>
  <c r="B255" i="8"/>
  <c r="G254" i="8"/>
  <c r="F254" i="8"/>
  <c r="D254" i="8"/>
  <c r="I254" i="8"/>
  <c r="K254" i="8"/>
  <c r="L254" i="8"/>
  <c r="E254" i="8"/>
  <c r="J254" i="8"/>
  <c r="S259" i="8"/>
  <c r="T254" i="8"/>
  <c r="P254" i="8"/>
  <c r="R254" i="8"/>
  <c r="Q254" i="8"/>
  <c r="M253" i="8"/>
  <c r="N253" i="8"/>
  <c r="L136" i="8" l="1"/>
  <c r="J136" i="8"/>
  <c r="F255" i="8"/>
  <c r="D255" i="8"/>
  <c r="I255" i="8"/>
  <c r="J255" i="8"/>
  <c r="H255" i="8"/>
  <c r="B256" i="8"/>
  <c r="G255" i="8"/>
  <c r="L255" i="8"/>
  <c r="K255" i="8"/>
  <c r="E255" i="8"/>
  <c r="R255" i="8"/>
  <c r="Q255" i="8"/>
  <c r="S260" i="8"/>
  <c r="P255" i="8"/>
  <c r="T255" i="8"/>
  <c r="M254" i="8"/>
  <c r="N254" i="8"/>
  <c r="T137" i="8" l="1"/>
  <c r="E137" i="8"/>
  <c r="S137" i="8"/>
  <c r="Q137" i="8"/>
  <c r="H137" i="8" s="1"/>
  <c r="G137" i="8" s="1"/>
  <c r="L137" i="8" s="1"/>
  <c r="P137" i="8"/>
  <c r="R137" i="8"/>
  <c r="H256" i="8"/>
  <c r="B257" i="8"/>
  <c r="G256" i="8"/>
  <c r="J256" i="8"/>
  <c r="K256" i="8"/>
  <c r="L256" i="8"/>
  <c r="F256" i="8"/>
  <c r="E256" i="8"/>
  <c r="D256" i="8"/>
  <c r="I256" i="8"/>
  <c r="R256" i="8"/>
  <c r="Q256" i="8"/>
  <c r="S261" i="8"/>
  <c r="P256" i="8"/>
  <c r="T256" i="8"/>
  <c r="N255" i="8"/>
  <c r="M255" i="8"/>
  <c r="J137" i="8" l="1"/>
  <c r="K257" i="8"/>
  <c r="E257" i="8"/>
  <c r="J257" i="8"/>
  <c r="I257" i="8"/>
  <c r="F257" i="8"/>
  <c r="D257" i="8"/>
  <c r="B258" i="8"/>
  <c r="H257" i="8"/>
  <c r="G257" i="8"/>
  <c r="L257" i="8"/>
  <c r="Q257" i="8"/>
  <c r="S262" i="8"/>
  <c r="T257" i="8"/>
  <c r="P257" i="8"/>
  <c r="R257" i="8"/>
  <c r="M256" i="8"/>
  <c r="N256" i="8"/>
  <c r="E138" i="8" l="1"/>
  <c r="T138" i="8"/>
  <c r="Q138" i="8"/>
  <c r="H138" i="8" s="1"/>
  <c r="G138" i="8" s="1"/>
  <c r="R138" i="8"/>
  <c r="S138" i="8"/>
  <c r="P138" i="8"/>
  <c r="E258" i="8"/>
  <c r="J258" i="8"/>
  <c r="D258" i="8"/>
  <c r="I258" i="8"/>
  <c r="G258" i="8"/>
  <c r="H258" i="8"/>
  <c r="B259" i="8"/>
  <c r="K258" i="8"/>
  <c r="L258" i="8"/>
  <c r="F258" i="8"/>
  <c r="S263" i="8"/>
  <c r="T258" i="8"/>
  <c r="P258" i="8"/>
  <c r="R258" i="8"/>
  <c r="Q258" i="8"/>
  <c r="M257" i="8"/>
  <c r="N257" i="8"/>
  <c r="L138" i="8" l="1"/>
  <c r="J138" i="8"/>
  <c r="G259" i="8"/>
  <c r="L259" i="8"/>
  <c r="B260" i="8"/>
  <c r="D259" i="8"/>
  <c r="E259" i="8"/>
  <c r="K259" i="8"/>
  <c r="F259" i="8"/>
  <c r="J259" i="8"/>
  <c r="H259" i="8"/>
  <c r="I259" i="8"/>
  <c r="R259" i="8"/>
  <c r="T259" i="8"/>
  <c r="Q259" i="8"/>
  <c r="S264" i="8"/>
  <c r="P259" i="8"/>
  <c r="M258" i="8"/>
  <c r="N258" i="8"/>
  <c r="E139" i="8" l="1"/>
  <c r="Q139" i="8"/>
  <c r="H139" i="8" s="1"/>
  <c r="G139" i="8" s="1"/>
  <c r="T139" i="8"/>
  <c r="R139" i="8"/>
  <c r="P139" i="8"/>
  <c r="S139" i="8"/>
  <c r="E260" i="8"/>
  <c r="J260" i="8"/>
  <c r="B261" i="8"/>
  <c r="L260" i="8"/>
  <c r="D260" i="8"/>
  <c r="I260" i="8"/>
  <c r="G260" i="8"/>
  <c r="H260" i="8"/>
  <c r="K260" i="8"/>
  <c r="F260" i="8"/>
  <c r="R260" i="8"/>
  <c r="Q260" i="8"/>
  <c r="T260" i="8"/>
  <c r="S265" i="8"/>
  <c r="P260" i="8"/>
  <c r="N259" i="8"/>
  <c r="M259" i="8"/>
  <c r="L139" i="8" l="1"/>
  <c r="J139" i="8"/>
  <c r="F261" i="8"/>
  <c r="D261" i="8"/>
  <c r="B262" i="8"/>
  <c r="K261" i="8"/>
  <c r="I261" i="8"/>
  <c r="J261" i="8"/>
  <c r="H261" i="8"/>
  <c r="E261" i="8"/>
  <c r="G261" i="8"/>
  <c r="L261" i="8"/>
  <c r="Q261" i="8"/>
  <c r="T261" i="8"/>
  <c r="P261" i="8"/>
  <c r="R261" i="8"/>
  <c r="S266" i="8"/>
  <c r="N260" i="8"/>
  <c r="M260" i="8"/>
  <c r="R140" i="8" l="1"/>
  <c r="Q140" i="8"/>
  <c r="H140" i="8" s="1"/>
  <c r="G140" i="8" s="1"/>
  <c r="L140" i="8" s="1"/>
  <c r="P140" i="8"/>
  <c r="T140" i="8"/>
  <c r="E140" i="8"/>
  <c r="S140" i="8"/>
  <c r="D262" i="8"/>
  <c r="I262" i="8"/>
  <c r="G262" i="8"/>
  <c r="F262" i="8"/>
  <c r="E262" i="8"/>
  <c r="J262" i="8"/>
  <c r="H262" i="8"/>
  <c r="B263" i="8"/>
  <c r="K262" i="8"/>
  <c r="L262" i="8"/>
  <c r="T262" i="8"/>
  <c r="P262" i="8"/>
  <c r="S267" i="8"/>
  <c r="R262" i="8"/>
  <c r="Q262" i="8"/>
  <c r="M261" i="8"/>
  <c r="N261" i="8"/>
  <c r="J140" i="8" l="1"/>
  <c r="Q141" i="8" s="1"/>
  <c r="H141" i="8" s="1"/>
  <c r="G141" i="8" s="1"/>
  <c r="L141" i="8" s="1"/>
  <c r="J263" i="8"/>
  <c r="H263" i="8"/>
  <c r="B264" i="8"/>
  <c r="F263" i="8"/>
  <c r="D263" i="8"/>
  <c r="G263" i="8"/>
  <c r="L263" i="8"/>
  <c r="K263" i="8"/>
  <c r="E263" i="8"/>
  <c r="I263" i="8"/>
  <c r="S268" i="8"/>
  <c r="R263" i="8"/>
  <c r="Q263" i="8"/>
  <c r="P263" i="8"/>
  <c r="T263" i="8"/>
  <c r="M262" i="8"/>
  <c r="N262" i="8"/>
  <c r="T141" i="8" l="1"/>
  <c r="S141" i="8"/>
  <c r="E141" i="8"/>
  <c r="R141" i="8"/>
  <c r="P141" i="8"/>
  <c r="J141" i="8"/>
  <c r="D264" i="8"/>
  <c r="I264" i="8"/>
  <c r="K264" i="8"/>
  <c r="L264" i="8"/>
  <c r="F264" i="8"/>
  <c r="E264" i="8"/>
  <c r="H264" i="8"/>
  <c r="B265" i="8"/>
  <c r="G264" i="8"/>
  <c r="J264" i="8"/>
  <c r="S269" i="8"/>
  <c r="R264" i="8"/>
  <c r="Q264" i="8"/>
  <c r="P264" i="8"/>
  <c r="T264" i="8"/>
  <c r="N263" i="8"/>
  <c r="M263" i="8"/>
  <c r="S142" i="8" l="1"/>
  <c r="Q142" i="8"/>
  <c r="H142" i="8" s="1"/>
  <c r="G142" i="8" s="1"/>
  <c r="R142" i="8"/>
  <c r="P142" i="8"/>
  <c r="T142" i="8"/>
  <c r="E142" i="8"/>
  <c r="J265" i="8"/>
  <c r="H265" i="8"/>
  <c r="B266" i="8"/>
  <c r="F265" i="8"/>
  <c r="D265" i="8"/>
  <c r="I265" i="8"/>
  <c r="G265" i="8"/>
  <c r="L265" i="8"/>
  <c r="K265" i="8"/>
  <c r="E265" i="8"/>
  <c r="Q265" i="8"/>
  <c r="T265" i="8"/>
  <c r="P265" i="8"/>
  <c r="S270" i="8"/>
  <c r="R265" i="8"/>
  <c r="M264" i="8"/>
  <c r="N264" i="8"/>
  <c r="L142" i="8" l="1"/>
  <c r="J142" i="8"/>
  <c r="D266" i="8"/>
  <c r="I266" i="8"/>
  <c r="G266" i="8"/>
  <c r="H266" i="8"/>
  <c r="B267" i="8"/>
  <c r="K266" i="8"/>
  <c r="L266" i="8"/>
  <c r="F266" i="8"/>
  <c r="E266" i="8"/>
  <c r="J266" i="8"/>
  <c r="R266" i="8"/>
  <c r="Q266" i="8"/>
  <c r="S271" i="8"/>
  <c r="P266" i="8"/>
  <c r="T266" i="8"/>
  <c r="M265" i="8"/>
  <c r="N265" i="8"/>
  <c r="T143" i="8" l="1"/>
  <c r="R143" i="8"/>
  <c r="P143" i="8"/>
  <c r="E143" i="8"/>
  <c r="S143" i="8"/>
  <c r="Q143" i="8"/>
  <c r="H143" i="8" s="1"/>
  <c r="G143" i="8" s="1"/>
  <c r="J267" i="8"/>
  <c r="H267" i="8"/>
  <c r="E267" i="8"/>
  <c r="L267" i="8"/>
  <c r="G267" i="8"/>
  <c r="K267" i="8"/>
  <c r="B268" i="8"/>
  <c r="F267" i="8"/>
  <c r="D267" i="8"/>
  <c r="I267" i="8"/>
  <c r="Q267" i="8"/>
  <c r="S272" i="8"/>
  <c r="P267" i="8"/>
  <c r="T267" i="8"/>
  <c r="R267" i="8"/>
  <c r="M266" i="8"/>
  <c r="N266" i="8"/>
  <c r="L143" i="8" l="1"/>
  <c r="J143" i="8"/>
  <c r="D268" i="8"/>
  <c r="I268" i="8"/>
  <c r="G268" i="8"/>
  <c r="H268" i="8"/>
  <c r="B269" i="8"/>
  <c r="K268" i="8"/>
  <c r="E268" i="8"/>
  <c r="J268" i="8"/>
  <c r="L268" i="8"/>
  <c r="F268" i="8"/>
  <c r="S273" i="8"/>
  <c r="T268" i="8"/>
  <c r="P268" i="8"/>
  <c r="Q268" i="8"/>
  <c r="R268" i="8"/>
  <c r="N267" i="8"/>
  <c r="M267" i="8"/>
  <c r="E144" i="8" l="1"/>
  <c r="Q144" i="8"/>
  <c r="H144" i="8" s="1"/>
  <c r="I144" i="8" s="1"/>
  <c r="G144" i="8"/>
  <c r="L144" i="8" s="1"/>
  <c r="R144" i="8"/>
  <c r="S144" i="8"/>
  <c r="P144" i="8"/>
  <c r="T144" i="8"/>
  <c r="J269" i="8"/>
  <c r="H269" i="8"/>
  <c r="E269" i="8"/>
  <c r="G269" i="8"/>
  <c r="L269" i="8"/>
  <c r="F269" i="8"/>
  <c r="D269" i="8"/>
  <c r="B270" i="8"/>
  <c r="K269" i="8"/>
  <c r="I269" i="8"/>
  <c r="R269" i="8"/>
  <c r="S274" i="8"/>
  <c r="P269" i="8"/>
  <c r="T269" i="8"/>
  <c r="Q269" i="8"/>
  <c r="M268" i="8"/>
  <c r="N268" i="8"/>
  <c r="E270" i="8" l="1"/>
  <c r="J270" i="8"/>
  <c r="L270" i="8"/>
  <c r="F270" i="8"/>
  <c r="D270" i="8"/>
  <c r="I270" i="8"/>
  <c r="K270" i="8"/>
  <c r="H270" i="8"/>
  <c r="B271" i="8"/>
  <c r="G270" i="8"/>
  <c r="R270" i="8"/>
  <c r="Q270" i="8"/>
  <c r="T270" i="8"/>
  <c r="S275" i="8"/>
  <c r="P270" i="8"/>
  <c r="N269" i="8"/>
  <c r="M269" i="8"/>
  <c r="G271" i="8" l="1"/>
  <c r="L271" i="8"/>
  <c r="F271" i="8"/>
  <c r="D271" i="8"/>
  <c r="I271" i="8"/>
  <c r="J271" i="8"/>
  <c r="H271" i="8"/>
  <c r="B272" i="8"/>
  <c r="K271" i="8"/>
  <c r="E271" i="8"/>
  <c r="Q271" i="8"/>
  <c r="S276" i="8"/>
  <c r="T271" i="8"/>
  <c r="P271" i="8"/>
  <c r="R271" i="8"/>
  <c r="N270" i="8"/>
  <c r="M270" i="8"/>
  <c r="L272" i="8" l="1"/>
  <c r="F272" i="8"/>
  <c r="K272" i="8"/>
  <c r="E272" i="8"/>
  <c r="J272" i="8"/>
  <c r="D272" i="8"/>
  <c r="I272" i="8"/>
  <c r="H272" i="8"/>
  <c r="B273" i="8"/>
  <c r="G272" i="8"/>
  <c r="S277" i="8"/>
  <c r="T272" i="8"/>
  <c r="P272" i="8"/>
  <c r="R272" i="8"/>
  <c r="Q272" i="8"/>
  <c r="N271" i="8"/>
  <c r="M271" i="8"/>
  <c r="G273" i="8" l="1"/>
  <c r="L273" i="8"/>
  <c r="D273" i="8"/>
  <c r="J273" i="8"/>
  <c r="H273" i="8"/>
  <c r="I273" i="8"/>
  <c r="K273" i="8"/>
  <c r="E273" i="8"/>
  <c r="F273" i="8"/>
  <c r="B274" i="8"/>
  <c r="R273" i="8"/>
  <c r="T273" i="8"/>
  <c r="Q273" i="8"/>
  <c r="S278" i="8"/>
  <c r="P273" i="8"/>
  <c r="N272" i="8"/>
  <c r="M272" i="8"/>
  <c r="L274" i="8" l="1"/>
  <c r="F274" i="8"/>
  <c r="H274" i="8"/>
  <c r="K274" i="8"/>
  <c r="E274" i="8"/>
  <c r="J274" i="8"/>
  <c r="B275" i="8"/>
  <c r="D274" i="8"/>
  <c r="I274" i="8"/>
  <c r="G274" i="8"/>
  <c r="R274" i="8"/>
  <c r="Q274" i="8"/>
  <c r="S279" i="8"/>
  <c r="P274" i="8"/>
  <c r="T274" i="8"/>
  <c r="M273" i="8"/>
  <c r="N273" i="8"/>
  <c r="G275" i="8" l="1"/>
  <c r="L275" i="8"/>
  <c r="K275" i="8"/>
  <c r="B276" i="8"/>
  <c r="H275" i="8"/>
  <c r="I275" i="8"/>
  <c r="F275" i="8"/>
  <c r="D275" i="8"/>
  <c r="E275" i="8"/>
  <c r="J275" i="8"/>
  <c r="Q275" i="8"/>
  <c r="S280" i="8"/>
  <c r="T275" i="8"/>
  <c r="P275" i="8"/>
  <c r="R275" i="8"/>
  <c r="N274" i="8"/>
  <c r="M274" i="8"/>
  <c r="L276" i="8" l="1"/>
  <c r="F276" i="8"/>
  <c r="D276" i="8"/>
  <c r="G276" i="8"/>
  <c r="H276" i="8"/>
  <c r="B277" i="8"/>
  <c r="K276" i="8"/>
  <c r="E276" i="8"/>
  <c r="J276" i="8"/>
  <c r="I276" i="8"/>
  <c r="S281" i="8"/>
  <c r="T276" i="8"/>
  <c r="P276" i="8"/>
  <c r="Q276" i="8"/>
  <c r="R276" i="8"/>
  <c r="N275" i="8"/>
  <c r="M275" i="8"/>
  <c r="G277" i="8" l="1"/>
  <c r="L277" i="8"/>
  <c r="J277" i="8"/>
  <c r="H277" i="8"/>
  <c r="E277" i="8"/>
  <c r="K277" i="8"/>
  <c r="I277" i="8"/>
  <c r="F277" i="8"/>
  <c r="D277" i="8"/>
  <c r="B278" i="8"/>
  <c r="R277" i="8"/>
  <c r="S282" i="8"/>
  <c r="P277" i="8"/>
  <c r="T277" i="8"/>
  <c r="Q277" i="8"/>
  <c r="N276" i="8"/>
  <c r="M276" i="8"/>
  <c r="L278" i="8" l="1"/>
  <c r="F278" i="8"/>
  <c r="K278" i="8"/>
  <c r="E278" i="8"/>
  <c r="J278" i="8"/>
  <c r="D278" i="8"/>
  <c r="I278" i="8"/>
  <c r="G278" i="8"/>
  <c r="H278" i="8"/>
  <c r="B279" i="8"/>
  <c r="R278" i="8"/>
  <c r="Q278" i="8"/>
  <c r="T278" i="8"/>
  <c r="P278" i="8"/>
  <c r="S283" i="8"/>
  <c r="N277" i="8"/>
  <c r="M277" i="8"/>
  <c r="G279" i="8" l="1"/>
  <c r="L279" i="8"/>
  <c r="F279" i="8"/>
  <c r="I279" i="8"/>
  <c r="J279" i="8"/>
  <c r="H279" i="8"/>
  <c r="B280" i="8"/>
  <c r="K279" i="8"/>
  <c r="E279" i="8"/>
  <c r="D279" i="8"/>
  <c r="Q279" i="8"/>
  <c r="S284" i="8"/>
  <c r="T279" i="8"/>
  <c r="P279" i="8"/>
  <c r="R279" i="8"/>
  <c r="M278" i="8"/>
  <c r="N278" i="8"/>
  <c r="L280" i="8" l="1"/>
  <c r="F280" i="8"/>
  <c r="E280" i="8"/>
  <c r="J280" i="8"/>
  <c r="D280" i="8"/>
  <c r="I280" i="8"/>
  <c r="K280" i="8"/>
  <c r="H280" i="8"/>
  <c r="B281" i="8"/>
  <c r="G280" i="8"/>
  <c r="S285" i="8"/>
  <c r="T280" i="8"/>
  <c r="P280" i="8"/>
  <c r="R280" i="8"/>
  <c r="Q280" i="8"/>
  <c r="M279" i="8"/>
  <c r="N279" i="8"/>
  <c r="G281" i="8" l="1"/>
  <c r="L281" i="8"/>
  <c r="H281" i="8"/>
  <c r="K281" i="8"/>
  <c r="E281" i="8"/>
  <c r="B282" i="8"/>
  <c r="F281" i="8"/>
  <c r="D281" i="8"/>
  <c r="I281" i="8"/>
  <c r="J281" i="8"/>
  <c r="R281" i="8"/>
  <c r="T281" i="8"/>
  <c r="Q281" i="8"/>
  <c r="P281" i="8"/>
  <c r="S286" i="8"/>
  <c r="M280" i="8"/>
  <c r="N280" i="8"/>
  <c r="L282" i="8" l="1"/>
  <c r="F282" i="8"/>
  <c r="E282" i="8"/>
  <c r="J282" i="8"/>
  <c r="D282" i="8"/>
  <c r="G282" i="8"/>
  <c r="H282" i="8"/>
  <c r="B283" i="8"/>
  <c r="K282" i="8"/>
  <c r="I282" i="8"/>
  <c r="R282" i="8"/>
  <c r="Q282" i="8"/>
  <c r="S287" i="8"/>
  <c r="P282" i="8"/>
  <c r="T282" i="8"/>
  <c r="M281" i="8"/>
  <c r="N281" i="8"/>
  <c r="G283" i="8" l="1"/>
  <c r="L283" i="8"/>
  <c r="F283" i="8"/>
  <c r="D283" i="8"/>
  <c r="I283" i="8"/>
  <c r="J283" i="8"/>
  <c r="H283" i="8"/>
  <c r="E283" i="8"/>
  <c r="K283" i="8"/>
  <c r="B284" i="8"/>
  <c r="Q283" i="8"/>
  <c r="S288" i="8"/>
  <c r="T283" i="8"/>
  <c r="P283" i="8"/>
  <c r="R283" i="8"/>
  <c r="M282" i="8"/>
  <c r="N282" i="8"/>
  <c r="L284" i="8" l="1"/>
  <c r="F284" i="8"/>
  <c r="D284" i="8"/>
  <c r="I284" i="8"/>
  <c r="G284" i="8"/>
  <c r="E284" i="8"/>
  <c r="J284" i="8"/>
  <c r="H284" i="8"/>
  <c r="B285" i="8"/>
  <c r="K284" i="8"/>
  <c r="S289" i="8"/>
  <c r="T284" i="8"/>
  <c r="P284" i="8"/>
  <c r="Q284" i="8"/>
  <c r="R284" i="8"/>
  <c r="M283" i="8"/>
  <c r="N283" i="8"/>
  <c r="G285" i="8" l="1"/>
  <c r="L285" i="8"/>
  <c r="F285" i="8"/>
  <c r="D285" i="8"/>
  <c r="B286" i="8"/>
  <c r="K285" i="8"/>
  <c r="I285" i="8"/>
  <c r="J285" i="8"/>
  <c r="H285" i="8"/>
  <c r="E285" i="8"/>
  <c r="R285" i="8"/>
  <c r="S290" i="8"/>
  <c r="P285" i="8"/>
  <c r="T285" i="8"/>
  <c r="Q285" i="8"/>
  <c r="M284" i="8"/>
  <c r="N284" i="8"/>
  <c r="L286" i="8" l="1"/>
  <c r="F286" i="8"/>
  <c r="I286" i="8"/>
  <c r="B287" i="8"/>
  <c r="E286" i="8"/>
  <c r="J286" i="8"/>
  <c r="D286" i="8"/>
  <c r="K286" i="8"/>
  <c r="H286" i="8"/>
  <c r="G286" i="8"/>
  <c r="R286" i="8"/>
  <c r="Q286" i="8"/>
  <c r="T286" i="8"/>
  <c r="S291" i="8"/>
  <c r="P286" i="8"/>
  <c r="N285" i="8"/>
  <c r="M285" i="8"/>
  <c r="G287" i="8" l="1"/>
  <c r="L287" i="8"/>
  <c r="K287" i="8"/>
  <c r="E287" i="8"/>
  <c r="F287" i="8"/>
  <c r="D287" i="8"/>
  <c r="I287" i="8"/>
  <c r="J287" i="8"/>
  <c r="H287" i="8"/>
  <c r="B288" i="8"/>
  <c r="Q287" i="8"/>
  <c r="S292" i="8"/>
  <c r="T287" i="8"/>
  <c r="P287" i="8"/>
  <c r="R287" i="8"/>
  <c r="N286" i="8"/>
  <c r="M286" i="8"/>
  <c r="L288" i="8" l="1"/>
  <c r="F288" i="8"/>
  <c r="H288" i="8"/>
  <c r="E288" i="8"/>
  <c r="J288" i="8"/>
  <c r="B289" i="8"/>
  <c r="G288" i="8"/>
  <c r="D288" i="8"/>
  <c r="I288" i="8"/>
  <c r="K288" i="8"/>
  <c r="S293" i="8"/>
  <c r="T288" i="8"/>
  <c r="P288" i="8"/>
  <c r="R288" i="8"/>
  <c r="Q288" i="8"/>
  <c r="M287" i="8"/>
  <c r="N287" i="8"/>
  <c r="G289" i="8" l="1"/>
  <c r="L289" i="8"/>
  <c r="D289" i="8"/>
  <c r="B290" i="8"/>
  <c r="K289" i="8"/>
  <c r="E289" i="8"/>
  <c r="F289" i="8"/>
  <c r="J289" i="8"/>
  <c r="H289" i="8"/>
  <c r="I289" i="8"/>
  <c r="R289" i="8"/>
  <c r="T289" i="8"/>
  <c r="Q289" i="8"/>
  <c r="S294" i="8"/>
  <c r="P289" i="8"/>
  <c r="M288" i="8"/>
  <c r="N288" i="8"/>
  <c r="L290" i="8" l="1"/>
  <c r="F290" i="8"/>
  <c r="J290" i="8"/>
  <c r="G290" i="8"/>
  <c r="E290" i="8"/>
  <c r="D290" i="8"/>
  <c r="I290" i="8"/>
  <c r="H290" i="8"/>
  <c r="B291" i="8"/>
  <c r="K290" i="8"/>
  <c r="R290" i="8"/>
  <c r="Q290" i="8"/>
  <c r="S295" i="8"/>
  <c r="P290" i="8"/>
  <c r="T290" i="8"/>
  <c r="M289" i="8"/>
  <c r="N289" i="8"/>
  <c r="G291" i="8" l="1"/>
  <c r="L291" i="8"/>
  <c r="F291" i="8"/>
  <c r="D291" i="8"/>
  <c r="E291" i="8"/>
  <c r="H291" i="8"/>
  <c r="K291" i="8"/>
  <c r="B292" i="8"/>
  <c r="J291" i="8"/>
  <c r="I291" i="8"/>
  <c r="Q291" i="8"/>
  <c r="S296" i="8"/>
  <c r="T291" i="8"/>
  <c r="P291" i="8"/>
  <c r="R291" i="8"/>
  <c r="M290" i="8"/>
  <c r="N290" i="8"/>
  <c r="L292" i="8" l="1"/>
  <c r="F292" i="8"/>
  <c r="D292" i="8"/>
  <c r="I292" i="8"/>
  <c r="G292" i="8"/>
  <c r="H292" i="8"/>
  <c r="B293" i="8"/>
  <c r="K292" i="8"/>
  <c r="E292" i="8"/>
  <c r="J292" i="8"/>
  <c r="S297" i="8"/>
  <c r="T292" i="8"/>
  <c r="P292" i="8"/>
  <c r="Q292" i="8"/>
  <c r="R292" i="8"/>
  <c r="M291" i="8"/>
  <c r="N291" i="8"/>
  <c r="G293" i="8" l="1"/>
  <c r="L293" i="8"/>
  <c r="H293" i="8"/>
  <c r="E293" i="8"/>
  <c r="K293" i="8"/>
  <c r="I293" i="8"/>
  <c r="F293" i="8"/>
  <c r="D293" i="8"/>
  <c r="B294" i="8"/>
  <c r="J293" i="8"/>
  <c r="R293" i="8"/>
  <c r="S298" i="8"/>
  <c r="P293" i="8"/>
  <c r="T293" i="8"/>
  <c r="Q293" i="8"/>
  <c r="M292" i="8"/>
  <c r="N292" i="8"/>
  <c r="L294" i="8" l="1"/>
  <c r="F294" i="8"/>
  <c r="H294" i="8"/>
  <c r="K294" i="8"/>
  <c r="E294" i="8"/>
  <c r="J294" i="8"/>
  <c r="B295" i="8"/>
  <c r="D294" i="8"/>
  <c r="I294" i="8"/>
  <c r="G294" i="8"/>
  <c r="R294" i="8"/>
  <c r="Q294" i="8"/>
  <c r="T294" i="8"/>
  <c r="P294" i="8"/>
  <c r="S299" i="8"/>
  <c r="N293" i="8"/>
  <c r="M293" i="8"/>
  <c r="G295" i="8" l="1"/>
  <c r="L295" i="8"/>
  <c r="I295" i="8"/>
  <c r="J295" i="8"/>
  <c r="H295" i="8"/>
  <c r="B296" i="8"/>
  <c r="K295" i="8"/>
  <c r="E295" i="8"/>
  <c r="F295" i="8"/>
  <c r="D295" i="8"/>
  <c r="Q295" i="8"/>
  <c r="S300" i="8"/>
  <c r="T295" i="8"/>
  <c r="P295" i="8"/>
  <c r="R295" i="8"/>
  <c r="N294" i="8"/>
  <c r="M294" i="8"/>
  <c r="L296" i="8" l="1"/>
  <c r="F296" i="8"/>
  <c r="K296" i="8"/>
  <c r="E296" i="8"/>
  <c r="J296" i="8"/>
  <c r="D296" i="8"/>
  <c r="I296" i="8"/>
  <c r="H296" i="8"/>
  <c r="B297" i="8"/>
  <c r="G296" i="8"/>
  <c r="S301" i="8"/>
  <c r="T296" i="8"/>
  <c r="P296" i="8"/>
  <c r="R296" i="8"/>
  <c r="Q296" i="8"/>
  <c r="M295" i="8"/>
  <c r="N295" i="8"/>
  <c r="G297" i="8" l="1"/>
  <c r="L297" i="8"/>
  <c r="E297" i="8"/>
  <c r="F297" i="8"/>
  <c r="D297" i="8"/>
  <c r="I297" i="8"/>
  <c r="H297" i="8"/>
  <c r="K297" i="8"/>
  <c r="J297" i="8"/>
  <c r="B298" i="8"/>
  <c r="R297" i="8"/>
  <c r="T297" i="8"/>
  <c r="Q297" i="8"/>
  <c r="P297" i="8"/>
  <c r="S302" i="8"/>
  <c r="N296" i="8"/>
  <c r="M296" i="8"/>
  <c r="L298" i="8" l="1"/>
  <c r="F298" i="8"/>
  <c r="E298" i="8"/>
  <c r="J298" i="8"/>
  <c r="D298" i="8"/>
  <c r="I298" i="8"/>
  <c r="G298" i="8"/>
  <c r="H298" i="8"/>
  <c r="B299" i="8"/>
  <c r="K298" i="8"/>
  <c r="R298" i="8"/>
  <c r="Q298" i="8"/>
  <c r="S303" i="8"/>
  <c r="P298" i="8"/>
  <c r="T298" i="8"/>
  <c r="M297" i="8"/>
  <c r="N297" i="8"/>
  <c r="G299" i="8" l="1"/>
  <c r="L299" i="8"/>
  <c r="D299" i="8"/>
  <c r="J299" i="8"/>
  <c r="H299" i="8"/>
  <c r="K299" i="8"/>
  <c r="B300" i="8"/>
  <c r="F299" i="8"/>
  <c r="I299" i="8"/>
  <c r="E299" i="8"/>
  <c r="Q299" i="8"/>
  <c r="S304" i="8"/>
  <c r="T299" i="8"/>
  <c r="P299" i="8"/>
  <c r="R299" i="8"/>
  <c r="M298" i="8"/>
  <c r="N298" i="8"/>
  <c r="L300" i="8" l="1"/>
  <c r="F300" i="8"/>
  <c r="D300" i="8"/>
  <c r="I300" i="8"/>
  <c r="G300" i="8"/>
  <c r="H300" i="8"/>
  <c r="B301" i="8"/>
  <c r="E300" i="8"/>
  <c r="J300" i="8"/>
  <c r="K300" i="8"/>
  <c r="S305" i="8"/>
  <c r="T300" i="8"/>
  <c r="P300" i="8"/>
  <c r="Q300" i="8"/>
  <c r="R300" i="8"/>
  <c r="N299" i="8"/>
  <c r="M299" i="8"/>
  <c r="G301" i="8" l="1"/>
  <c r="L301" i="8"/>
  <c r="J301" i="8"/>
  <c r="H301" i="8"/>
  <c r="E301" i="8"/>
  <c r="K301" i="8"/>
  <c r="I301" i="8"/>
  <c r="F301" i="8"/>
  <c r="D301" i="8"/>
  <c r="B302" i="8"/>
  <c r="R301" i="8"/>
  <c r="S306" i="8"/>
  <c r="P301" i="8"/>
  <c r="T301" i="8"/>
  <c r="Q301" i="8"/>
  <c r="M300" i="8"/>
  <c r="N300" i="8"/>
  <c r="L302" i="8" l="1"/>
  <c r="F302" i="8"/>
  <c r="D302" i="8"/>
  <c r="I302" i="8"/>
  <c r="K302" i="8"/>
  <c r="E302" i="8"/>
  <c r="J302" i="8"/>
  <c r="H302" i="8"/>
  <c r="B303" i="8"/>
  <c r="G302" i="8"/>
  <c r="R302" i="8"/>
  <c r="Q302" i="8"/>
  <c r="T302" i="8"/>
  <c r="S307" i="8"/>
  <c r="P302" i="8"/>
  <c r="N301" i="8"/>
  <c r="M301" i="8"/>
  <c r="G303" i="8" l="1"/>
  <c r="L303" i="8"/>
  <c r="J303" i="8"/>
  <c r="H303" i="8"/>
  <c r="K303" i="8"/>
  <c r="E303" i="8"/>
  <c r="F303" i="8"/>
  <c r="D303" i="8"/>
  <c r="I303" i="8"/>
  <c r="B304" i="8"/>
  <c r="Q303" i="8"/>
  <c r="S308" i="8"/>
  <c r="T303" i="8"/>
  <c r="P303" i="8"/>
  <c r="R303" i="8"/>
  <c r="N302" i="8"/>
  <c r="M302" i="8"/>
  <c r="L304" i="8" l="1"/>
  <c r="F304" i="8"/>
  <c r="I304" i="8"/>
  <c r="B305" i="8"/>
  <c r="E304" i="8"/>
  <c r="J304" i="8"/>
  <c r="D304" i="8"/>
  <c r="K304" i="8"/>
  <c r="H304" i="8"/>
  <c r="G304" i="8"/>
  <c r="S309" i="8"/>
  <c r="T304" i="8"/>
  <c r="P304" i="8"/>
  <c r="R304" i="8"/>
  <c r="Q304" i="8"/>
  <c r="N303" i="8"/>
  <c r="M303" i="8"/>
  <c r="G305" i="8" l="1"/>
  <c r="L305" i="8"/>
  <c r="B306" i="8"/>
  <c r="H305" i="8"/>
  <c r="K305" i="8"/>
  <c r="E305" i="8"/>
  <c r="F305" i="8"/>
  <c r="D305" i="8"/>
  <c r="J305" i="8"/>
  <c r="I305" i="8"/>
  <c r="R305" i="8"/>
  <c r="T305" i="8"/>
  <c r="Q305" i="8"/>
  <c r="S310" i="8"/>
  <c r="P305" i="8"/>
  <c r="N304" i="8"/>
  <c r="M304" i="8"/>
  <c r="L306" i="8" l="1"/>
  <c r="F306" i="8"/>
  <c r="J306" i="8"/>
  <c r="G306" i="8"/>
  <c r="B307" i="8"/>
  <c r="E306" i="8"/>
  <c r="D306" i="8"/>
  <c r="I306" i="8"/>
  <c r="H306" i="8"/>
  <c r="K306" i="8"/>
  <c r="R306" i="8"/>
  <c r="Q306" i="8"/>
  <c r="S311" i="8"/>
  <c r="P306" i="8"/>
  <c r="T306" i="8"/>
  <c r="M305" i="8"/>
  <c r="N305" i="8"/>
  <c r="G307" i="8" l="1"/>
  <c r="L307" i="8"/>
  <c r="K307" i="8"/>
  <c r="B308" i="8"/>
  <c r="F307" i="8"/>
  <c r="D307" i="8"/>
  <c r="E307" i="8"/>
  <c r="J307" i="8"/>
  <c r="H307" i="8"/>
  <c r="I307" i="8"/>
  <c r="Q307" i="8"/>
  <c r="S312" i="8"/>
  <c r="T307" i="8"/>
  <c r="P307" i="8"/>
  <c r="R307" i="8"/>
  <c r="N306" i="8"/>
  <c r="M306" i="8"/>
  <c r="L308" i="8" l="1"/>
  <c r="F308" i="8"/>
  <c r="H308" i="8"/>
  <c r="B309" i="8"/>
  <c r="E308" i="8"/>
  <c r="J308" i="8"/>
  <c r="D308" i="8"/>
  <c r="I308" i="8"/>
  <c r="G308" i="8"/>
  <c r="K308" i="8"/>
  <c r="S313" i="8"/>
  <c r="T308" i="8"/>
  <c r="P308" i="8"/>
  <c r="Q308" i="8"/>
  <c r="R308" i="8"/>
  <c r="N307" i="8"/>
  <c r="M307" i="8"/>
  <c r="G309" i="8" l="1"/>
  <c r="L309" i="8"/>
  <c r="K309" i="8"/>
  <c r="I309" i="8"/>
  <c r="F309" i="8"/>
  <c r="D309" i="8"/>
  <c r="B310" i="8"/>
  <c r="J309" i="8"/>
  <c r="H309" i="8"/>
  <c r="E309" i="8"/>
  <c r="R309" i="8"/>
  <c r="S314" i="8"/>
  <c r="P309" i="8"/>
  <c r="T309" i="8"/>
  <c r="Q309" i="8"/>
  <c r="M308" i="8"/>
  <c r="N308" i="8"/>
  <c r="L310" i="8" l="1"/>
  <c r="F310" i="8"/>
  <c r="G310" i="8"/>
  <c r="B311" i="8"/>
  <c r="E310" i="8"/>
  <c r="J310" i="8"/>
  <c r="D310" i="8"/>
  <c r="I310" i="8"/>
  <c r="H310" i="8"/>
  <c r="K310" i="8"/>
  <c r="R310" i="8"/>
  <c r="Q310" i="8"/>
  <c r="T310" i="8"/>
  <c r="P310" i="8"/>
  <c r="S315" i="8"/>
  <c r="N309" i="8"/>
  <c r="M309" i="8"/>
  <c r="G311" i="8" l="1"/>
  <c r="L311" i="8"/>
  <c r="I311" i="8"/>
  <c r="B312" i="8"/>
  <c r="K311" i="8"/>
  <c r="E311" i="8"/>
  <c r="F311" i="8"/>
  <c r="D311" i="8"/>
  <c r="J311" i="8"/>
  <c r="H311" i="8"/>
  <c r="Q311" i="8"/>
  <c r="S316" i="8"/>
  <c r="T311" i="8"/>
  <c r="P311" i="8"/>
  <c r="R311" i="8"/>
  <c r="N310" i="8"/>
  <c r="M310" i="8"/>
  <c r="L312" i="8" l="1"/>
  <c r="F312" i="8"/>
  <c r="D312" i="8"/>
  <c r="I312" i="8"/>
  <c r="K312" i="8"/>
  <c r="H312" i="8"/>
  <c r="B313" i="8"/>
  <c r="G312" i="8"/>
  <c r="E312" i="8"/>
  <c r="J312" i="8"/>
  <c r="S317" i="8"/>
  <c r="T312" i="8"/>
  <c r="P312" i="8"/>
  <c r="R312" i="8"/>
  <c r="Q312" i="8"/>
  <c r="M311" i="8"/>
  <c r="N311" i="8"/>
  <c r="G313" i="8" l="1"/>
  <c r="L313" i="8"/>
  <c r="K313" i="8"/>
  <c r="F313" i="8"/>
  <c r="D313" i="8"/>
  <c r="J313" i="8"/>
  <c r="H313" i="8"/>
  <c r="B314" i="8"/>
  <c r="E313" i="8"/>
  <c r="I313" i="8"/>
  <c r="R313" i="8"/>
  <c r="T313" i="8"/>
  <c r="Q313" i="8"/>
  <c r="P313" i="8"/>
  <c r="S318" i="8"/>
  <c r="M312" i="8"/>
  <c r="N312" i="8"/>
  <c r="L314" i="8" l="1"/>
  <c r="F314" i="8"/>
  <c r="I314" i="8"/>
  <c r="E314" i="8"/>
  <c r="J314" i="8"/>
  <c r="D314" i="8"/>
  <c r="G314" i="8"/>
  <c r="H314" i="8"/>
  <c r="B315" i="8"/>
  <c r="K314" i="8"/>
  <c r="R314" i="8"/>
  <c r="Q314" i="8"/>
  <c r="S319" i="8"/>
  <c r="P314" i="8"/>
  <c r="T314" i="8"/>
  <c r="M313" i="8"/>
  <c r="N313" i="8"/>
  <c r="G315" i="8" l="1"/>
  <c r="L315" i="8"/>
  <c r="F315" i="8"/>
  <c r="I315" i="8"/>
  <c r="J315" i="8"/>
  <c r="H315" i="8"/>
  <c r="K315" i="8"/>
  <c r="B316" i="8"/>
  <c r="D315" i="8"/>
  <c r="E315" i="8"/>
  <c r="Q315" i="8"/>
  <c r="S320" i="8"/>
  <c r="T315" i="8"/>
  <c r="P315" i="8"/>
  <c r="R315" i="8"/>
  <c r="M314" i="8"/>
  <c r="N314" i="8"/>
  <c r="L316" i="8" l="1"/>
  <c r="F316" i="8"/>
  <c r="G316" i="8"/>
  <c r="H316" i="8"/>
  <c r="K316" i="8"/>
  <c r="E316" i="8"/>
  <c r="J316" i="8"/>
  <c r="D316" i="8"/>
  <c r="I316" i="8"/>
  <c r="B317" i="8"/>
  <c r="S321" i="8"/>
  <c r="T316" i="8"/>
  <c r="P316" i="8"/>
  <c r="Q316" i="8"/>
  <c r="R316" i="8"/>
  <c r="M315" i="8"/>
  <c r="N315" i="8"/>
  <c r="G317" i="8" l="1"/>
  <c r="L317" i="8"/>
  <c r="K317" i="8"/>
  <c r="I317" i="8"/>
  <c r="F317" i="8"/>
  <c r="D317" i="8"/>
  <c r="B318" i="8"/>
  <c r="J317" i="8"/>
  <c r="H317" i="8"/>
  <c r="E317" i="8"/>
  <c r="R317" i="8"/>
  <c r="S322" i="8"/>
  <c r="P317" i="8"/>
  <c r="T317" i="8"/>
  <c r="Q317" i="8"/>
  <c r="M316" i="8"/>
  <c r="N316" i="8"/>
  <c r="L318" i="8" l="1"/>
  <c r="F318" i="8"/>
  <c r="E318" i="8"/>
  <c r="J318" i="8"/>
  <c r="H318" i="8"/>
  <c r="B319" i="8"/>
  <c r="G318" i="8"/>
  <c r="D318" i="8"/>
  <c r="I318" i="8"/>
  <c r="K318" i="8"/>
  <c r="R318" i="8"/>
  <c r="Q318" i="8"/>
  <c r="T318" i="8"/>
  <c r="S323" i="8"/>
  <c r="P318" i="8"/>
  <c r="N317" i="8"/>
  <c r="M317" i="8"/>
  <c r="G319" i="8" l="1"/>
  <c r="L319" i="8"/>
  <c r="I319" i="8"/>
  <c r="K319" i="8"/>
  <c r="E319" i="8"/>
  <c r="F319" i="8"/>
  <c r="D319" i="8"/>
  <c r="J319" i="8"/>
  <c r="H319" i="8"/>
  <c r="B320" i="8"/>
  <c r="Q319" i="8"/>
  <c r="S324" i="8"/>
  <c r="T319" i="8"/>
  <c r="P319" i="8"/>
  <c r="R319" i="8"/>
  <c r="N318" i="8"/>
  <c r="M318" i="8"/>
  <c r="L320" i="8" l="1"/>
  <c r="F320" i="8"/>
  <c r="D320" i="8"/>
  <c r="I320" i="8"/>
  <c r="K320" i="8"/>
  <c r="H320" i="8"/>
  <c r="B321" i="8"/>
  <c r="E320" i="8"/>
  <c r="J320" i="8"/>
  <c r="G320" i="8"/>
  <c r="S325" i="8"/>
  <c r="T320" i="8"/>
  <c r="P320" i="8"/>
  <c r="R320" i="8"/>
  <c r="Q320" i="8"/>
  <c r="M319" i="8"/>
  <c r="N319" i="8"/>
  <c r="G321" i="8" l="1"/>
  <c r="L321" i="8"/>
  <c r="F321" i="8"/>
  <c r="D321" i="8"/>
  <c r="B322" i="8"/>
  <c r="J321" i="8"/>
  <c r="I321" i="8"/>
  <c r="K321" i="8"/>
  <c r="E321" i="8"/>
  <c r="H321" i="8"/>
  <c r="R321" i="8"/>
  <c r="T321" i="8"/>
  <c r="Q321" i="8"/>
  <c r="S326" i="8"/>
  <c r="P321" i="8"/>
  <c r="M320" i="8"/>
  <c r="N320" i="8"/>
  <c r="L322" i="8" l="1"/>
  <c r="F322" i="8"/>
  <c r="E322" i="8"/>
  <c r="J322" i="8"/>
  <c r="D322" i="8"/>
  <c r="I322" i="8"/>
  <c r="G322" i="8"/>
  <c r="B323" i="8"/>
  <c r="H322" i="8"/>
  <c r="K322" i="8"/>
  <c r="R322" i="8"/>
  <c r="Q322" i="8"/>
  <c r="S327" i="8"/>
  <c r="P322" i="8"/>
  <c r="T322" i="8"/>
  <c r="M321" i="8"/>
  <c r="N321" i="8"/>
  <c r="G323" i="8" l="1"/>
  <c r="L323" i="8"/>
  <c r="J323" i="8"/>
  <c r="H323" i="8"/>
  <c r="K323" i="8"/>
  <c r="B324" i="8"/>
  <c r="F323" i="8"/>
  <c r="D323" i="8"/>
  <c r="E323" i="8"/>
  <c r="I323" i="8"/>
  <c r="Q323" i="8"/>
  <c r="S328" i="8"/>
  <c r="T323" i="8"/>
  <c r="P323" i="8"/>
  <c r="R323" i="8"/>
  <c r="M322" i="8"/>
  <c r="N322" i="8"/>
  <c r="L324" i="8" l="1"/>
  <c r="F324" i="8"/>
  <c r="I324" i="8"/>
  <c r="B325" i="8"/>
  <c r="E324" i="8"/>
  <c r="J324" i="8"/>
  <c r="D324" i="8"/>
  <c r="G324" i="8"/>
  <c r="H324" i="8"/>
  <c r="K324" i="8"/>
  <c r="S329" i="8"/>
  <c r="T324" i="8"/>
  <c r="P324" i="8"/>
  <c r="Q324" i="8"/>
  <c r="R324" i="8"/>
  <c r="M323" i="8"/>
  <c r="N323" i="8"/>
  <c r="G325" i="8" l="1"/>
  <c r="L325" i="8"/>
  <c r="K325" i="8"/>
  <c r="I325" i="8"/>
  <c r="F325" i="8"/>
  <c r="D325" i="8"/>
  <c r="B326" i="8"/>
  <c r="J325" i="8"/>
  <c r="H325" i="8"/>
  <c r="E325" i="8"/>
  <c r="R325" i="8"/>
  <c r="S330" i="8"/>
  <c r="P325" i="8"/>
  <c r="T325" i="8"/>
  <c r="Q325" i="8"/>
  <c r="M324" i="8"/>
  <c r="N324" i="8"/>
  <c r="L326" i="8" l="1"/>
  <c r="F326" i="8"/>
  <c r="E326" i="8"/>
  <c r="J326" i="8"/>
  <c r="H326" i="8"/>
  <c r="B327" i="8"/>
  <c r="K326" i="8"/>
  <c r="D326" i="8"/>
  <c r="I326" i="8"/>
  <c r="G326" i="8"/>
  <c r="R326" i="8"/>
  <c r="Q326" i="8"/>
  <c r="T326" i="8"/>
  <c r="P326" i="8"/>
  <c r="S331" i="8"/>
  <c r="N325" i="8"/>
  <c r="M325" i="8"/>
  <c r="G327" i="8" l="1"/>
  <c r="L327" i="8"/>
  <c r="F327" i="8"/>
  <c r="D327" i="8"/>
  <c r="J327" i="8"/>
  <c r="H327" i="8"/>
  <c r="B328" i="8"/>
  <c r="K327" i="8"/>
  <c r="E327" i="8"/>
  <c r="I327" i="8"/>
  <c r="S332" i="8"/>
  <c r="Q327" i="8"/>
  <c r="T327" i="8"/>
  <c r="P327" i="8"/>
  <c r="R327" i="8"/>
  <c r="N326" i="8"/>
  <c r="M326" i="8"/>
  <c r="L328" i="8" l="1"/>
  <c r="F328" i="8"/>
  <c r="E328" i="8"/>
  <c r="J328" i="8"/>
  <c r="D328" i="8"/>
  <c r="I328" i="8"/>
  <c r="K328" i="8"/>
  <c r="H328" i="8"/>
  <c r="B329" i="8"/>
  <c r="G328" i="8"/>
  <c r="T328" i="8"/>
  <c r="P328" i="8"/>
  <c r="S333" i="8"/>
  <c r="R328" i="8"/>
  <c r="Q328" i="8"/>
  <c r="M327" i="8"/>
  <c r="N327" i="8"/>
  <c r="G329" i="8" l="1"/>
  <c r="L329" i="8"/>
  <c r="D329" i="8"/>
  <c r="B330" i="8"/>
  <c r="K329" i="8"/>
  <c r="E329" i="8"/>
  <c r="F329" i="8"/>
  <c r="I329" i="8"/>
  <c r="J329" i="8"/>
  <c r="H329" i="8"/>
  <c r="S334" i="8"/>
  <c r="R329" i="8"/>
  <c r="T329" i="8"/>
  <c r="Q329" i="8"/>
  <c r="P329" i="8"/>
  <c r="N328" i="8"/>
  <c r="M328" i="8"/>
  <c r="L330" i="8" l="1"/>
  <c r="F330" i="8"/>
  <c r="D330" i="8"/>
  <c r="I330" i="8"/>
  <c r="G330" i="8"/>
  <c r="B331" i="8"/>
  <c r="E330" i="8"/>
  <c r="J330" i="8"/>
  <c r="H330" i="8"/>
  <c r="K330" i="8"/>
  <c r="S335" i="8"/>
  <c r="R330" i="8"/>
  <c r="Q330" i="8"/>
  <c r="P330" i="8"/>
  <c r="T330" i="8"/>
  <c r="M329" i="8"/>
  <c r="N329" i="8"/>
  <c r="K331" i="8" l="1"/>
  <c r="B332" i="8"/>
  <c r="F331" i="8"/>
  <c r="D331" i="8"/>
  <c r="I331" i="8"/>
  <c r="J331" i="8"/>
  <c r="H331" i="8"/>
  <c r="E331" i="8"/>
  <c r="G331" i="8"/>
  <c r="L331" i="8"/>
  <c r="S336" i="8"/>
  <c r="Q331" i="8"/>
  <c r="T331" i="8"/>
  <c r="P331" i="8"/>
  <c r="R331" i="8"/>
  <c r="N330" i="8"/>
  <c r="M330" i="8"/>
  <c r="L332" i="8" l="1"/>
  <c r="F332" i="8"/>
  <c r="D332" i="8"/>
  <c r="I332" i="8"/>
  <c r="G332" i="8"/>
  <c r="H332" i="8"/>
  <c r="K332" i="8"/>
  <c r="E332" i="8"/>
  <c r="J332" i="8"/>
  <c r="B333" i="8"/>
  <c r="S337" i="8"/>
  <c r="P332" i="8"/>
  <c r="T332" i="8"/>
  <c r="Q332" i="8"/>
  <c r="R332" i="8"/>
  <c r="N331" i="8"/>
  <c r="M331" i="8"/>
  <c r="G333" i="8" l="1"/>
  <c r="L333" i="8"/>
  <c r="K333" i="8"/>
  <c r="I333" i="8"/>
  <c r="F333" i="8"/>
  <c r="D333" i="8"/>
  <c r="B334" i="8"/>
  <c r="J333" i="8"/>
  <c r="H333" i="8"/>
  <c r="E333" i="8"/>
  <c r="R333" i="8"/>
  <c r="S338" i="8"/>
  <c r="T333" i="8"/>
  <c r="Q333" i="8"/>
  <c r="P333" i="8"/>
  <c r="M332" i="8"/>
  <c r="N332" i="8"/>
  <c r="L334" i="8" l="1"/>
  <c r="J334" i="8"/>
  <c r="E334" i="8"/>
  <c r="B335" i="8"/>
  <c r="D334" i="8"/>
  <c r="I334" i="8"/>
  <c r="K334" i="8"/>
  <c r="H334" i="8"/>
  <c r="F334" i="8"/>
  <c r="G334" i="8"/>
  <c r="Q334" i="8"/>
  <c r="S339" i="8"/>
  <c r="T334" i="8"/>
  <c r="R334" i="8"/>
  <c r="P334" i="8"/>
  <c r="N333" i="8"/>
  <c r="M333" i="8"/>
  <c r="D335" i="8" l="1"/>
  <c r="E335" i="8"/>
  <c r="H335" i="8"/>
  <c r="B336" i="8"/>
  <c r="I335" i="8"/>
  <c r="F335" i="8"/>
  <c r="L335" i="8"/>
  <c r="G335" i="8"/>
  <c r="J335" i="8"/>
  <c r="K335" i="8"/>
  <c r="S340" i="8"/>
  <c r="T335" i="8"/>
  <c r="P335" i="8"/>
  <c r="R335" i="8"/>
  <c r="Q335" i="8"/>
  <c r="N334" i="8"/>
  <c r="M334" i="8"/>
  <c r="L336" i="8" l="1"/>
  <c r="K336" i="8"/>
  <c r="F336" i="8"/>
  <c r="G336" i="8"/>
  <c r="B337" i="8"/>
  <c r="H336" i="8"/>
  <c r="E336" i="8"/>
  <c r="D336" i="8"/>
  <c r="J336" i="8"/>
  <c r="I336" i="8"/>
  <c r="R336" i="8"/>
  <c r="Q336" i="8"/>
  <c r="T336" i="8"/>
  <c r="P336" i="8"/>
  <c r="S341" i="8"/>
  <c r="M335" i="8"/>
  <c r="N335" i="8"/>
  <c r="D337" i="8" l="1"/>
  <c r="I337" i="8"/>
  <c r="H337" i="8"/>
  <c r="B338" i="8"/>
  <c r="F337" i="8"/>
  <c r="L337" i="8"/>
  <c r="K337" i="8"/>
  <c r="J337" i="8"/>
  <c r="G337" i="8"/>
  <c r="E337" i="8"/>
  <c r="R337" i="8"/>
  <c r="Q337" i="8"/>
  <c r="S342" i="8"/>
  <c r="P337" i="8"/>
  <c r="T337" i="8"/>
  <c r="N336" i="8"/>
  <c r="M336" i="8"/>
  <c r="L338" i="8" l="1"/>
  <c r="B339" i="8"/>
  <c r="I338" i="8"/>
  <c r="H338" i="8"/>
  <c r="E338" i="8"/>
  <c r="F338" i="8"/>
  <c r="G338" i="8"/>
  <c r="D338" i="8"/>
  <c r="J338" i="8"/>
  <c r="K338" i="8"/>
  <c r="Q338" i="8"/>
  <c r="S343" i="8"/>
  <c r="T338" i="8"/>
  <c r="P338" i="8"/>
  <c r="R338" i="8"/>
  <c r="M337" i="8"/>
  <c r="N337" i="8"/>
  <c r="D339" i="8" l="1"/>
  <c r="E339" i="8"/>
  <c r="H339" i="8"/>
  <c r="B340" i="8"/>
  <c r="F339" i="8"/>
  <c r="L339" i="8"/>
  <c r="I339" i="8"/>
  <c r="J339" i="8"/>
  <c r="K339" i="8"/>
  <c r="G339" i="8"/>
  <c r="S344" i="8"/>
  <c r="T339" i="8"/>
  <c r="P339" i="8"/>
  <c r="R339" i="8"/>
  <c r="Q339" i="8"/>
  <c r="N338" i="8"/>
  <c r="M338" i="8"/>
  <c r="L340" i="8" l="1"/>
  <c r="K340" i="8"/>
  <c r="F340" i="8"/>
  <c r="E340" i="8"/>
  <c r="D340" i="8"/>
  <c r="J340" i="8"/>
  <c r="B341" i="8"/>
  <c r="H340" i="8"/>
  <c r="I340" i="8"/>
  <c r="G340" i="8"/>
  <c r="R340" i="8"/>
  <c r="Q340" i="8"/>
  <c r="P340" i="8"/>
  <c r="S345" i="8"/>
  <c r="T340" i="8"/>
  <c r="N339" i="8"/>
  <c r="M339" i="8"/>
  <c r="D341" i="8" l="1"/>
  <c r="I341" i="8"/>
  <c r="J341" i="8"/>
  <c r="G341" i="8"/>
  <c r="B342" i="8"/>
  <c r="H341" i="8"/>
  <c r="E341" i="8"/>
  <c r="F341" i="8"/>
  <c r="L341" i="8"/>
  <c r="K341" i="8"/>
  <c r="R341" i="8"/>
  <c r="Q341" i="8"/>
  <c r="T341" i="8"/>
  <c r="S346" i="8"/>
  <c r="P341" i="8"/>
  <c r="N340" i="8"/>
  <c r="M340" i="8"/>
  <c r="L342" i="8" l="1"/>
  <c r="B343" i="8"/>
  <c r="F342" i="8"/>
  <c r="G342" i="8"/>
  <c r="D342" i="8"/>
  <c r="J342" i="8"/>
  <c r="K342" i="8"/>
  <c r="H342" i="8"/>
  <c r="E342" i="8"/>
  <c r="I342" i="8"/>
  <c r="Q342" i="8"/>
  <c r="S347" i="8"/>
  <c r="T342" i="8"/>
  <c r="P342" i="8"/>
  <c r="R342" i="8"/>
  <c r="M341" i="8"/>
  <c r="N341" i="8"/>
  <c r="D343" i="8" l="1"/>
  <c r="E343" i="8"/>
  <c r="F343" i="8"/>
  <c r="L343" i="8"/>
  <c r="B344" i="8"/>
  <c r="K343" i="8"/>
  <c r="I343" i="8"/>
  <c r="H343" i="8"/>
  <c r="G343" i="8"/>
  <c r="J343" i="8"/>
  <c r="S348" i="8"/>
  <c r="T343" i="8"/>
  <c r="P343" i="8"/>
  <c r="R343" i="8"/>
  <c r="Q343" i="8"/>
  <c r="N342" i="8"/>
  <c r="M342" i="8"/>
  <c r="L344" i="8" l="1"/>
  <c r="B345" i="8"/>
  <c r="D344" i="8"/>
  <c r="J344" i="8"/>
  <c r="I344" i="8"/>
  <c r="F344" i="8"/>
  <c r="G344" i="8"/>
  <c r="H344" i="8"/>
  <c r="E344" i="8"/>
  <c r="K344" i="8"/>
  <c r="R344" i="8"/>
  <c r="Q344" i="8"/>
  <c r="S349" i="8"/>
  <c r="T344" i="8"/>
  <c r="P344" i="8"/>
  <c r="N343" i="8"/>
  <c r="M343" i="8"/>
  <c r="D345" i="8" l="1"/>
  <c r="E345" i="8"/>
  <c r="F345" i="8"/>
  <c r="I345" i="8"/>
  <c r="K345" i="8"/>
  <c r="G345" i="8"/>
  <c r="H345" i="8"/>
  <c r="B346" i="8"/>
  <c r="L345" i="8"/>
  <c r="J345" i="8"/>
  <c r="R345" i="8"/>
  <c r="Q345" i="8"/>
  <c r="S350" i="8"/>
  <c r="P345" i="8"/>
  <c r="T345" i="8"/>
  <c r="N344" i="8"/>
  <c r="M344" i="8"/>
  <c r="L346" i="8" l="1"/>
  <c r="K346" i="8"/>
  <c r="F346" i="8"/>
  <c r="E346" i="8"/>
  <c r="D346" i="8"/>
  <c r="J346" i="8"/>
  <c r="G346" i="8"/>
  <c r="H346" i="8"/>
  <c r="I346" i="8"/>
  <c r="B347" i="8"/>
  <c r="Q346" i="8"/>
  <c r="S351" i="8"/>
  <c r="T346" i="8"/>
  <c r="P346" i="8"/>
  <c r="R346" i="8"/>
  <c r="M345" i="8"/>
  <c r="N345" i="8"/>
  <c r="D347" i="8" l="1"/>
  <c r="I347" i="8"/>
  <c r="H347" i="8"/>
  <c r="E347" i="8"/>
  <c r="J347" i="8"/>
  <c r="G347" i="8"/>
  <c r="B348" i="8"/>
  <c r="F347" i="8"/>
  <c r="L347" i="8"/>
  <c r="K347" i="8"/>
  <c r="S352" i="8"/>
  <c r="T347" i="8"/>
  <c r="P347" i="8"/>
  <c r="R347" i="8"/>
  <c r="Q347" i="8"/>
  <c r="M346" i="8"/>
  <c r="N346" i="8"/>
  <c r="L348" i="8" l="1"/>
  <c r="B349" i="8"/>
  <c r="F348" i="8"/>
  <c r="G348" i="8"/>
  <c r="H348" i="8"/>
  <c r="I348" i="8"/>
  <c r="D348" i="8"/>
  <c r="J348" i="8"/>
  <c r="K348" i="8"/>
  <c r="E348" i="8"/>
  <c r="R348" i="8"/>
  <c r="Q348" i="8"/>
  <c r="S353" i="8"/>
  <c r="T348" i="8"/>
  <c r="P348" i="8"/>
  <c r="N347" i="8"/>
  <c r="M347" i="8"/>
  <c r="D349" i="8" l="1"/>
  <c r="E349" i="8"/>
  <c r="F349" i="8"/>
  <c r="L349" i="8"/>
  <c r="G349" i="8"/>
  <c r="K349" i="8"/>
  <c r="H349" i="8"/>
  <c r="B350" i="8"/>
  <c r="J349" i="8"/>
  <c r="I349" i="8"/>
  <c r="R349" i="8"/>
  <c r="Q349" i="8"/>
  <c r="T349" i="8"/>
  <c r="S354" i="8"/>
  <c r="P349" i="8"/>
  <c r="M348" i="8"/>
  <c r="N348" i="8"/>
  <c r="L350" i="8" l="1"/>
  <c r="K350" i="8"/>
  <c r="F350" i="8"/>
  <c r="G350" i="8"/>
  <c r="D350" i="8"/>
  <c r="J350" i="8"/>
  <c r="B351" i="8"/>
  <c r="H350" i="8"/>
  <c r="I350" i="8"/>
  <c r="E350" i="8"/>
  <c r="Q350" i="8"/>
  <c r="S355" i="8"/>
  <c r="T350" i="8"/>
  <c r="P350" i="8"/>
  <c r="R350" i="8"/>
  <c r="N349" i="8"/>
  <c r="M349" i="8"/>
  <c r="D351" i="8" l="1"/>
  <c r="I351" i="8"/>
  <c r="F351" i="8"/>
  <c r="L351" i="8"/>
  <c r="E351" i="8"/>
  <c r="H351" i="8"/>
  <c r="B352" i="8"/>
  <c r="J351" i="8"/>
  <c r="G351" i="8"/>
  <c r="K351" i="8"/>
  <c r="S356" i="8"/>
  <c r="T351" i="8"/>
  <c r="P351" i="8"/>
  <c r="R351" i="8"/>
  <c r="Q351" i="8"/>
  <c r="M350" i="8"/>
  <c r="N350" i="8"/>
  <c r="L352" i="8" l="1"/>
  <c r="B353" i="8"/>
  <c r="D352" i="8"/>
  <c r="J352" i="8"/>
  <c r="I352" i="8"/>
  <c r="F352" i="8"/>
  <c r="G352" i="8"/>
  <c r="H352" i="8"/>
  <c r="E352" i="8"/>
  <c r="K352" i="8"/>
  <c r="R352" i="8"/>
  <c r="Q352" i="8"/>
  <c r="T352" i="8"/>
  <c r="P352" i="8"/>
  <c r="S357" i="8"/>
  <c r="M351" i="8"/>
  <c r="N351" i="8"/>
  <c r="H353" i="8" l="1"/>
  <c r="I353" i="8"/>
  <c r="D353" i="8"/>
  <c r="G353" i="8"/>
  <c r="J353" i="8"/>
  <c r="L353" i="8"/>
  <c r="F353" i="8"/>
  <c r="E353" i="8"/>
  <c r="B354" i="8"/>
  <c r="K353" i="8"/>
  <c r="R353" i="8"/>
  <c r="Q353" i="8"/>
  <c r="S358" i="8"/>
  <c r="P353" i="8"/>
  <c r="T353" i="8"/>
  <c r="N352" i="8"/>
  <c r="M352" i="8"/>
  <c r="L354" i="8" l="1"/>
  <c r="G354" i="8"/>
  <c r="H354" i="8"/>
  <c r="B355" i="8"/>
  <c r="F354" i="8"/>
  <c r="E354" i="8"/>
  <c r="J354" i="8"/>
  <c r="D354" i="8"/>
  <c r="I354" i="8"/>
  <c r="K354" i="8"/>
  <c r="Q354" i="8"/>
  <c r="S359" i="8"/>
  <c r="T354" i="8"/>
  <c r="P354" i="8"/>
  <c r="R354" i="8"/>
  <c r="M353" i="8"/>
  <c r="N353" i="8"/>
  <c r="G355" i="8" l="1"/>
  <c r="H355" i="8"/>
  <c r="K355" i="8"/>
  <c r="I355" i="8"/>
  <c r="F355" i="8"/>
  <c r="E355" i="8"/>
  <c r="D355" i="8"/>
  <c r="J355" i="8"/>
  <c r="B356" i="8"/>
  <c r="L355" i="8"/>
  <c r="S360" i="8"/>
  <c r="T355" i="8"/>
  <c r="P355" i="8"/>
  <c r="R355" i="8"/>
  <c r="Q355" i="8"/>
  <c r="N354" i="8"/>
  <c r="M354" i="8"/>
  <c r="L356" i="8" l="1"/>
  <c r="K356" i="8"/>
  <c r="D356" i="8"/>
  <c r="I356" i="8"/>
  <c r="G356" i="8"/>
  <c r="H356" i="8"/>
  <c r="J356" i="8"/>
  <c r="E356" i="8"/>
  <c r="F356" i="8"/>
  <c r="B357" i="8"/>
  <c r="R356" i="8"/>
  <c r="Q356" i="8"/>
  <c r="P356" i="8"/>
  <c r="T356" i="8"/>
  <c r="S361" i="8"/>
  <c r="N355" i="8"/>
  <c r="M355" i="8"/>
  <c r="G357" i="8" l="1"/>
  <c r="L357" i="8"/>
  <c r="F357" i="8"/>
  <c r="B358" i="8"/>
  <c r="D357" i="8"/>
  <c r="K357" i="8"/>
  <c r="E357" i="8"/>
  <c r="I357" i="8"/>
  <c r="J357" i="8"/>
  <c r="H357" i="8"/>
  <c r="R357" i="8"/>
  <c r="Q357" i="8"/>
  <c r="T357" i="8"/>
  <c r="S362" i="8"/>
  <c r="P357" i="8"/>
  <c r="N356" i="8"/>
  <c r="M356" i="8"/>
  <c r="L358" i="8" l="1"/>
  <c r="G358" i="8"/>
  <c r="E358" i="8"/>
  <c r="J358" i="8"/>
  <c r="D358" i="8"/>
  <c r="I358" i="8"/>
  <c r="H358" i="8"/>
  <c r="B359" i="8"/>
  <c r="F358" i="8"/>
  <c r="K358" i="8"/>
  <c r="Q358" i="8"/>
  <c r="S363" i="8"/>
  <c r="T358" i="8"/>
  <c r="P358" i="8"/>
  <c r="R358" i="8"/>
  <c r="N357" i="8"/>
  <c r="M357" i="8"/>
  <c r="G359" i="8" l="1"/>
  <c r="H359" i="8"/>
  <c r="K359" i="8"/>
  <c r="I359" i="8"/>
  <c r="F359" i="8"/>
  <c r="E359" i="8"/>
  <c r="D359" i="8"/>
  <c r="J359" i="8"/>
  <c r="B360" i="8"/>
  <c r="L359" i="8"/>
  <c r="S364" i="8"/>
  <c r="T359" i="8"/>
  <c r="P359" i="8"/>
  <c r="R359" i="8"/>
  <c r="Q359" i="8"/>
  <c r="N358" i="8"/>
  <c r="M358" i="8"/>
  <c r="L360" i="8" l="1"/>
  <c r="K360" i="8"/>
  <c r="G360" i="8"/>
  <c r="J360" i="8"/>
  <c r="E360" i="8"/>
  <c r="F360" i="8"/>
  <c r="D360" i="8"/>
  <c r="I360" i="8"/>
  <c r="H360" i="8"/>
  <c r="B361" i="8"/>
  <c r="R360" i="8"/>
  <c r="Q360" i="8"/>
  <c r="S365" i="8"/>
  <c r="P360" i="8"/>
  <c r="T360" i="8"/>
  <c r="N359" i="8"/>
  <c r="M359" i="8"/>
  <c r="G361" i="8" l="1"/>
  <c r="L361" i="8"/>
  <c r="K361" i="8"/>
  <c r="E361" i="8"/>
  <c r="F361" i="8"/>
  <c r="I361" i="8"/>
  <c r="B362" i="8"/>
  <c r="J361" i="8"/>
  <c r="D361" i="8"/>
  <c r="H361" i="8"/>
  <c r="R361" i="8"/>
  <c r="Q361" i="8"/>
  <c r="S366" i="8"/>
  <c r="P361" i="8"/>
  <c r="T361" i="8"/>
  <c r="N360" i="8"/>
  <c r="M360" i="8"/>
  <c r="L362" i="8" l="1"/>
  <c r="G362" i="8"/>
  <c r="D362" i="8"/>
  <c r="I362" i="8"/>
  <c r="H362" i="8"/>
  <c r="B363" i="8"/>
  <c r="F362" i="8"/>
  <c r="E362" i="8"/>
  <c r="J362" i="8"/>
  <c r="K362" i="8"/>
  <c r="Q362" i="8"/>
  <c r="S367" i="8"/>
  <c r="T362" i="8"/>
  <c r="P362" i="8"/>
  <c r="R362" i="8"/>
  <c r="M361" i="8"/>
  <c r="N361" i="8"/>
  <c r="G363" i="8" l="1"/>
  <c r="H363" i="8"/>
  <c r="K363" i="8"/>
  <c r="I363" i="8"/>
  <c r="F363" i="8"/>
  <c r="E363" i="8"/>
  <c r="D363" i="8"/>
  <c r="J363" i="8"/>
  <c r="B364" i="8"/>
  <c r="L363" i="8"/>
  <c r="S368" i="8"/>
  <c r="T363" i="8"/>
  <c r="P363" i="8"/>
  <c r="R363" i="8"/>
  <c r="Q363" i="8"/>
  <c r="M362" i="8"/>
  <c r="N362" i="8"/>
  <c r="L364" i="8" l="1"/>
  <c r="K364" i="8"/>
  <c r="E364" i="8"/>
  <c r="F364" i="8"/>
  <c r="B365" i="8"/>
  <c r="J364" i="8"/>
  <c r="D364" i="8"/>
  <c r="I364" i="8"/>
  <c r="G364" i="8"/>
  <c r="H364" i="8"/>
  <c r="R364" i="8"/>
  <c r="Q364" i="8"/>
  <c r="S369" i="8"/>
  <c r="T364" i="8"/>
  <c r="P364" i="8"/>
  <c r="N363" i="8"/>
  <c r="M363" i="8"/>
  <c r="G365" i="8" l="1"/>
  <c r="L365" i="8"/>
  <c r="K365" i="8"/>
  <c r="E365" i="8"/>
  <c r="F365" i="8"/>
  <c r="I365" i="8"/>
  <c r="B366" i="8"/>
  <c r="H365" i="8"/>
  <c r="J365" i="8"/>
  <c r="D365" i="8"/>
  <c r="R365" i="8"/>
  <c r="Q365" i="8"/>
  <c r="T365" i="8"/>
  <c r="S370" i="8"/>
  <c r="P365" i="8"/>
  <c r="N364" i="8"/>
  <c r="M364" i="8"/>
  <c r="L366" i="8" l="1"/>
  <c r="G366" i="8"/>
  <c r="D366" i="8"/>
  <c r="I366" i="8"/>
  <c r="K366" i="8"/>
  <c r="E366" i="8"/>
  <c r="J366" i="8"/>
  <c r="H366" i="8"/>
  <c r="B367" i="8"/>
  <c r="F366" i="8"/>
  <c r="Q366" i="8"/>
  <c r="S371" i="8"/>
  <c r="T366" i="8"/>
  <c r="P366" i="8"/>
  <c r="R366" i="8"/>
  <c r="M365" i="8"/>
  <c r="N365" i="8"/>
  <c r="G367" i="8" l="1"/>
  <c r="H367" i="8"/>
  <c r="D367" i="8"/>
  <c r="L367" i="8"/>
  <c r="K367" i="8"/>
  <c r="I367" i="8"/>
  <c r="F367" i="8"/>
  <c r="E367" i="8"/>
  <c r="J367" i="8"/>
  <c r="B368" i="8"/>
  <c r="S372" i="8"/>
  <c r="T367" i="8"/>
  <c r="P367" i="8"/>
  <c r="R367" i="8"/>
  <c r="Q367" i="8"/>
  <c r="M366" i="8"/>
  <c r="N366" i="8"/>
  <c r="L368" i="8" l="1"/>
  <c r="K368" i="8"/>
  <c r="F368" i="8"/>
  <c r="E368" i="8"/>
  <c r="D368" i="8"/>
  <c r="I368" i="8"/>
  <c r="G368" i="8"/>
  <c r="H368" i="8"/>
  <c r="B369" i="8"/>
  <c r="J368" i="8"/>
  <c r="R368" i="8"/>
  <c r="Q368" i="8"/>
  <c r="S373" i="8"/>
  <c r="T368" i="8"/>
  <c r="P368" i="8"/>
  <c r="M367" i="8"/>
  <c r="N367" i="8"/>
  <c r="G369" i="8" l="1"/>
  <c r="L369" i="8"/>
  <c r="K369" i="8"/>
  <c r="E369" i="8"/>
  <c r="D369" i="8"/>
  <c r="F369" i="8"/>
  <c r="I369" i="8"/>
  <c r="B370" i="8"/>
  <c r="J369" i="8"/>
  <c r="H369" i="8"/>
  <c r="R369" i="8"/>
  <c r="Q369" i="8"/>
  <c r="S374" i="8"/>
  <c r="P369" i="8"/>
  <c r="T369" i="8"/>
  <c r="N368" i="8"/>
  <c r="M368" i="8"/>
  <c r="L370" i="8" l="1"/>
  <c r="G370" i="8"/>
  <c r="J370" i="8"/>
  <c r="D370" i="8"/>
  <c r="K370" i="8"/>
  <c r="E370" i="8"/>
  <c r="I370" i="8"/>
  <c r="H370" i="8"/>
  <c r="B371" i="8"/>
  <c r="F370" i="8"/>
  <c r="Q370" i="8"/>
  <c r="S375" i="8"/>
  <c r="T370" i="8"/>
  <c r="P370" i="8"/>
  <c r="R370" i="8"/>
  <c r="M369" i="8"/>
  <c r="N369" i="8"/>
  <c r="G371" i="8" l="1"/>
  <c r="H371" i="8"/>
  <c r="K371" i="8"/>
  <c r="I371" i="8"/>
  <c r="F371" i="8"/>
  <c r="E371" i="8"/>
  <c r="D371" i="8"/>
  <c r="J371" i="8"/>
  <c r="B372" i="8"/>
  <c r="L371" i="8"/>
  <c r="S376" i="8"/>
  <c r="T371" i="8"/>
  <c r="P371" i="8"/>
  <c r="R371" i="8"/>
  <c r="Q371" i="8"/>
  <c r="N370" i="8"/>
  <c r="M370" i="8"/>
  <c r="L372" i="8" l="1"/>
  <c r="K372" i="8"/>
  <c r="I372" i="8"/>
  <c r="E372" i="8"/>
  <c r="F372" i="8"/>
  <c r="D372" i="8"/>
  <c r="G372" i="8"/>
  <c r="H372" i="8"/>
  <c r="B373" i="8"/>
  <c r="J372" i="8"/>
  <c r="S377" i="8"/>
  <c r="R372" i="8"/>
  <c r="T372" i="8"/>
  <c r="Q372" i="8"/>
  <c r="P372" i="8"/>
  <c r="N371" i="8"/>
  <c r="M371" i="8"/>
  <c r="G373" i="8" l="1"/>
  <c r="L373" i="8"/>
  <c r="K373" i="8"/>
  <c r="E373" i="8"/>
  <c r="F373" i="8"/>
  <c r="I373" i="8"/>
  <c r="B374" i="8"/>
  <c r="J373" i="8"/>
  <c r="D373" i="8"/>
  <c r="H373" i="8"/>
  <c r="S378" i="8"/>
  <c r="R373" i="8"/>
  <c r="Q373" i="8"/>
  <c r="T373" i="8"/>
  <c r="P373" i="8"/>
  <c r="N372" i="8"/>
  <c r="M372" i="8"/>
  <c r="L374" i="8" l="1"/>
  <c r="G374" i="8"/>
  <c r="D374" i="8"/>
  <c r="I374" i="8"/>
  <c r="K374" i="8"/>
  <c r="E374" i="8"/>
  <c r="J374" i="8"/>
  <c r="H374" i="8"/>
  <c r="B375" i="8"/>
  <c r="F374" i="8"/>
  <c r="Q374" i="8"/>
  <c r="T374" i="8"/>
  <c r="P374" i="8"/>
  <c r="R374" i="8"/>
  <c r="S379" i="8"/>
  <c r="N373" i="8"/>
  <c r="M373" i="8"/>
  <c r="G375" i="8" l="1"/>
  <c r="H375" i="8"/>
  <c r="K375" i="8"/>
  <c r="I375" i="8"/>
  <c r="F375" i="8"/>
  <c r="E375" i="8"/>
  <c r="D375" i="8"/>
  <c r="J375" i="8"/>
  <c r="B376" i="8"/>
  <c r="L375" i="8"/>
  <c r="R375" i="8"/>
  <c r="Q375" i="8"/>
  <c r="T375" i="8"/>
  <c r="P375" i="8"/>
  <c r="S380" i="8"/>
  <c r="M374" i="8"/>
  <c r="N374" i="8"/>
  <c r="L376" i="8" l="1"/>
  <c r="K376" i="8"/>
  <c r="E376" i="8"/>
  <c r="F376" i="8"/>
  <c r="D376" i="8"/>
  <c r="I376" i="8"/>
  <c r="G376" i="8"/>
  <c r="H376" i="8"/>
  <c r="B377" i="8"/>
  <c r="J376" i="8"/>
  <c r="Q376" i="8"/>
  <c r="S381" i="8"/>
  <c r="T376" i="8"/>
  <c r="P376" i="8"/>
  <c r="R376" i="8"/>
  <c r="N375" i="8"/>
  <c r="M375" i="8"/>
  <c r="G377" i="8" l="1"/>
  <c r="L377" i="8"/>
  <c r="K377" i="8"/>
  <c r="E377" i="8"/>
  <c r="F377" i="8"/>
  <c r="I377" i="8"/>
  <c r="B378" i="8"/>
  <c r="J377" i="8"/>
  <c r="D377" i="8"/>
  <c r="H377" i="8"/>
  <c r="S382" i="8"/>
  <c r="T377" i="8"/>
  <c r="P377" i="8"/>
  <c r="R377" i="8"/>
  <c r="Q377" i="8"/>
  <c r="M376" i="8"/>
  <c r="N376" i="8"/>
  <c r="L378" i="8" l="1"/>
  <c r="G378" i="8"/>
  <c r="E378" i="8"/>
  <c r="J378" i="8"/>
  <c r="D378" i="8"/>
  <c r="I378" i="8"/>
  <c r="K378" i="8"/>
  <c r="H378" i="8"/>
  <c r="B379" i="8"/>
  <c r="F378" i="8"/>
  <c r="R378" i="8"/>
  <c r="Q378" i="8"/>
  <c r="S383" i="8"/>
  <c r="P378" i="8"/>
  <c r="T378" i="8"/>
  <c r="N377" i="8"/>
  <c r="M377" i="8"/>
  <c r="G379" i="8" l="1"/>
  <c r="H379" i="8"/>
  <c r="K379" i="8"/>
  <c r="I379" i="8"/>
  <c r="F379" i="8"/>
  <c r="E379" i="8"/>
  <c r="D379" i="8"/>
  <c r="J379" i="8"/>
  <c r="B380" i="8"/>
  <c r="L379" i="8"/>
  <c r="R379" i="8"/>
  <c r="Q379" i="8"/>
  <c r="S384" i="8"/>
  <c r="P379" i="8"/>
  <c r="T379" i="8"/>
  <c r="M378" i="8"/>
  <c r="N378" i="8"/>
  <c r="L380" i="8" l="1"/>
  <c r="K380" i="8"/>
  <c r="E380" i="8"/>
  <c r="F380" i="8"/>
  <c r="D380" i="8"/>
  <c r="I380" i="8"/>
  <c r="G380" i="8"/>
  <c r="H380" i="8"/>
  <c r="B381" i="8"/>
  <c r="J380" i="8"/>
  <c r="Q380" i="8"/>
  <c r="S385" i="8"/>
  <c r="T380" i="8"/>
  <c r="P380" i="8"/>
  <c r="R380" i="8"/>
  <c r="M379" i="8"/>
  <c r="N379" i="8"/>
  <c r="G381" i="8" l="1"/>
  <c r="L381" i="8"/>
  <c r="K381" i="8"/>
  <c r="E381" i="8"/>
  <c r="F381" i="8"/>
  <c r="I381" i="8"/>
  <c r="B382" i="8"/>
  <c r="J381" i="8"/>
  <c r="D381" i="8"/>
  <c r="H381" i="8"/>
  <c r="S386" i="8"/>
  <c r="T381" i="8"/>
  <c r="P381" i="8"/>
  <c r="R381" i="8"/>
  <c r="Q381" i="8"/>
  <c r="N380" i="8"/>
  <c r="M380" i="8"/>
  <c r="L382" i="8" l="1"/>
  <c r="G382" i="8"/>
  <c r="E382" i="8"/>
  <c r="J382" i="8"/>
  <c r="D382" i="8"/>
  <c r="I382" i="8"/>
  <c r="K382" i="8"/>
  <c r="H382" i="8"/>
  <c r="B383" i="8"/>
  <c r="F382" i="8"/>
  <c r="R382" i="8"/>
  <c r="T382" i="8"/>
  <c r="S387" i="8"/>
  <c r="Q382" i="8"/>
  <c r="P382" i="8"/>
  <c r="N381" i="8"/>
  <c r="M381" i="8"/>
  <c r="G383" i="8" l="1"/>
  <c r="H383" i="8"/>
  <c r="K383" i="8"/>
  <c r="I383" i="8"/>
  <c r="F383" i="8"/>
  <c r="E383" i="8"/>
  <c r="D383" i="8"/>
  <c r="J383" i="8"/>
  <c r="B384" i="8"/>
  <c r="L383" i="8"/>
  <c r="R383" i="8"/>
  <c r="Q383" i="8"/>
  <c r="T383" i="8"/>
  <c r="S388" i="8"/>
  <c r="P383" i="8"/>
  <c r="N382" i="8"/>
  <c r="M382" i="8"/>
  <c r="L384" i="8" l="1"/>
  <c r="K384" i="8"/>
  <c r="E384" i="8"/>
  <c r="F384" i="8"/>
  <c r="D384" i="8"/>
  <c r="I384" i="8"/>
  <c r="G384" i="8"/>
  <c r="H384" i="8"/>
  <c r="B385" i="8"/>
  <c r="J384" i="8"/>
  <c r="Q384" i="8"/>
  <c r="S389" i="8"/>
  <c r="T384" i="8"/>
  <c r="P384" i="8"/>
  <c r="R384" i="8"/>
  <c r="N383" i="8"/>
  <c r="M383" i="8"/>
  <c r="K385" i="8" l="1"/>
  <c r="E385" i="8"/>
  <c r="F385" i="8"/>
  <c r="I385" i="8"/>
  <c r="B386" i="8"/>
  <c r="J385" i="8"/>
  <c r="D385" i="8"/>
  <c r="H385" i="8"/>
  <c r="G385" i="8"/>
  <c r="L385" i="8"/>
  <c r="S390" i="8"/>
  <c r="T385" i="8"/>
  <c r="P385" i="8"/>
  <c r="R385" i="8"/>
  <c r="Q385" i="8"/>
  <c r="M384" i="8"/>
  <c r="N384" i="8"/>
  <c r="L386" i="8" l="1"/>
  <c r="G386" i="8"/>
  <c r="E386" i="8"/>
  <c r="J386" i="8"/>
  <c r="D386" i="8"/>
  <c r="I386" i="8"/>
  <c r="K386" i="8"/>
  <c r="H386" i="8"/>
  <c r="B387" i="8"/>
  <c r="F386" i="8"/>
  <c r="R386" i="8"/>
  <c r="Q386" i="8"/>
  <c r="S391" i="8"/>
  <c r="P386" i="8"/>
  <c r="T386" i="8"/>
  <c r="M385" i="8"/>
  <c r="N385" i="8"/>
  <c r="G387" i="8" l="1"/>
  <c r="H387" i="8"/>
  <c r="F387" i="8"/>
  <c r="E387" i="8"/>
  <c r="D387" i="8"/>
  <c r="K387" i="8"/>
  <c r="I387" i="8"/>
  <c r="J387" i="8"/>
  <c r="B388" i="8"/>
  <c r="L387" i="8"/>
  <c r="R387" i="8"/>
  <c r="Q387" i="8"/>
  <c r="S392" i="8"/>
  <c r="P387" i="8"/>
  <c r="T387" i="8"/>
  <c r="M386" i="8"/>
  <c r="N386" i="8"/>
  <c r="L388" i="8" l="1"/>
  <c r="F388" i="8"/>
  <c r="D388" i="8"/>
  <c r="J388" i="8"/>
  <c r="E388" i="8"/>
  <c r="G388" i="8"/>
  <c r="I388" i="8"/>
  <c r="H388" i="8"/>
  <c r="B389" i="8"/>
  <c r="K388" i="8"/>
  <c r="Q388" i="8"/>
  <c r="S393" i="8"/>
  <c r="T388" i="8"/>
  <c r="P388" i="8"/>
  <c r="R388" i="8"/>
  <c r="N387" i="8"/>
  <c r="M387" i="8"/>
  <c r="G389" i="8" l="1"/>
  <c r="L389" i="8"/>
  <c r="K389" i="8"/>
  <c r="E389" i="8"/>
  <c r="F389" i="8"/>
  <c r="I389" i="8"/>
  <c r="B390" i="8"/>
  <c r="J389" i="8"/>
  <c r="H389" i="8"/>
  <c r="D389" i="8"/>
  <c r="S394" i="8"/>
  <c r="T389" i="8"/>
  <c r="P389" i="8"/>
  <c r="R389" i="8"/>
  <c r="Q389" i="8"/>
  <c r="N388" i="8"/>
  <c r="M388" i="8"/>
  <c r="L390" i="8" l="1"/>
  <c r="G390" i="8"/>
  <c r="E390" i="8"/>
  <c r="J390" i="8"/>
  <c r="D390" i="8"/>
  <c r="I390" i="8"/>
  <c r="K390" i="8"/>
  <c r="H390" i="8"/>
  <c r="B391" i="8"/>
  <c r="F390" i="8"/>
  <c r="R390" i="8"/>
  <c r="T390" i="8"/>
  <c r="Q390" i="8"/>
  <c r="P390" i="8"/>
  <c r="S395" i="8"/>
  <c r="N389" i="8"/>
  <c r="M389" i="8"/>
  <c r="G391" i="8" l="1"/>
  <c r="H391" i="8"/>
  <c r="K391" i="8"/>
  <c r="I391" i="8"/>
  <c r="F391" i="8"/>
  <c r="E391" i="8"/>
  <c r="D391" i="8"/>
  <c r="J391" i="8"/>
  <c r="B392" i="8"/>
  <c r="L391" i="8"/>
  <c r="R391" i="8"/>
  <c r="Q391" i="8"/>
  <c r="T391" i="8"/>
  <c r="P391" i="8"/>
  <c r="S396" i="8"/>
  <c r="N390" i="8"/>
  <c r="M390" i="8"/>
  <c r="L392" i="8" l="1"/>
  <c r="K392" i="8"/>
  <c r="I392" i="8"/>
  <c r="H392" i="8"/>
  <c r="B393" i="8"/>
  <c r="J392" i="8"/>
  <c r="E392" i="8"/>
  <c r="F392" i="8"/>
  <c r="D392" i="8"/>
  <c r="G392" i="8"/>
  <c r="Q392" i="8"/>
  <c r="S397" i="8"/>
  <c r="T392" i="8"/>
  <c r="P392" i="8"/>
  <c r="R392" i="8"/>
  <c r="N391" i="8"/>
  <c r="M391" i="8"/>
  <c r="G393" i="8" l="1"/>
  <c r="L393" i="8"/>
  <c r="I393" i="8"/>
  <c r="J393" i="8"/>
  <c r="D393" i="8"/>
  <c r="H393" i="8"/>
  <c r="K393" i="8"/>
  <c r="E393" i="8"/>
  <c r="F393" i="8"/>
  <c r="B394" i="8"/>
  <c r="S398" i="8"/>
  <c r="T393" i="8"/>
  <c r="P393" i="8"/>
  <c r="R393" i="8"/>
  <c r="Q393" i="8"/>
  <c r="M392" i="8"/>
  <c r="N392" i="8"/>
  <c r="L394" i="8" l="1"/>
  <c r="G394" i="8"/>
  <c r="B395" i="8"/>
  <c r="E394" i="8"/>
  <c r="J394" i="8"/>
  <c r="D394" i="8"/>
  <c r="I394" i="8"/>
  <c r="K394" i="8"/>
  <c r="H394" i="8"/>
  <c r="F394" i="8"/>
  <c r="R394" i="8"/>
  <c r="Q394" i="8"/>
  <c r="S399" i="8"/>
  <c r="P394" i="8"/>
  <c r="T394" i="8"/>
  <c r="M393" i="8"/>
  <c r="N393" i="8"/>
  <c r="G395" i="8" l="1"/>
  <c r="H395" i="8"/>
  <c r="K395" i="8"/>
  <c r="I395" i="8"/>
  <c r="F395" i="8"/>
  <c r="E395" i="8"/>
  <c r="D395" i="8"/>
  <c r="J395" i="8"/>
  <c r="B396" i="8"/>
  <c r="L395" i="8"/>
  <c r="R395" i="8"/>
  <c r="Q395" i="8"/>
  <c r="S400" i="8"/>
  <c r="P395" i="8"/>
  <c r="T395" i="8"/>
  <c r="M394" i="8"/>
  <c r="N394" i="8"/>
  <c r="L396" i="8" l="1"/>
  <c r="K396" i="8"/>
  <c r="D396" i="8"/>
  <c r="I396" i="8"/>
  <c r="H396" i="8"/>
  <c r="B397" i="8"/>
  <c r="J396" i="8"/>
  <c r="E396" i="8"/>
  <c r="F396" i="8"/>
  <c r="G396" i="8"/>
  <c r="Q396" i="8"/>
  <c r="S401" i="8"/>
  <c r="T396" i="8"/>
  <c r="P396" i="8"/>
  <c r="R396" i="8"/>
  <c r="M395" i="8"/>
  <c r="N395" i="8"/>
  <c r="G397" i="8" l="1"/>
  <c r="L397" i="8"/>
  <c r="F397" i="8"/>
  <c r="I397" i="8"/>
  <c r="J397" i="8"/>
  <c r="D397" i="8"/>
  <c r="H397" i="8"/>
  <c r="K397" i="8"/>
  <c r="E397" i="8"/>
  <c r="B398" i="8"/>
  <c r="S402" i="8"/>
  <c r="T397" i="8"/>
  <c r="P397" i="8"/>
  <c r="R397" i="8"/>
  <c r="Q397" i="8"/>
  <c r="N396" i="8"/>
  <c r="M396" i="8"/>
  <c r="L398" i="8" l="1"/>
  <c r="G398" i="8"/>
  <c r="E398" i="8"/>
  <c r="J398" i="8"/>
  <c r="I398" i="8"/>
  <c r="D398" i="8"/>
  <c r="K398" i="8"/>
  <c r="H398" i="8"/>
  <c r="B399" i="8"/>
  <c r="F398" i="8"/>
  <c r="R398" i="8"/>
  <c r="T398" i="8"/>
  <c r="S403" i="8"/>
  <c r="Q398" i="8"/>
  <c r="P398" i="8"/>
  <c r="N397" i="8"/>
  <c r="M397" i="8"/>
  <c r="G399" i="8" l="1"/>
  <c r="B400" i="8"/>
  <c r="F399" i="8"/>
  <c r="L399" i="8"/>
  <c r="D399" i="8"/>
  <c r="J399" i="8"/>
  <c r="H399" i="8"/>
  <c r="E399" i="8"/>
  <c r="I399" i="8"/>
  <c r="K399" i="8"/>
  <c r="R399" i="8"/>
  <c r="Q399" i="8"/>
  <c r="T399" i="8"/>
  <c r="S404" i="8"/>
  <c r="P399" i="8"/>
  <c r="N398" i="8"/>
  <c r="M398" i="8"/>
  <c r="G400" i="8" l="1"/>
  <c r="L400" i="8"/>
  <c r="J400" i="8"/>
  <c r="H400" i="8"/>
  <c r="K400" i="8"/>
  <c r="E400" i="8"/>
  <c r="F400" i="8"/>
  <c r="D400" i="8"/>
  <c r="I400" i="8"/>
  <c r="B401" i="8"/>
  <c r="Q400" i="8"/>
  <c r="S405" i="8"/>
  <c r="T400" i="8"/>
  <c r="P400" i="8"/>
  <c r="R400" i="8"/>
  <c r="N399" i="8"/>
  <c r="M399" i="8"/>
  <c r="E401" i="8" l="1"/>
  <c r="J401" i="8"/>
  <c r="H401" i="8"/>
  <c r="K401" i="8"/>
  <c r="L401" i="8"/>
  <c r="F401" i="8"/>
  <c r="D401" i="8"/>
  <c r="I401" i="8"/>
  <c r="G401" i="8"/>
  <c r="B402" i="8"/>
  <c r="S406" i="8"/>
  <c r="T401" i="8"/>
  <c r="P401" i="8"/>
  <c r="R401" i="8"/>
  <c r="Q401" i="8"/>
  <c r="N400" i="8"/>
  <c r="M400" i="8"/>
  <c r="G402" i="8" l="1"/>
  <c r="L402" i="8"/>
  <c r="H402" i="8"/>
  <c r="K402" i="8"/>
  <c r="E402" i="8"/>
  <c r="J402" i="8"/>
  <c r="F402" i="8"/>
  <c r="D402" i="8"/>
  <c r="I402" i="8"/>
  <c r="B403" i="8"/>
  <c r="R402" i="8"/>
  <c r="Q402" i="8"/>
  <c r="S407" i="8"/>
  <c r="P402" i="8"/>
  <c r="T402" i="8"/>
  <c r="N401" i="8"/>
  <c r="M401" i="8"/>
  <c r="L403" i="8" l="1"/>
  <c r="F403" i="8"/>
  <c r="K403" i="8"/>
  <c r="E403" i="8"/>
  <c r="J403" i="8"/>
  <c r="D403" i="8"/>
  <c r="I403" i="8"/>
  <c r="G403" i="8"/>
  <c r="H403" i="8"/>
  <c r="B404" i="8"/>
  <c r="R403" i="8"/>
  <c r="Q403" i="8"/>
  <c r="S408" i="8"/>
  <c r="P403" i="8"/>
  <c r="T403" i="8"/>
  <c r="M402" i="8"/>
  <c r="N402" i="8"/>
  <c r="G404" i="8" l="1"/>
  <c r="L404" i="8"/>
  <c r="K404" i="8"/>
  <c r="E404" i="8"/>
  <c r="J404" i="8"/>
  <c r="H404" i="8"/>
  <c r="F404" i="8"/>
  <c r="D404" i="8"/>
  <c r="I404" i="8"/>
  <c r="B405" i="8"/>
  <c r="Q404" i="8"/>
  <c r="S409" i="8"/>
  <c r="T404" i="8"/>
  <c r="P404" i="8"/>
  <c r="R404" i="8"/>
  <c r="N403" i="8"/>
  <c r="M403" i="8"/>
  <c r="L405" i="8" l="1"/>
  <c r="F405" i="8"/>
  <c r="E405" i="8"/>
  <c r="J405" i="8"/>
  <c r="H405" i="8"/>
  <c r="B406" i="8"/>
  <c r="K405" i="8"/>
  <c r="D405" i="8"/>
  <c r="I405" i="8"/>
  <c r="G405" i="8"/>
  <c r="S410" i="8"/>
  <c r="T405" i="8"/>
  <c r="P405" i="8"/>
  <c r="R405" i="8"/>
  <c r="Q405" i="8"/>
  <c r="N404" i="8"/>
  <c r="M404" i="8"/>
  <c r="G406" i="8" l="1"/>
  <c r="L406" i="8"/>
  <c r="K406" i="8"/>
  <c r="E406" i="8"/>
  <c r="H406" i="8"/>
  <c r="F406" i="8"/>
  <c r="D406" i="8"/>
  <c r="I406" i="8"/>
  <c r="J406" i="8"/>
  <c r="B407" i="8"/>
  <c r="R406" i="8"/>
  <c r="T406" i="8"/>
  <c r="Q406" i="8"/>
  <c r="P406" i="8"/>
  <c r="S411" i="8"/>
  <c r="N405" i="8"/>
  <c r="M405" i="8"/>
  <c r="L407" i="8" l="1"/>
  <c r="F407" i="8"/>
  <c r="E407" i="8"/>
  <c r="J407" i="8"/>
  <c r="B408" i="8"/>
  <c r="D407" i="8"/>
  <c r="I407" i="8"/>
  <c r="G407" i="8"/>
  <c r="H407" i="8"/>
  <c r="K407" i="8"/>
  <c r="R407" i="8"/>
  <c r="Q407" i="8"/>
  <c r="T407" i="8"/>
  <c r="P407" i="8"/>
  <c r="S412" i="8"/>
  <c r="N406" i="8"/>
  <c r="M406" i="8"/>
  <c r="G408" i="8" l="1"/>
  <c r="L408" i="8"/>
  <c r="K408" i="8"/>
  <c r="E408" i="8"/>
  <c r="J408" i="8"/>
  <c r="H408" i="8"/>
  <c r="B409" i="8"/>
  <c r="F408" i="8"/>
  <c r="D408" i="8"/>
  <c r="I408" i="8"/>
  <c r="Q408" i="8"/>
  <c r="S413" i="8"/>
  <c r="T408" i="8"/>
  <c r="P408" i="8"/>
  <c r="R408" i="8"/>
  <c r="N407" i="8"/>
  <c r="M407" i="8"/>
  <c r="L409" i="8" l="1"/>
  <c r="F409" i="8"/>
  <c r="E409" i="8"/>
  <c r="J409" i="8"/>
  <c r="B410" i="8"/>
  <c r="D409" i="8"/>
  <c r="I409" i="8"/>
  <c r="G409" i="8"/>
  <c r="H409" i="8"/>
  <c r="K409" i="8"/>
  <c r="S414" i="8"/>
  <c r="T409" i="8"/>
  <c r="P409" i="8"/>
  <c r="R409" i="8"/>
  <c r="Q409" i="8"/>
  <c r="M408" i="8"/>
  <c r="N408" i="8"/>
  <c r="G410" i="8" l="1"/>
  <c r="L410" i="8"/>
  <c r="K410" i="8"/>
  <c r="E410" i="8"/>
  <c r="J410" i="8"/>
  <c r="B411" i="8"/>
  <c r="F410" i="8"/>
  <c r="D410" i="8"/>
  <c r="I410" i="8"/>
  <c r="H410" i="8"/>
  <c r="R410" i="8"/>
  <c r="Q410" i="8"/>
  <c r="S415" i="8"/>
  <c r="P410" i="8"/>
  <c r="T410" i="8"/>
  <c r="N409" i="8"/>
  <c r="M409" i="8"/>
  <c r="L411" i="8" l="1"/>
  <c r="F411" i="8"/>
  <c r="E411" i="8"/>
  <c r="J411" i="8"/>
  <c r="H411" i="8"/>
  <c r="B412" i="8"/>
  <c r="K411" i="8"/>
  <c r="D411" i="8"/>
  <c r="I411" i="8"/>
  <c r="G411" i="8"/>
  <c r="R411" i="8"/>
  <c r="Q411" i="8"/>
  <c r="S416" i="8"/>
  <c r="P411" i="8"/>
  <c r="T411" i="8"/>
  <c r="M410" i="8"/>
  <c r="N410" i="8"/>
  <c r="G412" i="8" l="1"/>
  <c r="K412" i="8"/>
  <c r="E412" i="8"/>
  <c r="B413" i="8"/>
  <c r="L412" i="8"/>
  <c r="F412" i="8"/>
  <c r="D412" i="8"/>
  <c r="I412" i="8"/>
  <c r="J412" i="8"/>
  <c r="H412" i="8"/>
  <c r="Q412" i="8"/>
  <c r="S417" i="8"/>
  <c r="T412" i="8"/>
  <c r="P412" i="8"/>
  <c r="R412" i="8"/>
  <c r="M411" i="8"/>
  <c r="N411" i="8"/>
  <c r="L413" i="8" l="1"/>
  <c r="F413" i="8"/>
  <c r="E413" i="8"/>
  <c r="J413" i="8"/>
  <c r="H413" i="8"/>
  <c r="K413" i="8"/>
  <c r="D413" i="8"/>
  <c r="I413" i="8"/>
  <c r="G413" i="8"/>
  <c r="B414" i="8"/>
  <c r="S418" i="8"/>
  <c r="T413" i="8"/>
  <c r="P413" i="8"/>
  <c r="R413" i="8"/>
  <c r="Q413" i="8"/>
  <c r="N412" i="8"/>
  <c r="M412" i="8"/>
  <c r="G414" i="8" l="1"/>
  <c r="L414" i="8"/>
  <c r="K414" i="8"/>
  <c r="E414" i="8"/>
  <c r="J414" i="8"/>
  <c r="B415" i="8"/>
  <c r="F414" i="8"/>
  <c r="D414" i="8"/>
  <c r="I414" i="8"/>
  <c r="H414" i="8"/>
  <c r="R414" i="8"/>
  <c r="T414" i="8"/>
  <c r="S419" i="8"/>
  <c r="Q414" i="8"/>
  <c r="P414" i="8"/>
  <c r="N413" i="8"/>
  <c r="M413" i="8"/>
  <c r="E415" i="8" l="1"/>
  <c r="J415" i="8"/>
  <c r="I415" i="8"/>
  <c r="G415" i="8"/>
  <c r="H415" i="8"/>
  <c r="B416" i="8"/>
  <c r="K415" i="8"/>
  <c r="L415" i="8"/>
  <c r="F415" i="8"/>
  <c r="D415" i="8"/>
  <c r="R415" i="8"/>
  <c r="Q415" i="8"/>
  <c r="T415" i="8"/>
  <c r="S420" i="8"/>
  <c r="P415" i="8"/>
  <c r="N414" i="8"/>
  <c r="M414" i="8"/>
  <c r="G416" i="8" l="1"/>
  <c r="L416" i="8"/>
  <c r="K416" i="8"/>
  <c r="E416" i="8"/>
  <c r="J416" i="8"/>
  <c r="B417" i="8"/>
  <c r="F416" i="8"/>
  <c r="D416" i="8"/>
  <c r="I416" i="8"/>
  <c r="H416" i="8"/>
  <c r="Q416" i="8"/>
  <c r="S421" i="8"/>
  <c r="T416" i="8"/>
  <c r="P416" i="8"/>
  <c r="R416" i="8"/>
  <c r="N415" i="8"/>
  <c r="M415" i="8"/>
  <c r="E417" i="8" l="1"/>
  <c r="J417" i="8"/>
  <c r="I417" i="8"/>
  <c r="G417" i="8"/>
  <c r="F417" i="8"/>
  <c r="D417" i="8"/>
  <c r="B418" i="8"/>
  <c r="K417" i="8"/>
  <c r="H417" i="8"/>
  <c r="L417" i="8"/>
  <c r="S422" i="8"/>
  <c r="T417" i="8"/>
  <c r="P417" i="8"/>
  <c r="R417" i="8"/>
  <c r="Q417" i="8"/>
  <c r="M416" i="8"/>
  <c r="N416" i="8"/>
  <c r="K418" i="8" l="1"/>
  <c r="E418" i="8"/>
  <c r="D418" i="8"/>
  <c r="I418" i="8"/>
  <c r="F418" i="8"/>
  <c r="H418" i="8"/>
  <c r="B419" i="8"/>
  <c r="G418" i="8"/>
  <c r="L418" i="8"/>
  <c r="J418" i="8"/>
  <c r="R418" i="8"/>
  <c r="Q418" i="8"/>
  <c r="S423" i="8"/>
  <c r="P418" i="8"/>
  <c r="T418" i="8"/>
  <c r="M417" i="8"/>
  <c r="N417" i="8"/>
  <c r="E419" i="8" l="1"/>
  <c r="G419" i="8"/>
  <c r="I419" i="8"/>
  <c r="K419" i="8"/>
  <c r="L419" i="8"/>
  <c r="D419" i="8"/>
  <c r="F419" i="8"/>
  <c r="H419" i="8"/>
  <c r="J419" i="8"/>
  <c r="B420" i="8"/>
  <c r="R419" i="8"/>
  <c r="Q419" i="8"/>
  <c r="S424" i="8"/>
  <c r="P419" i="8"/>
  <c r="T419" i="8"/>
  <c r="M418" i="8"/>
  <c r="N418" i="8"/>
  <c r="L420" i="8" l="1"/>
  <c r="J420" i="8"/>
  <c r="K420" i="8"/>
  <c r="E420" i="8"/>
  <c r="F420" i="8"/>
  <c r="D420" i="8"/>
  <c r="I420" i="8"/>
  <c r="G420" i="8"/>
  <c r="H420" i="8"/>
  <c r="B421" i="8"/>
  <c r="Q420" i="8"/>
  <c r="S425" i="8"/>
  <c r="T420" i="8"/>
  <c r="P420" i="8"/>
  <c r="R420" i="8"/>
  <c r="N419" i="8"/>
  <c r="M419" i="8"/>
  <c r="G421" i="8" l="1"/>
  <c r="B422" i="8"/>
  <c r="J421" i="8"/>
  <c r="L421" i="8"/>
  <c r="K421" i="8"/>
  <c r="I421" i="8"/>
  <c r="E421" i="8"/>
  <c r="F421" i="8"/>
  <c r="H421" i="8"/>
  <c r="D421" i="8"/>
  <c r="S426" i="8"/>
  <c r="T421" i="8"/>
  <c r="P421" i="8"/>
  <c r="R421" i="8"/>
  <c r="Q421" i="8"/>
  <c r="M420" i="8"/>
  <c r="N420" i="8"/>
  <c r="L422" i="8" l="1"/>
  <c r="F422" i="8"/>
  <c r="E422" i="8"/>
  <c r="G422" i="8"/>
  <c r="B423" i="8"/>
  <c r="K422" i="8"/>
  <c r="D422" i="8"/>
  <c r="I422" i="8"/>
  <c r="J422" i="8"/>
  <c r="H422" i="8"/>
  <c r="R422" i="8"/>
  <c r="T422" i="8"/>
  <c r="Q422" i="8"/>
  <c r="P422" i="8"/>
  <c r="S427" i="8"/>
  <c r="N421" i="8"/>
  <c r="M421" i="8"/>
  <c r="G423" i="8" l="1"/>
  <c r="H423" i="8"/>
  <c r="K423" i="8"/>
  <c r="I423" i="8"/>
  <c r="J423" i="8"/>
  <c r="L423" i="8"/>
  <c r="B424" i="8"/>
  <c r="F423" i="8"/>
  <c r="D423" i="8"/>
  <c r="E423" i="8"/>
  <c r="R423" i="8"/>
  <c r="Q423" i="8"/>
  <c r="T423" i="8"/>
  <c r="P423" i="8"/>
  <c r="S428" i="8"/>
  <c r="N422" i="8"/>
  <c r="M422" i="8"/>
  <c r="L424" i="8" l="1"/>
  <c r="J424" i="8"/>
  <c r="E424" i="8"/>
  <c r="K424" i="8"/>
  <c r="G424" i="8"/>
  <c r="D424" i="8"/>
  <c r="I424" i="8"/>
  <c r="F424" i="8"/>
  <c r="H424" i="8"/>
  <c r="B425" i="8"/>
  <c r="Q424" i="8"/>
  <c r="S429" i="8"/>
  <c r="T424" i="8"/>
  <c r="P424" i="8"/>
  <c r="R424" i="8"/>
  <c r="N423" i="8"/>
  <c r="M423" i="8"/>
  <c r="G425" i="8" l="1"/>
  <c r="E425" i="8"/>
  <c r="K425" i="8"/>
  <c r="I425" i="8"/>
  <c r="J425" i="8"/>
  <c r="B426" i="8"/>
  <c r="F425" i="8"/>
  <c r="H425" i="8"/>
  <c r="L425" i="8"/>
  <c r="D425" i="8"/>
  <c r="S430" i="8"/>
  <c r="T425" i="8"/>
  <c r="P425" i="8"/>
  <c r="R425" i="8"/>
  <c r="Q425" i="8"/>
  <c r="N424" i="8"/>
  <c r="M424" i="8"/>
  <c r="L426" i="8" l="1"/>
  <c r="F426" i="8"/>
  <c r="E426" i="8"/>
  <c r="J426" i="8"/>
  <c r="H426" i="8"/>
  <c r="G426" i="8"/>
  <c r="D426" i="8"/>
  <c r="I426" i="8"/>
  <c r="K426" i="8"/>
  <c r="B427" i="8"/>
  <c r="R426" i="8"/>
  <c r="Q426" i="8"/>
  <c r="S431" i="8"/>
  <c r="P426" i="8"/>
  <c r="T426" i="8"/>
  <c r="M425" i="8"/>
  <c r="N425" i="8"/>
  <c r="G427" i="8" l="1"/>
  <c r="E427" i="8"/>
  <c r="J427" i="8"/>
  <c r="L427" i="8"/>
  <c r="K427" i="8"/>
  <c r="B428" i="8"/>
  <c r="I427" i="8"/>
  <c r="F427" i="8"/>
  <c r="D427" i="8"/>
  <c r="H427" i="8"/>
  <c r="R427" i="8"/>
  <c r="Q427" i="8"/>
  <c r="S432" i="8"/>
  <c r="P427" i="8"/>
  <c r="T427" i="8"/>
  <c r="M426" i="8"/>
  <c r="N426" i="8"/>
  <c r="L428" i="8" l="1"/>
  <c r="J428" i="8"/>
  <c r="E428" i="8"/>
  <c r="B429" i="8"/>
  <c r="F428" i="8"/>
  <c r="D428" i="8"/>
  <c r="I428" i="8"/>
  <c r="G428" i="8"/>
  <c r="H428" i="8"/>
  <c r="K428" i="8"/>
  <c r="S433" i="8"/>
  <c r="Q428" i="8"/>
  <c r="T428" i="8"/>
  <c r="P428" i="8"/>
  <c r="R428" i="8"/>
  <c r="M427" i="8"/>
  <c r="N427" i="8"/>
  <c r="G429" i="8" l="1"/>
  <c r="B430" i="8"/>
  <c r="L429" i="8"/>
  <c r="K429" i="8"/>
  <c r="I429" i="8"/>
  <c r="J429" i="8"/>
  <c r="E429" i="8"/>
  <c r="F429" i="8"/>
  <c r="H429" i="8"/>
  <c r="D429" i="8"/>
  <c r="T429" i="8"/>
  <c r="P429" i="8"/>
  <c r="R429" i="8"/>
  <c r="S434" i="8"/>
  <c r="Q429" i="8"/>
  <c r="N428" i="8"/>
  <c r="M428" i="8"/>
  <c r="L430" i="8" l="1"/>
  <c r="F430" i="8"/>
  <c r="E430" i="8"/>
  <c r="G430" i="8"/>
  <c r="D430" i="8"/>
  <c r="I430" i="8"/>
  <c r="J430" i="8"/>
  <c r="H430" i="8"/>
  <c r="B431" i="8"/>
  <c r="K430" i="8"/>
  <c r="R430" i="8"/>
  <c r="S435" i="8"/>
  <c r="T430" i="8"/>
  <c r="Q430" i="8"/>
  <c r="P430" i="8"/>
  <c r="N429" i="8"/>
  <c r="M429" i="8"/>
  <c r="G431" i="8" l="1"/>
  <c r="H431" i="8"/>
  <c r="K431" i="8"/>
  <c r="I431" i="8"/>
  <c r="L431" i="8"/>
  <c r="F431" i="8"/>
  <c r="D431" i="8"/>
  <c r="E431" i="8"/>
  <c r="J431" i="8"/>
  <c r="B432" i="8"/>
  <c r="S436" i="8"/>
  <c r="R431" i="8"/>
  <c r="Q431" i="8"/>
  <c r="T431" i="8"/>
  <c r="P431" i="8"/>
  <c r="N430" i="8"/>
  <c r="M430" i="8"/>
  <c r="L432" i="8" l="1"/>
  <c r="J432" i="8"/>
  <c r="G432" i="8"/>
  <c r="E432" i="8"/>
  <c r="K432" i="8"/>
  <c r="H432" i="8"/>
  <c r="D432" i="8"/>
  <c r="I432" i="8"/>
  <c r="F432" i="8"/>
  <c r="B433" i="8"/>
  <c r="S437" i="8"/>
  <c r="Q432" i="8"/>
  <c r="T432" i="8"/>
  <c r="P432" i="8"/>
  <c r="R432" i="8"/>
  <c r="N431" i="8"/>
  <c r="M431" i="8"/>
  <c r="G433" i="8" l="1"/>
  <c r="E433" i="8"/>
  <c r="J433" i="8"/>
  <c r="D433" i="8"/>
  <c r="B434" i="8"/>
  <c r="K433" i="8"/>
  <c r="I433" i="8"/>
  <c r="F433" i="8"/>
  <c r="H433" i="8"/>
  <c r="L433" i="8"/>
  <c r="R433" i="8"/>
  <c r="S438" i="8"/>
  <c r="Q433" i="8"/>
  <c r="T433" i="8"/>
  <c r="P433" i="8"/>
  <c r="N432" i="8"/>
  <c r="M432" i="8"/>
  <c r="L434" i="8" l="1"/>
  <c r="F434" i="8"/>
  <c r="E434" i="8"/>
  <c r="J434" i="8"/>
  <c r="H434" i="8"/>
  <c r="B435" i="8"/>
  <c r="D434" i="8"/>
  <c r="I434" i="8"/>
  <c r="K434" i="8"/>
  <c r="G434" i="8"/>
  <c r="R434" i="8"/>
  <c r="S439" i="8"/>
  <c r="Q434" i="8"/>
  <c r="P434" i="8"/>
  <c r="T434" i="8"/>
  <c r="N433" i="8"/>
  <c r="M433" i="8"/>
  <c r="G435" i="8" l="1"/>
  <c r="E435" i="8"/>
  <c r="K435" i="8"/>
  <c r="B436" i="8"/>
  <c r="J435" i="8"/>
  <c r="I435" i="8"/>
  <c r="F435" i="8"/>
  <c r="D435" i="8"/>
  <c r="H435" i="8"/>
  <c r="L435" i="8"/>
  <c r="Q435" i="8"/>
  <c r="S440" i="8"/>
  <c r="T435" i="8"/>
  <c r="P435" i="8"/>
  <c r="R435" i="8"/>
  <c r="M434" i="8"/>
  <c r="N434" i="8"/>
  <c r="E436" i="8" l="1"/>
  <c r="F436" i="8"/>
  <c r="B437" i="8"/>
  <c r="J436" i="8"/>
  <c r="D436" i="8"/>
  <c r="I436" i="8"/>
  <c r="G436" i="8"/>
  <c r="H436" i="8"/>
  <c r="K436" i="8"/>
  <c r="L436" i="8"/>
  <c r="S441" i="8"/>
  <c r="T436" i="8"/>
  <c r="P436" i="8"/>
  <c r="R436" i="8"/>
  <c r="Q436" i="8"/>
  <c r="M435" i="8"/>
  <c r="N435" i="8"/>
  <c r="G437" i="8" l="1"/>
  <c r="B438" i="8"/>
  <c r="K437" i="8"/>
  <c r="I437" i="8"/>
  <c r="E437" i="8"/>
  <c r="F437" i="8"/>
  <c r="H437" i="8"/>
  <c r="D437" i="8"/>
  <c r="J437" i="8"/>
  <c r="L437" i="8"/>
  <c r="R437" i="8"/>
  <c r="T437" i="8"/>
  <c r="Q437" i="8"/>
  <c r="P437" i="8"/>
  <c r="S442" i="8"/>
  <c r="M436" i="8"/>
  <c r="N436" i="8"/>
  <c r="L438" i="8" l="1"/>
  <c r="F438" i="8"/>
  <c r="E438" i="8"/>
  <c r="G438" i="8"/>
  <c r="H438" i="8"/>
  <c r="B439" i="8"/>
  <c r="K438" i="8"/>
  <c r="D438" i="8"/>
  <c r="I438" i="8"/>
  <c r="J438" i="8"/>
  <c r="R438" i="8"/>
  <c r="Q438" i="8"/>
  <c r="T438" i="8"/>
  <c r="P438" i="8"/>
  <c r="S443" i="8"/>
  <c r="M437" i="8"/>
  <c r="N437" i="8"/>
  <c r="G439" i="8" l="1"/>
  <c r="H439" i="8"/>
  <c r="K439" i="8"/>
  <c r="I439" i="8"/>
  <c r="J439" i="8"/>
  <c r="L439" i="8"/>
  <c r="F439" i="8"/>
  <c r="D439" i="8"/>
  <c r="E439" i="8"/>
  <c r="B440" i="8"/>
  <c r="Q439" i="8"/>
  <c r="S444" i="8"/>
  <c r="T439" i="8"/>
  <c r="P439" i="8"/>
  <c r="R439" i="8"/>
  <c r="F21" i="8"/>
  <c r="N438" i="8"/>
  <c r="M438" i="8"/>
  <c r="L440" i="8" l="1"/>
  <c r="J440" i="8"/>
  <c r="E440" i="8"/>
  <c r="K440" i="8"/>
  <c r="H440" i="8"/>
  <c r="G440" i="8"/>
  <c r="D440" i="8"/>
  <c r="I440" i="8"/>
  <c r="F440" i="8"/>
  <c r="B441" i="8"/>
  <c r="N27" i="20"/>
  <c r="X4" i="8"/>
  <c r="S445" i="8"/>
  <c r="T440" i="8"/>
  <c r="P440" i="8"/>
  <c r="R440" i="8"/>
  <c r="Q440" i="8"/>
  <c r="N439" i="8"/>
  <c r="M439" i="8"/>
  <c r="G441" i="8" l="1"/>
  <c r="E441" i="8"/>
  <c r="K441" i="8"/>
  <c r="I441" i="8"/>
  <c r="J441" i="8"/>
  <c r="L441" i="8"/>
  <c r="B442" i="8"/>
  <c r="F441" i="8"/>
  <c r="H441" i="8"/>
  <c r="D441" i="8"/>
  <c r="R441" i="8"/>
  <c r="Q441" i="8"/>
  <c r="P441" i="8"/>
  <c r="S446" i="8"/>
  <c r="T441" i="8"/>
  <c r="N440" i="8"/>
  <c r="M440" i="8"/>
  <c r="N28" i="20"/>
  <c r="N29" i="20"/>
  <c r="L442" i="8" l="1"/>
  <c r="F442" i="8"/>
  <c r="E442" i="8"/>
  <c r="K442" i="8"/>
  <c r="D442" i="8"/>
  <c r="I442" i="8"/>
  <c r="G442" i="8"/>
  <c r="H442" i="8"/>
  <c r="B443" i="8"/>
  <c r="J442" i="8"/>
  <c r="S447" i="8"/>
  <c r="R442" i="8"/>
  <c r="Q442" i="8"/>
  <c r="P442" i="8"/>
  <c r="T442" i="8"/>
  <c r="M441" i="8"/>
  <c r="N441" i="8"/>
  <c r="G443" i="8" l="1"/>
  <c r="H443" i="8"/>
  <c r="F443" i="8"/>
  <c r="B444" i="8"/>
  <c r="J443" i="8"/>
  <c r="L443" i="8"/>
  <c r="K443" i="8"/>
  <c r="E443" i="8"/>
  <c r="D443" i="8"/>
  <c r="I443" i="8"/>
  <c r="Q443" i="8"/>
  <c r="S448" i="8"/>
  <c r="T443" i="8"/>
  <c r="P443" i="8"/>
  <c r="R443" i="8"/>
  <c r="M442" i="8"/>
  <c r="N442" i="8"/>
  <c r="L444" i="8" l="1"/>
  <c r="J444" i="8"/>
  <c r="E444" i="8"/>
  <c r="G444" i="8"/>
  <c r="D444" i="8"/>
  <c r="I444" i="8"/>
  <c r="K444" i="8"/>
  <c r="H444" i="8"/>
  <c r="B445" i="8"/>
  <c r="F444" i="8"/>
  <c r="S449" i="8"/>
  <c r="T444" i="8"/>
  <c r="P444" i="8"/>
  <c r="R444" i="8"/>
  <c r="Q444" i="8"/>
  <c r="M443" i="8"/>
  <c r="N443" i="8"/>
  <c r="G445" i="8" l="1"/>
  <c r="B446" i="8"/>
  <c r="F445" i="8"/>
  <c r="H445" i="8"/>
  <c r="E445" i="8"/>
  <c r="K445" i="8"/>
  <c r="I445" i="8"/>
  <c r="L445" i="8"/>
  <c r="J445" i="8"/>
  <c r="D445" i="8"/>
  <c r="R445" i="8"/>
  <c r="S450" i="8"/>
  <c r="T445" i="8"/>
  <c r="Q445" i="8"/>
  <c r="P445" i="8"/>
  <c r="M444" i="8"/>
  <c r="N444" i="8"/>
  <c r="L446" i="8" l="1"/>
  <c r="F446" i="8"/>
  <c r="G446" i="8"/>
  <c r="H446" i="8"/>
  <c r="B447" i="8"/>
  <c r="E446" i="8"/>
  <c r="J446" i="8"/>
  <c r="D446" i="8"/>
  <c r="I446" i="8"/>
  <c r="K446" i="8"/>
  <c r="S451" i="8"/>
  <c r="T446" i="8"/>
  <c r="P446" i="8"/>
  <c r="Q446" i="8"/>
  <c r="R446" i="8"/>
  <c r="M445" i="8"/>
  <c r="N445" i="8"/>
  <c r="G447" i="8" l="1"/>
  <c r="I447" i="8"/>
  <c r="F447" i="8"/>
  <c r="B448" i="8"/>
  <c r="H447" i="8"/>
  <c r="K447" i="8"/>
  <c r="E447" i="8"/>
  <c r="D447" i="8"/>
  <c r="J447" i="8"/>
  <c r="L447" i="8"/>
  <c r="P447" i="8"/>
  <c r="T447" i="8"/>
  <c r="S452" i="8"/>
  <c r="R447" i="8"/>
  <c r="Q447" i="8"/>
  <c r="N446" i="8"/>
  <c r="M446" i="8"/>
  <c r="L448" i="8" l="1"/>
  <c r="J448" i="8"/>
  <c r="F448" i="8"/>
  <c r="D448" i="8"/>
  <c r="I448" i="8"/>
  <c r="K448" i="8"/>
  <c r="G448" i="8"/>
  <c r="E448" i="8"/>
  <c r="H448" i="8"/>
  <c r="B449" i="8"/>
  <c r="R448" i="8"/>
  <c r="T448" i="8"/>
  <c r="S453" i="8"/>
  <c r="Q448" i="8"/>
  <c r="P448" i="8"/>
  <c r="M447" i="8"/>
  <c r="N447" i="8"/>
  <c r="G449" i="8" l="1"/>
  <c r="L449" i="8"/>
  <c r="D449" i="8"/>
  <c r="J449" i="8"/>
  <c r="H449" i="8"/>
  <c r="B450" i="8"/>
  <c r="K449" i="8"/>
  <c r="I449" i="8"/>
  <c r="F449" i="8"/>
  <c r="E449" i="8"/>
  <c r="Q449" i="8"/>
  <c r="S454" i="8"/>
  <c r="R449" i="8"/>
  <c r="P449" i="8"/>
  <c r="T449" i="8"/>
  <c r="M448" i="8"/>
  <c r="N448" i="8"/>
  <c r="L450" i="8" l="1"/>
  <c r="F450" i="8"/>
  <c r="H450" i="8"/>
  <c r="J450" i="8"/>
  <c r="E450" i="8"/>
  <c r="K450" i="8"/>
  <c r="D450" i="8"/>
  <c r="I450" i="8"/>
  <c r="G450" i="8"/>
  <c r="B451" i="8"/>
  <c r="S455" i="8"/>
  <c r="T450" i="8"/>
  <c r="P450" i="8"/>
  <c r="R450" i="8"/>
  <c r="Q450" i="8"/>
  <c r="M449" i="8"/>
  <c r="N449" i="8"/>
  <c r="G451" i="8" l="1"/>
  <c r="H451" i="8"/>
  <c r="E451" i="8"/>
  <c r="F451" i="8"/>
  <c r="D451" i="8"/>
  <c r="J451" i="8"/>
  <c r="L451" i="8"/>
  <c r="K451" i="8"/>
  <c r="B452" i="8"/>
  <c r="I451" i="8"/>
  <c r="Q451" i="8"/>
  <c r="P451" i="8"/>
  <c r="T451" i="8"/>
  <c r="S456" i="8"/>
  <c r="R451" i="8"/>
  <c r="N450" i="8"/>
  <c r="M450" i="8"/>
  <c r="L452" i="8" l="1"/>
  <c r="J452" i="8"/>
  <c r="D452" i="8"/>
  <c r="I452" i="8"/>
  <c r="K452" i="8"/>
  <c r="E452" i="8"/>
  <c r="G452" i="8"/>
  <c r="H452" i="8"/>
  <c r="B453" i="8"/>
  <c r="F452" i="8"/>
  <c r="R452" i="8"/>
  <c r="P452" i="8"/>
  <c r="T452" i="8"/>
  <c r="S457" i="8"/>
  <c r="Q452" i="8"/>
  <c r="N451" i="8"/>
  <c r="M451" i="8"/>
  <c r="G453" i="8" l="1"/>
  <c r="B454" i="8"/>
  <c r="F453" i="8"/>
  <c r="L453" i="8"/>
  <c r="K453" i="8"/>
  <c r="I453" i="8"/>
  <c r="H453" i="8"/>
  <c r="J453" i="8"/>
  <c r="D453" i="8"/>
  <c r="E453" i="8"/>
  <c r="Q453" i="8"/>
  <c r="T453" i="8"/>
  <c r="S458" i="8"/>
  <c r="R453" i="8"/>
  <c r="P453" i="8"/>
  <c r="M452" i="8"/>
  <c r="N452" i="8"/>
  <c r="L454" i="8" l="1"/>
  <c r="F454" i="8"/>
  <c r="D454" i="8"/>
  <c r="I454" i="8"/>
  <c r="G454" i="8"/>
  <c r="E454" i="8"/>
  <c r="J454" i="8"/>
  <c r="H454" i="8"/>
  <c r="B455" i="8"/>
  <c r="K454" i="8"/>
  <c r="S459" i="8"/>
  <c r="T454" i="8"/>
  <c r="P454" i="8"/>
  <c r="R454" i="8"/>
  <c r="Q454" i="8"/>
  <c r="N453" i="8"/>
  <c r="M453" i="8"/>
  <c r="G455" i="8" l="1"/>
  <c r="I455" i="8"/>
  <c r="F455" i="8"/>
  <c r="D455" i="8"/>
  <c r="B456" i="8"/>
  <c r="K455" i="8"/>
  <c r="E455" i="8"/>
  <c r="J455" i="8"/>
  <c r="L455" i="8"/>
  <c r="H455" i="8"/>
  <c r="S460" i="8"/>
  <c r="R455" i="8"/>
  <c r="Q455" i="8"/>
  <c r="T455" i="8"/>
  <c r="P455" i="8"/>
  <c r="N454" i="8"/>
  <c r="M454" i="8"/>
  <c r="L456" i="8" l="1"/>
  <c r="J456" i="8"/>
  <c r="D456" i="8"/>
  <c r="K456" i="8"/>
  <c r="E456" i="8"/>
  <c r="F456" i="8"/>
  <c r="I456" i="8"/>
  <c r="H456" i="8"/>
  <c r="B457" i="8"/>
  <c r="G456" i="8"/>
  <c r="R456" i="8"/>
  <c r="Q456" i="8"/>
  <c r="P456" i="8"/>
  <c r="T456" i="8"/>
  <c r="S461" i="8"/>
  <c r="M455" i="8"/>
  <c r="N455" i="8"/>
  <c r="G457" i="8" l="1"/>
  <c r="E457" i="8"/>
  <c r="J457" i="8"/>
  <c r="L457" i="8"/>
  <c r="K457" i="8"/>
  <c r="I457" i="8"/>
  <c r="F457" i="8"/>
  <c r="H457" i="8"/>
  <c r="D457" i="8"/>
  <c r="B458" i="8"/>
  <c r="Q457" i="8"/>
  <c r="P457" i="8"/>
  <c r="T457" i="8"/>
  <c r="S462" i="8"/>
  <c r="R457" i="8"/>
  <c r="M456" i="8"/>
  <c r="N456" i="8"/>
  <c r="L458" i="8" l="1"/>
  <c r="F458" i="8"/>
  <c r="D458" i="8"/>
  <c r="I458" i="8"/>
  <c r="H458" i="8"/>
  <c r="B459" i="8"/>
  <c r="J458" i="8"/>
  <c r="E458" i="8"/>
  <c r="K458" i="8"/>
  <c r="G458" i="8"/>
  <c r="S463" i="8"/>
  <c r="T458" i="8"/>
  <c r="P458" i="8"/>
  <c r="R458" i="8"/>
  <c r="Q458" i="8"/>
  <c r="M457" i="8"/>
  <c r="N457" i="8"/>
  <c r="G459" i="8" l="1"/>
  <c r="H459" i="8"/>
  <c r="J459" i="8"/>
  <c r="L459" i="8"/>
  <c r="I459" i="8"/>
  <c r="K459" i="8"/>
  <c r="E459" i="8"/>
  <c r="F459" i="8"/>
  <c r="D459" i="8"/>
  <c r="B460" i="8"/>
  <c r="T459" i="8"/>
  <c r="S464" i="8"/>
  <c r="R459" i="8"/>
  <c r="Q459" i="8"/>
  <c r="P459" i="8"/>
  <c r="M458" i="8"/>
  <c r="N458" i="8"/>
  <c r="L460" i="8" l="1"/>
  <c r="J460" i="8"/>
  <c r="D460" i="8"/>
  <c r="I460" i="8"/>
  <c r="H460" i="8"/>
  <c r="B461" i="8"/>
  <c r="F460" i="8"/>
  <c r="E460" i="8"/>
  <c r="G460" i="8"/>
  <c r="K460" i="8"/>
  <c r="R460" i="8"/>
  <c r="S465" i="8"/>
  <c r="Q460" i="8"/>
  <c r="T460" i="8"/>
  <c r="P460" i="8"/>
  <c r="N459" i="8"/>
  <c r="M459" i="8"/>
  <c r="G461" i="8" l="1"/>
  <c r="B462" i="8"/>
  <c r="K461" i="8"/>
  <c r="I461" i="8"/>
  <c r="F461" i="8"/>
  <c r="H461" i="8"/>
  <c r="L461" i="8"/>
  <c r="J461" i="8"/>
  <c r="D461" i="8"/>
  <c r="E461" i="8"/>
  <c r="Q461" i="8"/>
  <c r="R461" i="8"/>
  <c r="P461" i="8"/>
  <c r="T461" i="8"/>
  <c r="S466" i="8"/>
  <c r="N460" i="8"/>
  <c r="M460" i="8"/>
  <c r="L462" i="8" l="1"/>
  <c r="F462" i="8"/>
  <c r="E462" i="8"/>
  <c r="J462" i="8"/>
  <c r="G462" i="8"/>
  <c r="K462" i="8"/>
  <c r="D462" i="8"/>
  <c r="I462" i="8"/>
  <c r="H462" i="8"/>
  <c r="B463" i="8"/>
  <c r="S467" i="8"/>
  <c r="T462" i="8"/>
  <c r="P462" i="8"/>
  <c r="Q462" i="8"/>
  <c r="R462" i="8"/>
  <c r="N461" i="8"/>
  <c r="M461" i="8"/>
  <c r="G463" i="8" l="1"/>
  <c r="I463" i="8"/>
  <c r="B464" i="8"/>
  <c r="J463" i="8"/>
  <c r="L463" i="8"/>
  <c r="K463" i="8"/>
  <c r="E463" i="8"/>
  <c r="F463" i="8"/>
  <c r="D463" i="8"/>
  <c r="H463" i="8"/>
  <c r="P463" i="8"/>
  <c r="T463" i="8"/>
  <c r="S468" i="8"/>
  <c r="R463" i="8"/>
  <c r="Q463" i="8"/>
  <c r="M462" i="8"/>
  <c r="N462" i="8"/>
  <c r="L464" i="8" l="1"/>
  <c r="J464" i="8"/>
  <c r="E464" i="8"/>
  <c r="F464" i="8"/>
  <c r="D464" i="8"/>
  <c r="I464" i="8"/>
  <c r="K464" i="8"/>
  <c r="H464" i="8"/>
  <c r="B465" i="8"/>
  <c r="G464" i="8"/>
  <c r="R464" i="8"/>
  <c r="T464" i="8"/>
  <c r="S469" i="8"/>
  <c r="Q464" i="8"/>
  <c r="P464" i="8"/>
  <c r="N463" i="8"/>
  <c r="M463" i="8"/>
  <c r="G465" i="8" l="1"/>
  <c r="E465" i="8"/>
  <c r="K465" i="8"/>
  <c r="I465" i="8"/>
  <c r="F465" i="8"/>
  <c r="H465" i="8"/>
  <c r="D465" i="8"/>
  <c r="J465" i="8"/>
  <c r="L465" i="8"/>
  <c r="B466" i="8"/>
  <c r="Q465" i="8"/>
  <c r="S470" i="8"/>
  <c r="R465" i="8"/>
  <c r="T465" i="8"/>
  <c r="P465" i="8"/>
  <c r="N464" i="8"/>
  <c r="M464" i="8"/>
  <c r="L466" i="8" l="1"/>
  <c r="F466" i="8"/>
  <c r="E466" i="8"/>
  <c r="K466" i="8"/>
  <c r="D466" i="8"/>
  <c r="I466" i="8"/>
  <c r="G466" i="8"/>
  <c r="H466" i="8"/>
  <c r="B467" i="8"/>
  <c r="J466" i="8"/>
  <c r="S471" i="8"/>
  <c r="T466" i="8"/>
  <c r="P466" i="8"/>
  <c r="R466" i="8"/>
  <c r="Q466" i="8"/>
  <c r="N465" i="8"/>
  <c r="M465" i="8"/>
  <c r="G467" i="8" l="1"/>
  <c r="H467" i="8"/>
  <c r="K467" i="8"/>
  <c r="E467" i="8"/>
  <c r="F467" i="8"/>
  <c r="D467" i="8"/>
  <c r="B468" i="8"/>
  <c r="J467" i="8"/>
  <c r="L467" i="8"/>
  <c r="I467" i="8"/>
  <c r="Q467" i="8"/>
  <c r="P467" i="8"/>
  <c r="T467" i="8"/>
  <c r="S472" i="8"/>
  <c r="R467" i="8"/>
  <c r="M466" i="8"/>
  <c r="N466" i="8"/>
  <c r="L468" i="8" l="1"/>
  <c r="E468" i="8"/>
  <c r="G468" i="8"/>
  <c r="D468" i="8"/>
  <c r="I468" i="8"/>
  <c r="K468" i="8"/>
  <c r="H468" i="8"/>
  <c r="B469" i="8"/>
  <c r="F468" i="8"/>
  <c r="J468" i="8"/>
  <c r="R468" i="8"/>
  <c r="P468" i="8"/>
  <c r="T468" i="8"/>
  <c r="S473" i="8"/>
  <c r="Q468" i="8"/>
  <c r="N467" i="8"/>
  <c r="M467" i="8"/>
  <c r="G469" i="8" l="1"/>
  <c r="B470" i="8"/>
  <c r="I469" i="8"/>
  <c r="F469" i="8"/>
  <c r="H469" i="8"/>
  <c r="L469" i="8"/>
  <c r="J469" i="8"/>
  <c r="D469" i="8"/>
  <c r="E469" i="8"/>
  <c r="K469" i="8"/>
  <c r="Q469" i="8"/>
  <c r="T469" i="8"/>
  <c r="S474" i="8"/>
  <c r="R469" i="8"/>
  <c r="P469" i="8"/>
  <c r="N468" i="8"/>
  <c r="M468" i="8"/>
  <c r="L470" i="8" l="1"/>
  <c r="F470" i="8"/>
  <c r="E470" i="8"/>
  <c r="J470" i="8"/>
  <c r="D470" i="8"/>
  <c r="G470" i="8"/>
  <c r="H470" i="8"/>
  <c r="K470" i="8"/>
  <c r="I470" i="8"/>
  <c r="B471" i="8"/>
  <c r="T470" i="8"/>
  <c r="P470" i="8"/>
  <c r="S475" i="8"/>
  <c r="R470" i="8"/>
  <c r="Q470" i="8"/>
  <c r="M469" i="8"/>
  <c r="N469" i="8"/>
  <c r="G471" i="8" l="1"/>
  <c r="I471" i="8"/>
  <c r="K471" i="8"/>
  <c r="E471" i="8"/>
  <c r="F471" i="8"/>
  <c r="D471" i="8"/>
  <c r="B472" i="8"/>
  <c r="J471" i="8"/>
  <c r="L471" i="8"/>
  <c r="H471" i="8"/>
  <c r="S476" i="8"/>
  <c r="R471" i="8"/>
  <c r="Q471" i="8"/>
  <c r="P471" i="8"/>
  <c r="T471" i="8"/>
  <c r="M470" i="8"/>
  <c r="N470" i="8"/>
  <c r="E472" i="8" l="1"/>
  <c r="F472" i="8"/>
  <c r="D472" i="8"/>
  <c r="I472" i="8"/>
  <c r="K472" i="8"/>
  <c r="H472" i="8"/>
  <c r="B473" i="8"/>
  <c r="G472" i="8"/>
  <c r="L472" i="8"/>
  <c r="J472" i="8"/>
  <c r="S477" i="8"/>
  <c r="R472" i="8"/>
  <c r="Q472" i="8"/>
  <c r="P472" i="8"/>
  <c r="T472" i="8"/>
  <c r="N471" i="8"/>
  <c r="M471" i="8"/>
  <c r="G473" i="8" l="1"/>
  <c r="E473" i="8"/>
  <c r="K473" i="8"/>
  <c r="I473" i="8"/>
  <c r="F473" i="8"/>
  <c r="H473" i="8"/>
  <c r="D473" i="8"/>
  <c r="J473" i="8"/>
  <c r="L473" i="8"/>
  <c r="B474" i="8"/>
  <c r="S478" i="8"/>
  <c r="Q473" i="8"/>
  <c r="P473" i="8"/>
  <c r="T473" i="8"/>
  <c r="R473" i="8"/>
  <c r="M472" i="8"/>
  <c r="N472" i="8"/>
  <c r="L474" i="8" l="1"/>
  <c r="F474" i="8"/>
  <c r="E474" i="8"/>
  <c r="K474" i="8"/>
  <c r="D474" i="8"/>
  <c r="I474" i="8"/>
  <c r="G474" i="8"/>
  <c r="H474" i="8"/>
  <c r="B475" i="8"/>
  <c r="J474" i="8"/>
  <c r="S479" i="8"/>
  <c r="T474" i="8"/>
  <c r="P474" i="8"/>
  <c r="R474" i="8"/>
  <c r="Q474" i="8"/>
  <c r="M473" i="8"/>
  <c r="N473" i="8"/>
  <c r="G475" i="8" l="1"/>
  <c r="H475" i="8"/>
  <c r="K475" i="8"/>
  <c r="E475" i="8"/>
  <c r="F475" i="8"/>
  <c r="D475" i="8"/>
  <c r="B476" i="8"/>
  <c r="J475" i="8"/>
  <c r="L475" i="8"/>
  <c r="I475" i="8"/>
  <c r="R475" i="8"/>
  <c r="T475" i="8"/>
  <c r="S480" i="8"/>
  <c r="Q475" i="8"/>
  <c r="P475" i="8"/>
  <c r="N474" i="8"/>
  <c r="M474" i="8"/>
  <c r="L476" i="8" l="1"/>
  <c r="J476" i="8"/>
  <c r="E476" i="8"/>
  <c r="G476" i="8"/>
  <c r="D476" i="8"/>
  <c r="I476" i="8"/>
  <c r="K476" i="8"/>
  <c r="H476" i="8"/>
  <c r="B477" i="8"/>
  <c r="F476" i="8"/>
  <c r="Q476" i="8"/>
  <c r="S481" i="8"/>
  <c r="T476" i="8"/>
  <c r="P476" i="8"/>
  <c r="R476" i="8"/>
  <c r="N475" i="8"/>
  <c r="M475" i="8"/>
  <c r="G477" i="8" l="1"/>
  <c r="B478" i="8"/>
  <c r="F477" i="8"/>
  <c r="L477" i="8"/>
  <c r="D477" i="8"/>
  <c r="K477" i="8"/>
  <c r="I477" i="8"/>
  <c r="H477" i="8"/>
  <c r="J477" i="8"/>
  <c r="E477" i="8"/>
  <c r="S482" i="8"/>
  <c r="T477" i="8"/>
  <c r="P477" i="8"/>
  <c r="R477" i="8"/>
  <c r="Q477" i="8"/>
  <c r="N476" i="8"/>
  <c r="M476" i="8"/>
  <c r="L478" i="8" l="1"/>
  <c r="E478" i="8"/>
  <c r="J478" i="8"/>
  <c r="D478" i="8"/>
  <c r="I478" i="8"/>
  <c r="G478" i="8"/>
  <c r="H478" i="8"/>
  <c r="B479" i="8"/>
  <c r="K478" i="8"/>
  <c r="F478" i="8"/>
  <c r="R478" i="8"/>
  <c r="T478" i="8"/>
  <c r="S483" i="8"/>
  <c r="Q478" i="8"/>
  <c r="P478" i="8"/>
  <c r="N477" i="8"/>
  <c r="M477" i="8"/>
  <c r="G479" i="8" l="1"/>
  <c r="I479" i="8"/>
  <c r="K479" i="8"/>
  <c r="E479" i="8"/>
  <c r="F479" i="8"/>
  <c r="D479" i="8"/>
  <c r="B480" i="8"/>
  <c r="J479" i="8"/>
  <c r="L479" i="8"/>
  <c r="H479" i="8"/>
  <c r="R479" i="8"/>
  <c r="Q479" i="8"/>
  <c r="S484" i="8"/>
  <c r="T479" i="8"/>
  <c r="P479" i="8"/>
  <c r="N478" i="8"/>
  <c r="M478" i="8"/>
  <c r="L480" i="8" l="1"/>
  <c r="J480" i="8"/>
  <c r="D480" i="8"/>
  <c r="I480" i="8"/>
  <c r="K480" i="8"/>
  <c r="H480" i="8"/>
  <c r="B481" i="8"/>
  <c r="E480" i="8"/>
  <c r="F480" i="8"/>
  <c r="G480" i="8"/>
  <c r="Q480" i="8"/>
  <c r="S485" i="8"/>
  <c r="T480" i="8"/>
  <c r="P480" i="8"/>
  <c r="R480" i="8"/>
  <c r="M479" i="8"/>
  <c r="N479" i="8"/>
  <c r="G481" i="8" l="1"/>
  <c r="E481" i="8"/>
  <c r="K481" i="8"/>
  <c r="I481" i="8"/>
  <c r="F481" i="8"/>
  <c r="H481" i="8"/>
  <c r="D481" i="8"/>
  <c r="J481" i="8"/>
  <c r="L481" i="8"/>
  <c r="B482" i="8"/>
  <c r="S486" i="8"/>
  <c r="T481" i="8"/>
  <c r="P481" i="8"/>
  <c r="Q481" i="8"/>
  <c r="R481" i="8"/>
  <c r="N480" i="8"/>
  <c r="M480" i="8"/>
  <c r="L482" i="8" l="1"/>
  <c r="F482" i="8"/>
  <c r="E482" i="8"/>
  <c r="K482" i="8"/>
  <c r="D482" i="8"/>
  <c r="I482" i="8"/>
  <c r="G482" i="8"/>
  <c r="H482" i="8"/>
  <c r="B483" i="8"/>
  <c r="J482" i="8"/>
  <c r="R482" i="8"/>
  <c r="S487" i="8"/>
  <c r="P482" i="8"/>
  <c r="T482" i="8"/>
  <c r="Q482" i="8"/>
  <c r="N481" i="8"/>
  <c r="M481" i="8"/>
  <c r="G483" i="8" l="1"/>
  <c r="H483" i="8"/>
  <c r="K483" i="8"/>
  <c r="E483" i="8"/>
  <c r="F483" i="8"/>
  <c r="D483" i="8"/>
  <c r="B484" i="8"/>
  <c r="J483" i="8"/>
  <c r="L483" i="8"/>
  <c r="I483" i="8"/>
  <c r="R483" i="8"/>
  <c r="Q483" i="8"/>
  <c r="S488" i="8"/>
  <c r="P483" i="8"/>
  <c r="T483" i="8"/>
  <c r="M482" i="8"/>
  <c r="N482" i="8"/>
  <c r="L484" i="8" l="1"/>
  <c r="J484" i="8"/>
  <c r="D484" i="8"/>
  <c r="K484" i="8"/>
  <c r="H484" i="8"/>
  <c r="B485" i="8"/>
  <c r="F484" i="8"/>
  <c r="E484" i="8"/>
  <c r="G484" i="8"/>
  <c r="I484" i="8"/>
  <c r="Q484" i="8"/>
  <c r="S489" i="8"/>
  <c r="T484" i="8"/>
  <c r="P484" i="8"/>
  <c r="R484" i="8"/>
  <c r="M483" i="8"/>
  <c r="N483" i="8"/>
  <c r="G485" i="8" l="1"/>
  <c r="B486" i="8"/>
  <c r="K485" i="8"/>
  <c r="I485" i="8"/>
  <c r="F485" i="8"/>
  <c r="H485" i="8"/>
  <c r="L485" i="8"/>
  <c r="J485" i="8"/>
  <c r="D485" i="8"/>
  <c r="E485" i="8"/>
  <c r="S490" i="8"/>
  <c r="T485" i="8"/>
  <c r="P485" i="8"/>
  <c r="Q485" i="8"/>
  <c r="R485" i="8"/>
  <c r="M484" i="8"/>
  <c r="N484" i="8"/>
  <c r="L486" i="8" l="1"/>
  <c r="F486" i="8"/>
  <c r="D486" i="8"/>
  <c r="I486" i="8"/>
  <c r="G486" i="8"/>
  <c r="H486" i="8"/>
  <c r="B487" i="8"/>
  <c r="K486" i="8"/>
  <c r="E486" i="8"/>
  <c r="J486" i="8"/>
  <c r="S491" i="8"/>
  <c r="R486" i="8"/>
  <c r="T486" i="8"/>
  <c r="Q486" i="8"/>
  <c r="P486" i="8"/>
  <c r="N485" i="8"/>
  <c r="M485" i="8"/>
  <c r="G487" i="8" l="1"/>
  <c r="I487" i="8"/>
  <c r="F487" i="8"/>
  <c r="D487" i="8"/>
  <c r="J487" i="8"/>
  <c r="L487" i="8"/>
  <c r="H487" i="8"/>
  <c r="K487" i="8"/>
  <c r="E487" i="8"/>
  <c r="B488" i="8"/>
  <c r="S492" i="8"/>
  <c r="R487" i="8"/>
  <c r="Q487" i="8"/>
  <c r="T487" i="8"/>
  <c r="P487" i="8"/>
  <c r="N486" i="8"/>
  <c r="M486" i="8"/>
  <c r="L488" i="8" l="1"/>
  <c r="G488" i="8"/>
  <c r="D488" i="8"/>
  <c r="I488" i="8"/>
  <c r="H488" i="8"/>
  <c r="B489" i="8"/>
  <c r="K488" i="8"/>
  <c r="E488" i="8"/>
  <c r="J488" i="8"/>
  <c r="F488" i="8"/>
  <c r="Q488" i="8"/>
  <c r="T488" i="8"/>
  <c r="P488" i="8"/>
  <c r="R488" i="8"/>
  <c r="S493" i="8"/>
  <c r="M487" i="8"/>
  <c r="N487" i="8"/>
  <c r="G489" i="8" l="1"/>
  <c r="B490" i="8"/>
  <c r="K489" i="8"/>
  <c r="I489" i="8"/>
  <c r="F489" i="8"/>
  <c r="H489" i="8"/>
  <c r="D489" i="8"/>
  <c r="J489" i="8"/>
  <c r="L489" i="8"/>
  <c r="E489" i="8"/>
  <c r="T489" i="8"/>
  <c r="P489" i="8"/>
  <c r="S494" i="8"/>
  <c r="Q489" i="8"/>
  <c r="R489" i="8"/>
  <c r="M488" i="8"/>
  <c r="N488" i="8"/>
  <c r="L490" i="8" l="1"/>
  <c r="F490" i="8"/>
  <c r="E490" i="8"/>
  <c r="G490" i="8"/>
  <c r="D490" i="8"/>
  <c r="I490" i="8"/>
  <c r="J490" i="8"/>
  <c r="H490" i="8"/>
  <c r="B491" i="8"/>
  <c r="K490" i="8"/>
  <c r="S495" i="8"/>
  <c r="T490" i="8"/>
  <c r="R490" i="8"/>
  <c r="P490" i="8"/>
  <c r="Q490" i="8"/>
  <c r="M489" i="8"/>
  <c r="N489" i="8"/>
  <c r="G491" i="8" l="1"/>
  <c r="H491" i="8"/>
  <c r="K491" i="8"/>
  <c r="F491" i="8"/>
  <c r="D491" i="8"/>
  <c r="E491" i="8"/>
  <c r="J491" i="8"/>
  <c r="L491" i="8"/>
  <c r="B492" i="8"/>
  <c r="I491" i="8"/>
  <c r="S496" i="8"/>
  <c r="T491" i="8"/>
  <c r="P491" i="8"/>
  <c r="Q491" i="8"/>
  <c r="R491" i="8"/>
  <c r="M490" i="8"/>
  <c r="N490" i="8"/>
  <c r="L492" i="8" l="1"/>
  <c r="J492" i="8"/>
  <c r="K492" i="8"/>
  <c r="D492" i="8"/>
  <c r="I492" i="8"/>
  <c r="F492" i="8"/>
  <c r="H492" i="8"/>
  <c r="B493" i="8"/>
  <c r="G492" i="8"/>
  <c r="E492" i="8"/>
  <c r="R492" i="8"/>
  <c r="S497" i="8"/>
  <c r="P492" i="8"/>
  <c r="T492" i="8"/>
  <c r="Q492" i="8"/>
  <c r="N491" i="8"/>
  <c r="M491" i="8"/>
  <c r="G493" i="8" l="1"/>
  <c r="E493" i="8"/>
  <c r="F493" i="8"/>
  <c r="H493" i="8"/>
  <c r="L493" i="8"/>
  <c r="K493" i="8"/>
  <c r="I493" i="8"/>
  <c r="J493" i="8"/>
  <c r="D493" i="8"/>
  <c r="B494" i="8"/>
  <c r="R493" i="8"/>
  <c r="Q493" i="8"/>
  <c r="T493" i="8"/>
  <c r="S498" i="8"/>
  <c r="P493" i="8"/>
  <c r="M492" i="8"/>
  <c r="N492" i="8"/>
  <c r="L494" i="8" l="1"/>
  <c r="F494" i="8"/>
  <c r="D494" i="8"/>
  <c r="I494" i="8"/>
  <c r="K494" i="8"/>
  <c r="E494" i="8"/>
  <c r="J494" i="8"/>
  <c r="H494" i="8"/>
  <c r="B495" i="8"/>
  <c r="G494" i="8"/>
  <c r="Q494" i="8"/>
  <c r="S499" i="8"/>
  <c r="T494" i="8"/>
  <c r="P494" i="8"/>
  <c r="R494" i="8"/>
  <c r="M493" i="8"/>
  <c r="N493" i="8"/>
  <c r="G495" i="8" l="1"/>
  <c r="E495" i="8"/>
  <c r="L495" i="8"/>
  <c r="K495" i="8"/>
  <c r="B496" i="8"/>
  <c r="J495" i="8"/>
  <c r="I495" i="8"/>
  <c r="F495" i="8"/>
  <c r="D495" i="8"/>
  <c r="H495" i="8"/>
  <c r="T495" i="8"/>
  <c r="P495" i="8"/>
  <c r="R495" i="8"/>
  <c r="Q495" i="8"/>
  <c r="M494" i="8"/>
  <c r="N494" i="8"/>
  <c r="L496" i="8" l="1"/>
  <c r="J496" i="8"/>
  <c r="D496" i="8"/>
  <c r="G496" i="8"/>
  <c r="B497" i="8"/>
  <c r="E496" i="8"/>
  <c r="F496" i="8"/>
  <c r="H496" i="8"/>
  <c r="K496" i="8"/>
  <c r="I496" i="8"/>
  <c r="R496" i="8"/>
  <c r="T496" i="8"/>
  <c r="Q496" i="8"/>
  <c r="P496" i="8"/>
  <c r="N495" i="8"/>
  <c r="M495" i="8"/>
  <c r="G497" i="8" l="1"/>
  <c r="B498" i="8"/>
  <c r="E497" i="8"/>
  <c r="K497" i="8"/>
  <c r="I497" i="8"/>
  <c r="F497" i="8"/>
  <c r="H497" i="8"/>
  <c r="D497" i="8"/>
  <c r="J497" i="8"/>
  <c r="L497" i="8"/>
  <c r="J8" i="8"/>
  <c r="J7" i="8"/>
  <c r="J9" i="8"/>
  <c r="J10" i="8"/>
  <c r="J13" i="8"/>
  <c r="J11" i="8"/>
  <c r="J12" i="8"/>
  <c r="J14" i="8"/>
  <c r="J15" i="8"/>
  <c r="J21" i="8"/>
  <c r="J18" i="8"/>
  <c r="J17" i="8"/>
  <c r="J20" i="8"/>
  <c r="J19" i="8"/>
  <c r="R497" i="8"/>
  <c r="Q497" i="8"/>
  <c r="P497" i="8"/>
  <c r="T497" i="8"/>
  <c r="N496" i="8"/>
  <c r="M496" i="8"/>
  <c r="L498" i="8" l="1"/>
  <c r="F498" i="8"/>
  <c r="E498" i="8"/>
  <c r="G498" i="8"/>
  <c r="D498" i="8"/>
  <c r="I498" i="8"/>
  <c r="J498" i="8"/>
  <c r="H498" i="8"/>
  <c r="B499" i="8"/>
  <c r="K498" i="8"/>
  <c r="Q498" i="8"/>
  <c r="T498" i="8"/>
  <c r="P498" i="8"/>
  <c r="R498" i="8"/>
  <c r="M497" i="8"/>
  <c r="N497" i="8"/>
  <c r="G499" i="8" l="1"/>
  <c r="J16" i="8" s="1"/>
  <c r="H499" i="8"/>
  <c r="K499" i="8"/>
  <c r="I499" i="8"/>
  <c r="J499" i="8"/>
  <c r="F499" i="8"/>
  <c r="D499" i="8"/>
  <c r="E499" i="8"/>
  <c r="L499" i="8"/>
  <c r="T499" i="8"/>
  <c r="P499" i="8"/>
  <c r="Q499" i="8"/>
  <c r="R499" i="8"/>
  <c r="M498" i="8"/>
  <c r="N498" i="8"/>
  <c r="T4" i="8" l="1"/>
  <c r="S4" i="8"/>
  <c r="O4" i="8"/>
  <c r="R4" i="8"/>
  <c r="Q4" i="8"/>
  <c r="P4" i="8"/>
  <c r="U4" i="8"/>
  <c r="V4" i="8"/>
  <c r="W4" i="8"/>
  <c r="Z4" i="8"/>
  <c r="AA4" i="8"/>
  <c r="Y4" i="8"/>
  <c r="AC4" i="8"/>
  <c r="AB4" i="8"/>
  <c r="GZ16" i="2" l="1"/>
  <c r="GZ20" i="2"/>
  <c r="GZ21" i="2"/>
  <c r="GZ12" i="2"/>
  <c r="GZ24" i="2"/>
  <c r="GZ13" i="2"/>
  <c r="GZ17" i="2"/>
  <c r="GZ10" i="2"/>
  <c r="GZ14" i="2"/>
  <c r="GZ18" i="2"/>
  <c r="GZ22" i="2"/>
  <c r="GZ26" i="2"/>
  <c r="GZ8" i="2"/>
  <c r="GZ9" i="2"/>
  <c r="GZ25" i="2"/>
  <c r="GZ11" i="2"/>
  <c r="GZ15" i="2"/>
  <c r="GZ19" i="2"/>
  <c r="GZ23" i="2"/>
  <c r="GZ27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Trailing 12 Analysis!$R$3:$W$9" type="102" refreshedVersion="6" minRefreshableVersion="5">
    <extLst>
      <ext xmlns:x15="http://schemas.microsoft.com/office/spreadsheetml/2010/11/main" uri="{DE250136-89BD-433C-8126-D09CA5730AF9}">
        <x15:connection id="Range">
          <x15:rangePr sourceName="_xlcn.WorksheetConnection_Trailing12AnalysisR3W91"/>
        </x15:connection>
      </ext>
    </extLst>
  </connection>
</connections>
</file>

<file path=xl/sharedStrings.xml><?xml version="1.0" encoding="utf-8"?>
<sst xmlns="http://schemas.openxmlformats.org/spreadsheetml/2006/main" count="828" uniqueCount="428">
  <si>
    <t>Preface</t>
  </si>
  <si>
    <t>This is a macro based client that has been supplied along with the deal helps you display the result in a specific templete along with the relevant reports.</t>
  </si>
  <si>
    <t>Features</t>
  </si>
  <si>
    <t>Display financial information as uploaded during deal creation along with the classifications as and where required</t>
  </si>
  <si>
    <t>Summary of Cash Flow</t>
  </si>
  <si>
    <t>Ananlysis of the Deal in form of Loan Analysis</t>
  </si>
  <si>
    <t>Information about the Loan Repayment Schedule</t>
  </si>
  <si>
    <t>Freedom to change/alter/update -</t>
  </si>
  <si>
    <t>Instruction:</t>
  </si>
  <si>
    <t>Sit back, with in a short file your final deal report shall be ready…</t>
  </si>
  <si>
    <t>Status:</t>
  </si>
  <si>
    <t>Head</t>
  </si>
  <si>
    <t>Category</t>
  </si>
  <si>
    <t>Sub-Category</t>
  </si>
  <si>
    <t>Line Items</t>
  </si>
  <si>
    <t>Actual</t>
  </si>
  <si>
    <t>Adjustment</t>
  </si>
  <si>
    <t>Appraisal</t>
  </si>
  <si>
    <t>Budget</t>
  </si>
  <si>
    <t>Proforma</t>
  </si>
  <si>
    <t>Tenant Information</t>
  </si>
  <si>
    <t>Rentable Area</t>
  </si>
  <si>
    <t>Lease Term</t>
  </si>
  <si>
    <t>Actual Rent</t>
  </si>
  <si>
    <t>Market</t>
  </si>
  <si>
    <t>Underwritten Rent</t>
  </si>
  <si>
    <t>Recoveries</t>
  </si>
  <si>
    <t>Remarks</t>
  </si>
  <si>
    <t>Floor Plan</t>
  </si>
  <si>
    <t>Tenant Name</t>
  </si>
  <si>
    <t>Unit Type</t>
  </si>
  <si>
    <t>Status</t>
  </si>
  <si>
    <t>Sq Ft</t>
  </si>
  <si>
    <t>Percent Sq Ft</t>
  </si>
  <si>
    <t>Start Date</t>
  </si>
  <si>
    <t>End Date</t>
  </si>
  <si>
    <t>Rem. Term (Months)</t>
  </si>
  <si>
    <t>Monthly Rent</t>
  </si>
  <si>
    <t>Annual Rent</t>
  </si>
  <si>
    <t>Annual Rent PSF</t>
  </si>
  <si>
    <t>Market Rent</t>
  </si>
  <si>
    <t>UW Annual Rent</t>
  </si>
  <si>
    <t>UW Annual Rent PSF</t>
  </si>
  <si>
    <t>Subsidy</t>
  </si>
  <si>
    <t>Utilities</t>
  </si>
  <si>
    <t>Total</t>
  </si>
  <si>
    <t>SL No</t>
  </si>
  <si>
    <t>Property Name</t>
  </si>
  <si>
    <t>Property Type</t>
  </si>
  <si>
    <t>Property Sub Type</t>
  </si>
  <si>
    <t>Address</t>
  </si>
  <si>
    <t>City</t>
  </si>
  <si>
    <t>MSA</t>
  </si>
  <si>
    <t>State</t>
  </si>
  <si>
    <t>Country</t>
  </si>
  <si>
    <t>ZipCode</t>
  </si>
  <si>
    <t>Year Built</t>
  </si>
  <si>
    <t>Year Renovated</t>
  </si>
  <si>
    <t>Acerage</t>
  </si>
  <si>
    <t>Security Interest</t>
  </si>
  <si>
    <t>Construction Type</t>
  </si>
  <si>
    <t>Rental Income</t>
  </si>
  <si>
    <t>Vacancy &amp; Collection Loss</t>
  </si>
  <si>
    <t>Reimbursement</t>
  </si>
  <si>
    <t>Commercial Income</t>
  </si>
  <si>
    <t>Laundry /Vending Income</t>
  </si>
  <si>
    <t>Parking Income</t>
  </si>
  <si>
    <t>Other Income</t>
  </si>
  <si>
    <t>Effective Gross Income</t>
  </si>
  <si>
    <t>Payroll &amp; Benefits</t>
  </si>
  <si>
    <t>General &amp; Administrative</t>
  </si>
  <si>
    <t>Leasing &amp; Marketing</t>
  </si>
  <si>
    <t>Professional &amp; Legal Fee</t>
  </si>
  <si>
    <t>Repair &amp; Maintenance</t>
  </si>
  <si>
    <t>Janitorial/Cleaning</t>
  </si>
  <si>
    <t>Other Expenses</t>
  </si>
  <si>
    <t>Total Variable Expense</t>
  </si>
  <si>
    <t>Fixed Expense</t>
  </si>
  <si>
    <t>Management Fee</t>
  </si>
  <si>
    <t>Real Estate Tax</t>
  </si>
  <si>
    <t>Insurance</t>
  </si>
  <si>
    <t>Ground Rent</t>
  </si>
  <si>
    <t>Total Fixed Expense</t>
  </si>
  <si>
    <t>Total Expense</t>
  </si>
  <si>
    <t>Net Operating Income</t>
  </si>
  <si>
    <t>Capital Expense</t>
  </si>
  <si>
    <t>Replacement Reserves</t>
  </si>
  <si>
    <t>Capital Expenditures</t>
  </si>
  <si>
    <t>Tenant Improvement</t>
  </si>
  <si>
    <t>Leasing Commission</t>
  </si>
  <si>
    <t>Other Capital</t>
  </si>
  <si>
    <t>Total Capital Expense</t>
  </si>
  <si>
    <t>Net Cash Flow</t>
  </si>
  <si>
    <t>NOI Debt Yield</t>
  </si>
  <si>
    <t>NOI DSCR</t>
  </si>
  <si>
    <t>NCF Debt Yield</t>
  </si>
  <si>
    <t>NCF DSCR</t>
  </si>
  <si>
    <t>Categories</t>
  </si>
  <si>
    <t>UW As is</t>
  </si>
  <si>
    <t>Notes</t>
  </si>
  <si>
    <t>Overall Expense</t>
  </si>
  <si>
    <t xml:space="preserve">   Variable Expense</t>
  </si>
  <si>
    <t>SUB INTEREST :-</t>
  </si>
  <si>
    <t>AMORTIZATION REMAINING</t>
  </si>
  <si>
    <t>PERIODS REMAINING</t>
  </si>
  <si>
    <t>END BALANCE</t>
  </si>
  <si>
    <t>TOTAL P&amp;I</t>
  </si>
  <si>
    <t>INTEREST</t>
  </si>
  <si>
    <t>PRINCIPAL</t>
  </si>
  <si>
    <t>INTEREST RATE</t>
  </si>
  <si>
    <t>BEGINNING BALANCE</t>
  </si>
  <si>
    <t>DAYS</t>
  </si>
  <si>
    <t>DATE</t>
  </si>
  <si>
    <t>PERIOD</t>
  </si>
  <si>
    <t>Balloon Principal Balance</t>
  </si>
  <si>
    <t>Debt Constant</t>
  </si>
  <si>
    <t>LOAN BALANCE STATS</t>
  </si>
  <si>
    <t>Annualized Debt Service</t>
  </si>
  <si>
    <t>P&amp;I Payment</t>
  </si>
  <si>
    <t>Remaining Amort. Term</t>
  </si>
  <si>
    <t>DEBT SERVICE STATS</t>
  </si>
  <si>
    <t>Remaining Loan Term</t>
  </si>
  <si>
    <t>Maturity Date</t>
  </si>
  <si>
    <t>Per Diem Rate</t>
  </si>
  <si>
    <t>TIMING STATS</t>
  </si>
  <si>
    <t>Interest Rate</t>
  </si>
  <si>
    <t>30/360</t>
  </si>
  <si>
    <t>Accrual Method</t>
  </si>
  <si>
    <t>Monthly</t>
  </si>
  <si>
    <t>Payment Frequency</t>
  </si>
  <si>
    <t>ARM</t>
  </si>
  <si>
    <t>Rate Type</t>
  </si>
  <si>
    <t>Interest Only Periods</t>
  </si>
  <si>
    <t>INTEREST RATE INFORMATION</t>
  </si>
  <si>
    <t>Amortization Term</t>
  </si>
  <si>
    <t>Loan Term (Months)</t>
  </si>
  <si>
    <t>Original Balance</t>
  </si>
  <si>
    <t>Next Pmt Date</t>
  </si>
  <si>
    <t>First Pmt Date</t>
  </si>
  <si>
    <t>Single</t>
  </si>
  <si>
    <t>PER UNIT</t>
  </si>
  <si>
    <t>BALANCE</t>
  </si>
  <si>
    <t>END PERIOD</t>
  </si>
  <si>
    <t>Note Date</t>
  </si>
  <si>
    <t>Loan Name</t>
  </si>
  <si>
    <t>ENDING BALANCES 12 MONTH PERIOD</t>
  </si>
  <si>
    <t>TIMING / DATES</t>
  </si>
  <si>
    <t>GENERAL INFORMATION</t>
  </si>
  <si>
    <t>Income</t>
  </si>
  <si>
    <t>Expense</t>
  </si>
  <si>
    <t>Variable Expense</t>
  </si>
  <si>
    <t>T6</t>
  </si>
  <si>
    <t>T3</t>
  </si>
  <si>
    <t>T1</t>
  </si>
  <si>
    <t>T9</t>
  </si>
  <si>
    <t>T12</t>
  </si>
  <si>
    <t>% Unit</t>
  </si>
  <si>
    <t>SF</t>
  </si>
  <si>
    <t># Lease Exp</t>
  </si>
  <si>
    <t>Previous Month</t>
  </si>
  <si>
    <t>60 Days</t>
  </si>
  <si>
    <t>90 Days</t>
  </si>
  <si>
    <t># Units</t>
  </si>
  <si>
    <t>SQ FT</t>
  </si>
  <si>
    <t>SQ FT / Unit</t>
  </si>
  <si>
    <t>Utility Reimbursement</t>
  </si>
  <si>
    <t>Amount</t>
  </si>
  <si>
    <t>Occupied</t>
  </si>
  <si>
    <t>MTM</t>
  </si>
  <si>
    <t>Model</t>
  </si>
  <si>
    <t>Rent Adjustment</t>
  </si>
  <si>
    <t>Employee</t>
  </si>
  <si>
    <t>Vacancy Loss</t>
  </si>
  <si>
    <t>Vacant</t>
  </si>
  <si>
    <t>Reimbursements</t>
  </si>
  <si>
    <t>Avg SQ FT</t>
  </si>
  <si>
    <t>Rent / Unit</t>
  </si>
  <si>
    <t>Rent / SQ FT</t>
  </si>
  <si>
    <t>Maturity LTV</t>
  </si>
  <si>
    <t>Loan Balance @ Maturity Per Unit</t>
  </si>
  <si>
    <t>Loan Balance @ Maturity</t>
  </si>
  <si>
    <t>Debt Yield (NOI)</t>
  </si>
  <si>
    <t>LTV</t>
  </si>
  <si>
    <t>DSCR (NCF)</t>
  </si>
  <si>
    <t>DSCR (NOI)</t>
  </si>
  <si>
    <t>NCF</t>
  </si>
  <si>
    <t>Capital Expenses</t>
  </si>
  <si>
    <t>NOI</t>
  </si>
  <si>
    <t>Lower of Appraisal and Estimated Underwriting Value</t>
  </si>
  <si>
    <t>Acquisition</t>
  </si>
  <si>
    <t>Loan Purpose</t>
  </si>
  <si>
    <t>UW Estimated Source</t>
  </si>
  <si>
    <t>Taxes</t>
  </si>
  <si>
    <t>UW Occupancy Assumption</t>
  </si>
  <si>
    <t>Physical Occupancy</t>
  </si>
  <si>
    <t>Variable Expenses</t>
  </si>
  <si>
    <t>Per Unit</t>
  </si>
  <si>
    <t>Type</t>
  </si>
  <si>
    <t>Appraised Value</t>
  </si>
  <si>
    <t>Net Cash Flow (NCF)</t>
  </si>
  <si>
    <t>Cap Rate</t>
  </si>
  <si>
    <t>Net Operating Income (NOI)</t>
  </si>
  <si>
    <t>Gross Potential Rent</t>
  </si>
  <si>
    <t>Employee Discount</t>
  </si>
  <si>
    <t>Total Rent</t>
  </si>
  <si>
    <t>Rent Roll Concessions</t>
  </si>
  <si>
    <t>Rent Premium</t>
  </si>
  <si>
    <t>Lease Rent</t>
  </si>
  <si>
    <t>Rent Status</t>
  </si>
  <si>
    <t>Rent Roll Date</t>
  </si>
  <si>
    <t>Annual Market Rent</t>
  </si>
  <si>
    <t>Loan Type</t>
  </si>
  <si>
    <t>Exclude Tenant Costs</t>
  </si>
  <si>
    <t>Interest Type</t>
  </si>
  <si>
    <t>Yes</t>
  </si>
  <si>
    <t>No</t>
  </si>
  <si>
    <t>Fixed</t>
  </si>
  <si>
    <t>Hybrid</t>
  </si>
  <si>
    <t>Sources</t>
  </si>
  <si>
    <t>Uses</t>
  </si>
  <si>
    <t>Mezzanaine Loan</t>
  </si>
  <si>
    <t>Purchase Price</t>
  </si>
  <si>
    <t>Equity In</t>
  </si>
  <si>
    <t>Legal &amp; Closing</t>
  </si>
  <si>
    <t>First Mortgage</t>
  </si>
  <si>
    <t>Third Party Reports</t>
  </si>
  <si>
    <t>Other Sources</t>
  </si>
  <si>
    <t>Financing Fees</t>
  </si>
  <si>
    <t>Upfront Reserves</t>
  </si>
  <si>
    <t>Equity Out</t>
  </si>
  <si>
    <t>Others</t>
  </si>
  <si>
    <t>Portfolio</t>
  </si>
  <si>
    <t>For Cashflow Type</t>
  </si>
  <si>
    <t>Historical</t>
  </si>
  <si>
    <t>Actual/360</t>
  </si>
  <si>
    <t>Trailing</t>
  </si>
  <si>
    <t>Bridge(Transaction)</t>
  </si>
  <si>
    <t>YTD</t>
  </si>
  <si>
    <t>Refinance</t>
  </si>
  <si>
    <t>Actual/Actual</t>
  </si>
  <si>
    <t>New Construction</t>
  </si>
  <si>
    <t>Sizin Prop Value</t>
  </si>
  <si>
    <t>Appraised Value If It Exists</t>
  </si>
  <si>
    <t>Underwriting Estimated Value</t>
  </si>
  <si>
    <t>Quarterly</t>
  </si>
  <si>
    <t>Semi-Annually</t>
  </si>
  <si>
    <t>Annually</t>
  </si>
  <si>
    <t>Stressed LTV</t>
  </si>
  <si>
    <t>Period</t>
  </si>
  <si>
    <t>DS</t>
  </si>
  <si>
    <t>Ending B</t>
  </si>
  <si>
    <t>Per Diem Interest Rate</t>
  </si>
  <si>
    <t>Interest Calculation</t>
  </si>
  <si>
    <t>LOAN SIZING</t>
  </si>
  <si>
    <t>LOAN TERMS</t>
  </si>
  <si>
    <t>PROPERTY SUMMARY</t>
  </si>
  <si>
    <t>PROPERTY CASHFLOWS</t>
  </si>
  <si>
    <t>Requested Amount</t>
  </si>
  <si>
    <t>Term</t>
  </si>
  <si>
    <t>UW Estimated Value</t>
  </si>
  <si>
    <t>Est. Property Value</t>
  </si>
  <si>
    <t>IO Period</t>
  </si>
  <si>
    <t>Est. Property Value Per Unit</t>
  </si>
  <si>
    <t>Index Rate</t>
  </si>
  <si>
    <t>Appraised Value Per Unit</t>
  </si>
  <si>
    <t>Spread</t>
  </si>
  <si>
    <t>Management 
Fee</t>
  </si>
  <si>
    <t>Vacancy Physical</t>
  </si>
  <si>
    <t>Initial Rate</t>
  </si>
  <si>
    <t>UW Vacancy Assumption</t>
  </si>
  <si>
    <t>Constant</t>
  </si>
  <si>
    <t>Sizing Property Criteria</t>
  </si>
  <si>
    <t>Floor</t>
  </si>
  <si>
    <t>First Pay Date</t>
  </si>
  <si>
    <t>Max Rate</t>
  </si>
  <si>
    <t>LOAN SIZING PARAMETER</t>
  </si>
  <si>
    <t>LOAN AMOUNT</t>
  </si>
  <si>
    <t>DEBT YIELD (NOI)</t>
  </si>
  <si>
    <t>DEBT YIELD (NCF)</t>
  </si>
  <si>
    <t>Existing Liens</t>
  </si>
  <si>
    <t>Total Cost Basis</t>
  </si>
  <si>
    <t>MATURITY INFORMATION</t>
  </si>
  <si>
    <t>Cash Out</t>
  </si>
  <si>
    <t>Cash Equity</t>
  </si>
  <si>
    <t>Amortizing PMT</t>
  </si>
  <si>
    <t>IO PMT</t>
  </si>
  <si>
    <t>Cashflow Haircut</t>
  </si>
  <si>
    <t>Amortization</t>
  </si>
  <si>
    <t>Avg Actual Rent</t>
  </si>
  <si>
    <t>Avg Market Rent</t>
  </si>
  <si>
    <t>As On Date</t>
  </si>
  <si>
    <t># New Lease</t>
  </si>
  <si>
    <t>Rent PSF</t>
  </si>
  <si>
    <t>Month</t>
  </si>
  <si>
    <t>`</t>
  </si>
  <si>
    <r>
      <rPr>
        <b/>
        <sz val="10"/>
        <color theme="4" tint="-0.249977111117893"/>
        <rFont val="Calibri Light"/>
        <family val="2"/>
        <scheme val="major"/>
      </rPr>
      <t>5.1.</t>
    </r>
    <r>
      <rPr>
        <sz val="10"/>
        <color theme="1"/>
        <rFont val="Calibri Light"/>
        <family val="2"/>
        <scheme val="major"/>
      </rPr>
      <t xml:space="preserve"> Assumptions</t>
    </r>
  </si>
  <si>
    <r>
      <rPr>
        <b/>
        <sz val="10"/>
        <color theme="4" tint="-0.249977111117893"/>
        <rFont val="Calibri Light"/>
        <family val="2"/>
        <scheme val="major"/>
      </rPr>
      <t>5.2.</t>
    </r>
    <r>
      <rPr>
        <sz val="10"/>
        <color theme="1"/>
        <rFont val="Calibri Light"/>
        <family val="2"/>
        <scheme val="major"/>
      </rPr>
      <t xml:space="preserve"> Financial Informations, if required</t>
    </r>
  </si>
  <si>
    <t>#Bed</t>
  </si>
  <si>
    <t>Stressed Cap Rate</t>
  </si>
  <si>
    <t>Excluded Income</t>
  </si>
  <si>
    <t>Excluded Expense</t>
  </si>
  <si>
    <t>Effective Gross Income(EGI)</t>
  </si>
  <si>
    <t>#Bath</t>
  </si>
  <si>
    <t>Extraordinary Capital Expenditures</t>
  </si>
  <si>
    <t>% of Total</t>
  </si>
  <si>
    <t>PSF</t>
  </si>
  <si>
    <t>Description</t>
  </si>
  <si>
    <t>year</t>
  </si>
  <si>
    <t>period_from</t>
  </si>
  <si>
    <t>period_to</t>
  </si>
  <si>
    <t>S.N.</t>
  </si>
  <si>
    <t>Heads</t>
  </si>
  <si>
    <t>Year</t>
  </si>
  <si>
    <t>Period From</t>
  </si>
  <si>
    <t>Period To</t>
  </si>
  <si>
    <t>Vac</t>
  </si>
  <si>
    <t>EMPL</t>
  </si>
  <si>
    <t>EMP</t>
  </si>
  <si>
    <t>MODEL</t>
  </si>
  <si>
    <t>OFFICE</t>
  </si>
  <si>
    <t>Office</t>
  </si>
  <si>
    <t>MODEL/OFFICE</t>
  </si>
  <si>
    <t>Status Code</t>
  </si>
  <si>
    <t>Laundry/Vending Income</t>
  </si>
  <si>
    <t>Management Fees</t>
  </si>
  <si>
    <t>Real Estate Taxes</t>
  </si>
  <si>
    <t>Total Income</t>
  </si>
  <si>
    <t>Total Capital Expenditures</t>
  </si>
  <si>
    <t>Net Operating Income(NOI)</t>
  </si>
  <si>
    <t>Net Cash Flow(NCF)</t>
  </si>
  <si>
    <t>4% of Gross Revenue</t>
  </si>
  <si>
    <t>Other Charges</t>
  </si>
  <si>
    <t>Annual</t>
  </si>
  <si>
    <t>Download the xlsx file from the loan reports page</t>
  </si>
  <si>
    <t>On opening of this file will ask for the location of the xlsx file</t>
  </si>
  <si>
    <t>Property Insurance</t>
  </si>
  <si>
    <t>Professional Fees</t>
  </si>
  <si>
    <t>Repairs &amp; Maintenance</t>
  </si>
  <si>
    <t>Down</t>
  </si>
  <si>
    <t>-</t>
  </si>
  <si>
    <t>Non-Revenue</t>
  </si>
  <si>
    <t>Admin/Model</t>
  </si>
  <si>
    <t>Other</t>
  </si>
  <si>
    <t>Loss to Lease</t>
  </si>
  <si>
    <t>Concessions</t>
  </si>
  <si>
    <t>Non Revenue Units</t>
  </si>
  <si>
    <t>Vacancy</t>
  </si>
  <si>
    <t>Bad Debts</t>
  </si>
  <si>
    <t>Coop Maint Fee</t>
  </si>
  <si>
    <t>NSF/Late Fees</t>
  </si>
  <si>
    <t>MTM/Short Term Premiums</t>
  </si>
  <si>
    <t>Cable / Pet / Misc. Monthly Charges</t>
  </si>
  <si>
    <t>Miscellaneous Other Income</t>
  </si>
  <si>
    <t>Manager Salary</t>
  </si>
  <si>
    <t>Other Salaries</t>
  </si>
  <si>
    <t>Payroll Taxes &amp; Benefits</t>
  </si>
  <si>
    <t>Employee Discounts/Allowance</t>
  </si>
  <si>
    <t>Contract Services</t>
  </si>
  <si>
    <t>Office/Model/Down Units</t>
  </si>
  <si>
    <t>Office/General and Administrative</t>
  </si>
  <si>
    <t>Security</t>
  </si>
  <si>
    <t>Leased Furniture</t>
  </si>
  <si>
    <t>License/Permits</t>
  </si>
  <si>
    <t>Other Taxes or Assmnts</t>
  </si>
  <si>
    <t>Corporate Units</t>
  </si>
  <si>
    <t>Advertising</t>
  </si>
  <si>
    <t>Leasing Expense</t>
  </si>
  <si>
    <t>Fuel</t>
  </si>
  <si>
    <t>Gas</t>
  </si>
  <si>
    <t>Electricity</t>
  </si>
  <si>
    <t>Water &amp; Sewer</t>
  </si>
  <si>
    <t>Trash Removal</t>
  </si>
  <si>
    <t>General Utilities</t>
  </si>
  <si>
    <t>Legal/Audit Fees</t>
  </si>
  <si>
    <t>Interior/Exterior Decorating</t>
  </si>
  <si>
    <t>Elevator Maintenance</t>
  </si>
  <si>
    <t>Recreation Amenities</t>
  </si>
  <si>
    <t>Parking Maintenance</t>
  </si>
  <si>
    <t>Extermination/Pest Control</t>
  </si>
  <si>
    <t>Signage</t>
  </si>
  <si>
    <t>Bldg. Maint. &amp; Repair</t>
  </si>
  <si>
    <t>Cleaning/Turnover</t>
  </si>
  <si>
    <t>Landscaping and Grounds</t>
  </si>
  <si>
    <t>SubCategory</t>
  </si>
  <si>
    <t>Allocated Loan Amount</t>
  </si>
  <si>
    <t># Room</t>
  </si>
  <si>
    <t># Buildings</t>
  </si>
  <si>
    <t># Floor</t>
  </si>
  <si>
    <t># Month</t>
  </si>
  <si>
    <t>UW As Stabilized</t>
  </si>
  <si>
    <t># Unit</t>
  </si>
  <si>
    <t># Bed</t>
  </si>
  <si>
    <t># Bath</t>
  </si>
  <si>
    <t>Loan #</t>
  </si>
  <si>
    <t># SL</t>
  </si>
  <si>
    <t xml:space="preserve">Filename must't contain following reserve character : </t>
  </si>
  <si>
    <t xml:space="preserve">&lt; </t>
  </si>
  <si>
    <t>Less than</t>
  </si>
  <si>
    <t xml:space="preserve">&gt; </t>
  </si>
  <si>
    <t>Greater than</t>
  </si>
  <si>
    <t xml:space="preserve">: </t>
  </si>
  <si>
    <t>Colon</t>
  </si>
  <si>
    <t xml:space="preserve">" </t>
  </si>
  <si>
    <t>Double quote</t>
  </si>
  <si>
    <t xml:space="preserve">/ </t>
  </si>
  <si>
    <t>Forward slash</t>
  </si>
  <si>
    <t xml:space="preserve">\ </t>
  </si>
  <si>
    <t>Backslash</t>
  </si>
  <si>
    <t xml:space="preserve">| </t>
  </si>
  <si>
    <t>Vertical bar or pipe</t>
  </si>
  <si>
    <t xml:space="preserve">? </t>
  </si>
  <si>
    <t>Question mark</t>
  </si>
  <si>
    <t xml:space="preserve">* </t>
  </si>
  <si>
    <t>Asterisk</t>
  </si>
  <si>
    <t>Multifamily template's names can't begin with MF.</t>
  </si>
  <si>
    <t>Non Revenue Unit</t>
  </si>
  <si>
    <t>Bed</t>
  </si>
  <si>
    <t>Bath</t>
  </si>
  <si>
    <t>Studio</t>
  </si>
  <si>
    <t>N/A</t>
  </si>
  <si>
    <t>Trailing12</t>
  </si>
  <si>
    <t>UW AS IS Calculation Method</t>
  </si>
  <si>
    <t>Choose from the list</t>
  </si>
  <si>
    <t>Per Unit Reserve Estimatation</t>
  </si>
  <si>
    <t>UW Calcuation Index</t>
  </si>
  <si>
    <t xml:space="preserve">YTD </t>
  </si>
  <si>
    <t xml:space="preserve">Trailing12 </t>
  </si>
  <si>
    <t>YTD Annualized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</si>
</sst>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64" formatCode="&quot;$&quot;#,##0.00_);[Red]\(&quot;$&quot;#,##0.00\)"/>
    <numFmt numFmtId="165" formatCode="_(&quot;$&quot;* #,##0_);_(&quot;$&quot;* \(#,##0\);_(&quot;$&quot;* &quot;-&quot;_);_(@_)"/>
    <numFmt numFmtId="166" formatCode="_(* #,##0_);_(* \(#,##0\);_(* &quot;-&quot;_);_(@_)"/>
    <numFmt numFmtId="167" formatCode="_(&quot;$&quot;* #,##0.00_);_(&quot;$&quot;* \(#,##0.00\);_(&quot;$&quot;* &quot;-&quot;??_);_(@_)"/>
    <numFmt numFmtId="168" formatCode="mm/dd/yy;@"/>
    <numFmt numFmtId="169" formatCode="#"/>
    <numFmt numFmtId="170" formatCode="_(* #,##0_);_(* \(#,##0\);_(* &quot;-&quot;?_);_(@_)"/>
    <numFmt numFmtId="171" formatCode="_(* #,##0.00_);_(* \(#,##0.00\);_(* &quot;-&quot;?_);_(@_)"/>
    <numFmt numFmtId="172" formatCode="0.000%"/>
    <numFmt numFmtId="173" formatCode="0.0%"/>
    <numFmt numFmtId="174" formatCode="General\K"/>
    <numFmt numFmtId="175" formatCode="0.00000%"/>
    <numFmt numFmtId="176" formatCode="0.00\X"/>
    <numFmt numFmtId="177" formatCode="[$-409]mmm\-yy;@"/>
    <numFmt numFmtId="178" formatCode="&quot;$&quot;#,##0.00"/>
    <numFmt numFmtId="179" formatCode="_-[$$-1009]* #,##0.00_-;\-[$$-1009]* #,##0.00_-;_-[$$-1009]* &quot;-&quot;??_-;_-@_-"/>
    <numFmt numFmtId="180" formatCode="mmmm\ yyyy"/>
    <numFmt numFmtId="181" formatCode="[&gt;0]#,##0;\-"/>
    <numFmt numFmtId="182" formatCode=";;;"/>
  </numFmts>
  <fonts count="41" x14ac:knownFonts="1">
    <font>
      <sz val="11"/>
      <color theme="1"/>
      <name val="Calibri"/>
      <family val="2"/>
      <scheme val="minor"/>
    </font>
    <font>
      <sz val="11"/>
      <color theme="1"/>
      <name val="Calibri Light"/>
      <family val="2"/>
      <scheme val="major"/>
    </font>
    <font>
      <sz val="9"/>
      <color theme="1"/>
      <name val="Calibri Light"/>
      <family val="2"/>
      <scheme val="major"/>
    </font>
    <font>
      <b/>
      <sz val="12"/>
      <color theme="0"/>
      <name val="Calibri Light"/>
      <family val="2"/>
      <scheme val="major"/>
    </font>
    <font>
      <sz val="9"/>
      <color theme="0"/>
      <name val="Calibri Light"/>
      <family val="2"/>
      <scheme val="major"/>
    </font>
    <font>
      <b/>
      <sz val="9"/>
      <color theme="1"/>
      <name val="Calibri Light"/>
      <family val="2"/>
      <scheme val="major"/>
    </font>
    <font>
      <b/>
      <sz val="9"/>
      <color theme="0"/>
      <name val="Calibri Light"/>
      <family val="2"/>
      <scheme val="major"/>
    </font>
    <font>
      <b/>
      <sz val="9"/>
      <name val="Calibri Light"/>
      <family val="2"/>
      <scheme val="major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Calibri Light"/>
      <family val="2"/>
      <scheme val="major"/>
    </font>
    <font>
      <sz val="8"/>
      <color theme="1"/>
      <name val="Calibri Light"/>
      <family val="2"/>
      <scheme val="major"/>
    </font>
    <font>
      <b/>
      <sz val="12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i/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8"/>
      <color indexed="9"/>
      <name val="Arial"/>
      <family val="2"/>
    </font>
    <font>
      <sz val="11"/>
      <color theme="0"/>
      <name val="Calibri Light"/>
      <family val="2"/>
      <scheme val="major"/>
    </font>
    <font>
      <sz val="10"/>
      <color theme="1"/>
      <name val="Calibri Light"/>
      <family val="2"/>
      <scheme val="major"/>
    </font>
    <font>
      <b/>
      <sz val="10"/>
      <color theme="1"/>
      <name val="Calibri Light"/>
      <family val="2"/>
      <scheme val="major"/>
    </font>
    <font>
      <b/>
      <sz val="10"/>
      <color theme="0"/>
      <name val="Calibri Light"/>
      <family val="2"/>
      <scheme val="major"/>
    </font>
    <font>
      <sz val="10"/>
      <color theme="0"/>
      <name val="Calibri Light"/>
      <family val="2"/>
      <scheme val="major"/>
    </font>
    <font>
      <sz val="10"/>
      <name val="Calibri Light"/>
      <family val="2"/>
      <scheme val="major"/>
    </font>
    <font>
      <b/>
      <sz val="10"/>
      <color theme="4" tint="-0.249977111117893"/>
      <name val="Calibri Light"/>
      <family val="2"/>
      <scheme val="major"/>
    </font>
    <font>
      <b/>
      <sz val="10"/>
      <name val="Calibri Light"/>
      <family val="2"/>
      <scheme val="maj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sz val="8"/>
      <name val="Calibri Light"/>
      <family val="2"/>
      <scheme val="major"/>
    </font>
    <font>
      <b/>
      <sz val="9"/>
      <color theme="4" tint="-0.249977111117893"/>
      <name val="Calibri Light"/>
      <family val="2"/>
      <scheme val="major"/>
    </font>
    <font>
      <sz val="9"/>
      <color rgb="FF24292E"/>
      <name val="Consolas"/>
      <family val="3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006EC5"/>
        <bgColor indexed="64"/>
      </patternFill>
    </fill>
    <fill>
      <patternFill patternType="solid">
        <fgColor rgb="FF003A83"/>
        <bgColor indexed="64"/>
      </patternFill>
    </fill>
    <fill>
      <patternFill patternType="solid">
        <fgColor rgb="FFA9D8FE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66B6F6"/>
        <bgColor indexed="64"/>
      </patternFill>
    </fill>
    <fill>
      <patternFill patternType="solid">
        <fgColor rgb="FFFFFFFF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rgb="FF006EC5"/>
      </bottom>
      <diagonal/>
    </border>
    <border>
      <left style="medium">
        <color rgb="FF006EC5"/>
      </left>
      <right/>
      <top style="medium">
        <color rgb="FF006EC5"/>
      </top>
      <bottom/>
      <diagonal/>
    </border>
    <border>
      <left/>
      <right/>
      <top style="medium">
        <color rgb="FF006EC5"/>
      </top>
      <bottom/>
      <diagonal/>
    </border>
    <border>
      <left/>
      <right style="medium">
        <color rgb="FF006EC5"/>
      </right>
      <top style="medium">
        <color rgb="FF006EC5"/>
      </top>
      <bottom/>
      <diagonal/>
    </border>
    <border>
      <left style="medium">
        <color rgb="FF006EC5"/>
      </left>
      <right/>
      <top/>
      <bottom/>
      <diagonal/>
    </border>
    <border>
      <left/>
      <right style="medium">
        <color rgb="FF006EC5"/>
      </right>
      <top/>
      <bottom/>
      <diagonal/>
    </border>
    <border>
      <left style="medium">
        <color rgb="FF006EC5"/>
      </left>
      <right/>
      <top/>
      <bottom style="medium">
        <color rgb="FF006EC5"/>
      </bottom>
      <diagonal/>
    </border>
    <border>
      <left/>
      <right style="medium">
        <color rgb="FF006EC5"/>
      </right>
      <top/>
      <bottom style="medium">
        <color rgb="FF006EC5"/>
      </bottom>
      <diagonal/>
    </border>
    <border>
      <left/>
      <right/>
      <top style="hair">
        <color rgb="FF006EC5"/>
      </top>
      <bottom style="hair">
        <color rgb="FF006EC5"/>
      </bottom>
      <diagonal/>
    </border>
    <border>
      <left/>
      <right/>
      <top/>
      <bottom style="hair">
        <color rgb="FF006EC5"/>
      </bottom>
      <diagonal/>
    </border>
    <border>
      <left/>
      <right style="hair">
        <color rgb="FF006EC5"/>
      </right>
      <top/>
      <bottom style="hair">
        <color rgb="FF006EC5"/>
      </bottom>
      <diagonal/>
    </border>
    <border>
      <left style="hair">
        <color rgb="FF006EC5"/>
      </left>
      <right style="hair">
        <color rgb="FF006EC5"/>
      </right>
      <top/>
      <bottom style="hair">
        <color rgb="FF006EC5"/>
      </bottom>
      <diagonal/>
    </border>
    <border>
      <left style="hair">
        <color rgb="FF006EC5"/>
      </left>
      <right/>
      <top/>
      <bottom style="hair">
        <color rgb="FF006EC5"/>
      </bottom>
      <diagonal/>
    </border>
    <border>
      <left/>
      <right style="hair">
        <color rgb="FF006EC5"/>
      </right>
      <top style="hair">
        <color rgb="FF006EC5"/>
      </top>
      <bottom style="hair">
        <color rgb="FF006EC5"/>
      </bottom>
      <diagonal/>
    </border>
    <border>
      <left style="hair">
        <color rgb="FF006EC5"/>
      </left>
      <right style="hair">
        <color rgb="FF006EC5"/>
      </right>
      <top style="hair">
        <color rgb="FF006EC5"/>
      </top>
      <bottom style="hair">
        <color rgb="FF006EC5"/>
      </bottom>
      <diagonal/>
    </border>
    <border>
      <left style="hair">
        <color rgb="FF006EC5"/>
      </left>
      <right/>
      <top style="hair">
        <color rgb="FF006EC5"/>
      </top>
      <bottom style="hair">
        <color rgb="FF006EC5"/>
      </bottom>
      <diagonal/>
    </border>
    <border>
      <left/>
      <right style="hair">
        <color rgb="FF006EC5"/>
      </right>
      <top style="hair">
        <color rgb="FF006EC5"/>
      </top>
      <bottom/>
      <diagonal/>
    </border>
    <border>
      <left style="hair">
        <color rgb="FF006EC5"/>
      </left>
      <right style="hair">
        <color rgb="FF006EC5"/>
      </right>
      <top style="hair">
        <color rgb="FF006EC5"/>
      </top>
      <bottom/>
      <diagonal/>
    </border>
    <border>
      <left style="hair">
        <color rgb="FF006EC5"/>
      </left>
      <right/>
      <top style="hair">
        <color rgb="FF006EC5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6EC5"/>
      </left>
      <right/>
      <top style="thin">
        <color rgb="FF006EC5"/>
      </top>
      <bottom style="hair">
        <color rgb="FF006EC5"/>
      </bottom>
      <diagonal/>
    </border>
    <border>
      <left/>
      <right/>
      <top style="thin">
        <color rgb="FF006EC5"/>
      </top>
      <bottom style="hair">
        <color rgb="FF006EC5"/>
      </bottom>
      <diagonal/>
    </border>
    <border>
      <left/>
      <right style="thin">
        <color rgb="FF006EC5"/>
      </right>
      <top style="thin">
        <color rgb="FF006EC5"/>
      </top>
      <bottom style="hair">
        <color rgb="FF006EC5"/>
      </bottom>
      <diagonal/>
    </border>
    <border>
      <left style="thin">
        <color rgb="FF006EC5"/>
      </left>
      <right/>
      <top style="hair">
        <color rgb="FF006EC5"/>
      </top>
      <bottom style="hair">
        <color rgb="FF006EC5"/>
      </bottom>
      <diagonal/>
    </border>
    <border>
      <left/>
      <right style="thin">
        <color rgb="FF006EC5"/>
      </right>
      <top style="hair">
        <color rgb="FF006EC5"/>
      </top>
      <bottom style="hair">
        <color rgb="FF006EC5"/>
      </bottom>
      <diagonal/>
    </border>
    <border>
      <left style="thin">
        <color rgb="FF006EC5"/>
      </left>
      <right/>
      <top style="hair">
        <color rgb="FF006EC5"/>
      </top>
      <bottom style="thin">
        <color rgb="FF006EC5"/>
      </bottom>
      <diagonal/>
    </border>
    <border>
      <left/>
      <right/>
      <top style="hair">
        <color rgb="FF006EC5"/>
      </top>
      <bottom style="thin">
        <color rgb="FF006EC5"/>
      </bottom>
      <diagonal/>
    </border>
    <border>
      <left/>
      <right style="thin">
        <color rgb="FF006EC5"/>
      </right>
      <top style="hair">
        <color rgb="FF006EC5"/>
      </top>
      <bottom style="thin">
        <color rgb="FF006EC5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rgb="FF006EC5"/>
      </left>
      <right style="hair">
        <color rgb="FF006EC5"/>
      </right>
      <top/>
      <bottom/>
      <diagonal/>
    </border>
    <border>
      <left/>
      <right/>
      <top style="hair">
        <color rgb="FF006EC5"/>
      </top>
      <bottom/>
      <diagonal/>
    </border>
    <border>
      <left style="thin">
        <color rgb="FF006EC5"/>
      </left>
      <right/>
      <top style="thin">
        <color rgb="FF006EC5"/>
      </top>
      <bottom/>
      <diagonal/>
    </border>
    <border>
      <left/>
      <right/>
      <top style="thin">
        <color rgb="FF006EC5"/>
      </top>
      <bottom/>
      <diagonal/>
    </border>
    <border>
      <left/>
      <right style="thin">
        <color rgb="FF006EC5"/>
      </right>
      <top style="thin">
        <color rgb="FF006EC5"/>
      </top>
      <bottom/>
      <diagonal/>
    </border>
    <border>
      <left style="thin">
        <color rgb="FF006EC5"/>
      </left>
      <right/>
      <top/>
      <bottom/>
      <diagonal/>
    </border>
    <border>
      <left/>
      <right style="thin">
        <color rgb="FF006EC5"/>
      </right>
      <top/>
      <bottom/>
      <diagonal/>
    </border>
    <border>
      <left style="thin">
        <color rgb="FF006EC5"/>
      </left>
      <right/>
      <top/>
      <bottom style="thin">
        <color rgb="FF006EC5"/>
      </bottom>
      <diagonal/>
    </border>
    <border>
      <left/>
      <right/>
      <top/>
      <bottom style="thin">
        <color rgb="FF006EC5"/>
      </bottom>
      <diagonal/>
    </border>
    <border>
      <left/>
      <right style="thin">
        <color rgb="FF006EC5"/>
      </right>
      <top/>
      <bottom style="thin">
        <color rgb="FF006EC5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/>
      <diagonal/>
    </border>
    <border>
      <left style="thin">
        <color rgb="FF0070C0"/>
      </left>
      <right style="thin">
        <color rgb="FF0070C0"/>
      </right>
      <top/>
      <bottom/>
      <diagonal/>
    </border>
    <border>
      <left style="thin">
        <color rgb="FF0070C0"/>
      </left>
      <right style="thin">
        <color rgb="FF0070C0"/>
      </right>
      <top/>
      <bottom style="thin">
        <color rgb="FF0070C0"/>
      </bottom>
      <diagonal/>
    </border>
  </borders>
  <cellStyleXfs count="31">
    <xf numFmtId="0" fontId="0" fillId="0" borderId="0"/>
    <xf numFmtId="0" fontId="13" fillId="0" borderId="30" applyBorder="0">
      <alignment horizontal="left" vertical="center"/>
    </xf>
    <xf numFmtId="0" fontId="15" fillId="0" borderId="0" applyBorder="0"/>
    <xf numFmtId="169" fontId="16" fillId="0" borderId="0" applyBorder="0">
      <alignment horizontal="left"/>
    </xf>
    <xf numFmtId="10" fontId="15" fillId="7" borderId="0" applyBorder="0">
      <protection locked="0"/>
    </xf>
    <xf numFmtId="170" fontId="15" fillId="0" borderId="0" applyBorder="0"/>
    <xf numFmtId="171" fontId="15" fillId="0" borderId="0" applyBorder="0"/>
    <xf numFmtId="10" fontId="15" fillId="0" borderId="0" applyBorder="0"/>
    <xf numFmtId="169" fontId="15" fillId="7" borderId="0" applyBorder="0">
      <alignment horizontal="center"/>
      <protection locked="0"/>
    </xf>
    <xf numFmtId="14" fontId="15" fillId="7" borderId="0" applyBorder="0">
      <alignment horizontal="center"/>
      <protection locked="0"/>
    </xf>
    <xf numFmtId="0" fontId="14" fillId="0" borderId="0">
      <alignment horizontal="left" vertical="top"/>
    </xf>
    <xf numFmtId="0" fontId="14" fillId="0" borderId="0" applyBorder="0">
      <alignment horizontal="center" wrapText="1"/>
    </xf>
    <xf numFmtId="170" fontId="15" fillId="7" borderId="0" applyBorder="0">
      <protection locked="0"/>
    </xf>
    <xf numFmtId="172" fontId="15" fillId="7" borderId="0" applyBorder="0">
      <protection locked="0"/>
    </xf>
    <xf numFmtId="169" fontId="15" fillId="7" borderId="0" applyBorder="0">
      <alignment horizontal="left"/>
      <protection locked="0"/>
    </xf>
    <xf numFmtId="172" fontId="15" fillId="0" borderId="0" applyBorder="0"/>
    <xf numFmtId="173" fontId="15" fillId="7" borderId="0" applyBorder="0">
      <protection locked="0"/>
    </xf>
    <xf numFmtId="169" fontId="14" fillId="0" borderId="29" applyBorder="0">
      <alignment horizontal="center"/>
    </xf>
    <xf numFmtId="174" fontId="15" fillId="7" borderId="0" applyBorder="0">
      <protection locked="0"/>
    </xf>
    <xf numFmtId="171" fontId="15" fillId="7" borderId="0" applyBorder="0">
      <protection locked="0"/>
    </xf>
    <xf numFmtId="173" fontId="15" fillId="0" borderId="0" applyBorder="0"/>
    <xf numFmtId="171" fontId="14" fillId="0" borderId="20"/>
    <xf numFmtId="173" fontId="14" fillId="0" borderId="20"/>
    <xf numFmtId="0" fontId="19" fillId="0" borderId="0"/>
    <xf numFmtId="170" fontId="15" fillId="8" borderId="0" applyBorder="0">
      <protection locked="0"/>
    </xf>
    <xf numFmtId="0" fontId="22" fillId="9" borderId="0">
      <protection hidden="1"/>
    </xf>
    <xf numFmtId="170" fontId="14" fillId="0" borderId="0" applyBorder="0"/>
    <xf numFmtId="10" fontId="14" fillId="0" borderId="0" applyBorder="0"/>
    <xf numFmtId="171" fontId="14" fillId="0" borderId="0" applyBorder="0"/>
    <xf numFmtId="173" fontId="14" fillId="0" borderId="0" applyBorder="0"/>
    <xf numFmtId="169" fontId="15" fillId="0" borderId="0" applyBorder="0">
      <alignment horizontal="center"/>
    </xf>
  </cellStyleXfs>
  <cellXfs count="374">
    <xf numFmtId="0" fontId="0" fillId="0" borderId="0" xfId="0"/>
    <xf numFmtId="0" fontId="2" fillId="0" borderId="0" xfId="0" applyFont="1"/>
    <xf numFmtId="0" fontId="1" fillId="0" borderId="0" xfId="0" applyFont="1" applyAlignment="1">
      <alignment vertical="center"/>
    </xf>
    <xf numFmtId="0" fontId="1" fillId="0" borderId="1" xfId="0" applyFont="1" applyBorder="1" applyAlignment="1">
      <alignment vertical="center"/>
    </xf>
    <xf numFmtId="0" fontId="4" fillId="0" borderId="0" xfId="0" applyFont="1"/>
    <xf numFmtId="0" fontId="5" fillId="0" borderId="0" xfId="0" applyFont="1" applyAlignment="1">
      <alignment horizontal="center" vertical="center"/>
    </xf>
    <xf numFmtId="22" fontId="7" fillId="0" borderId="0" xfId="0" applyNumberFormat="1" applyFont="1"/>
    <xf numFmtId="0" fontId="7" fillId="0" borderId="0" xfId="0" applyFont="1"/>
    <xf numFmtId="0" fontId="8" fillId="0" borderId="0" xfId="0" applyFont="1"/>
    <xf numFmtId="0" fontId="9" fillId="0" borderId="0" xfId="0" applyFont="1"/>
    <xf numFmtId="168" fontId="2" fillId="0" borderId="0" xfId="0" applyNumberFormat="1" applyFont="1"/>
    <xf numFmtId="0" fontId="10" fillId="0" borderId="0" xfId="0" applyFont="1"/>
    <xf numFmtId="14" fontId="10" fillId="0" borderId="0" xfId="0" applyNumberFormat="1" applyFont="1"/>
    <xf numFmtId="9" fontId="11" fillId="0" borderId="0" xfId="0" applyNumberFormat="1" applyFont="1" applyFill="1"/>
    <xf numFmtId="0" fontId="12" fillId="0" borderId="0" xfId="0" applyFont="1" applyFill="1"/>
    <xf numFmtId="0" fontId="12" fillId="0" borderId="0" xfId="0" applyFont="1" applyFill="1" applyAlignment="1">
      <alignment vertical="center"/>
    </xf>
    <xf numFmtId="0" fontId="11" fillId="0" borderId="0" xfId="0" applyFont="1" applyFill="1" applyAlignment="1">
      <alignment vertical="center"/>
    </xf>
    <xf numFmtId="9" fontId="11" fillId="0" borderId="0" xfId="0" applyNumberFormat="1" applyFont="1" applyFill="1" applyAlignment="1">
      <alignment vertical="center"/>
    </xf>
    <xf numFmtId="0" fontId="0" fillId="0" borderId="0" xfId="0" applyFill="1"/>
    <xf numFmtId="0" fontId="2" fillId="0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17" fillId="0" borderId="0" xfId="0" applyFont="1"/>
    <xf numFmtId="14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3" fillId="0" borderId="0" xfId="0" applyFont="1" applyAlignment="1">
      <alignment vertical="center"/>
    </xf>
    <xf numFmtId="0" fontId="0" fillId="0" borderId="0" xfId="0" applyNumberFormat="1"/>
    <xf numFmtId="165" fontId="11" fillId="0" borderId="0" xfId="0" applyNumberFormat="1" applyFont="1" applyFill="1" applyAlignment="1">
      <alignment vertical="center"/>
    </xf>
    <xf numFmtId="165" fontId="12" fillId="0" borderId="0" xfId="0" applyNumberFormat="1" applyFont="1" applyFill="1" applyAlignment="1">
      <alignment vertical="center"/>
    </xf>
    <xf numFmtId="0" fontId="24" fillId="4" borderId="9" xfId="0" applyFont="1" applyFill="1" applyBorder="1" applyAlignment="1">
      <alignment vertical="center"/>
    </xf>
    <xf numFmtId="0" fontId="24" fillId="4" borderId="9" xfId="0" applyFont="1" applyFill="1" applyBorder="1"/>
    <xf numFmtId="0" fontId="24" fillId="0" borderId="0" xfId="0" applyFont="1" applyFill="1"/>
    <xf numFmtId="0" fontId="24" fillId="0" borderId="0" xfId="0" applyFont="1" applyFill="1" applyBorder="1" applyAlignment="1">
      <alignment vertical="center"/>
    </xf>
    <xf numFmtId="0" fontId="24" fillId="0" borderId="0" xfId="0" applyFont="1" applyFill="1" applyBorder="1"/>
    <xf numFmtId="176" fontId="24" fillId="10" borderId="9" xfId="0" applyNumberFormat="1" applyFont="1" applyFill="1" applyBorder="1" applyAlignment="1">
      <alignment horizontal="center" vertical="center"/>
    </xf>
    <xf numFmtId="167" fontId="24" fillId="6" borderId="9" xfId="0" applyNumberFormat="1" applyFont="1" applyFill="1" applyBorder="1" applyAlignment="1">
      <alignment horizontal="center" vertical="center"/>
    </xf>
    <xf numFmtId="176" fontId="24" fillId="6" borderId="9" xfId="0" applyNumberFormat="1" applyFont="1" applyFill="1" applyBorder="1" applyAlignment="1">
      <alignment horizontal="center" vertical="center"/>
    </xf>
    <xf numFmtId="10" fontId="24" fillId="10" borderId="9" xfId="0" applyNumberFormat="1" applyFont="1" applyFill="1" applyBorder="1" applyAlignment="1">
      <alignment horizontal="center" vertical="center"/>
    </xf>
    <xf numFmtId="0" fontId="24" fillId="4" borderId="9" xfId="0" applyFont="1" applyFill="1" applyBorder="1" applyAlignment="1">
      <alignment horizontal="center" vertical="center"/>
    </xf>
    <xf numFmtId="167" fontId="24" fillId="0" borderId="0" xfId="0" applyNumberFormat="1" applyFont="1" applyFill="1" applyBorder="1" applyAlignment="1">
      <alignment vertical="center"/>
    </xf>
    <xf numFmtId="176" fontId="28" fillId="6" borderId="9" xfId="0" applyNumberFormat="1" applyFont="1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0" fontId="24" fillId="0" borderId="0" xfId="0" applyFont="1" applyBorder="1" applyAlignment="1">
      <alignment horizontal="left" vertical="center"/>
    </xf>
    <xf numFmtId="167" fontId="24" fillId="0" borderId="0" xfId="0" applyNumberFormat="1" applyFont="1" applyBorder="1" applyAlignment="1">
      <alignment vertical="center"/>
    </xf>
    <xf numFmtId="167" fontId="24" fillId="0" borderId="9" xfId="0" applyNumberFormat="1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6" fillId="3" borderId="12" xfId="0" applyFont="1" applyFill="1" applyBorder="1" applyAlignment="1">
      <alignment horizontal="center" vertical="center"/>
    </xf>
    <xf numFmtId="9" fontId="30" fillId="4" borderId="9" xfId="0" applyNumberFormat="1" applyFont="1" applyFill="1" applyBorder="1" applyAlignment="1">
      <alignment horizontal="left" vertical="center"/>
    </xf>
    <xf numFmtId="168" fontId="30" fillId="4" borderId="9" xfId="0" applyNumberFormat="1" applyFont="1" applyFill="1" applyBorder="1" applyAlignment="1">
      <alignment vertical="center"/>
    </xf>
    <xf numFmtId="166" fontId="30" fillId="4" borderId="9" xfId="0" applyNumberFormat="1" applyFont="1" applyFill="1" applyBorder="1" applyAlignment="1">
      <alignment horizontal="left" vertical="center"/>
    </xf>
    <xf numFmtId="167" fontId="30" fillId="4" borderId="9" xfId="0" applyNumberFormat="1" applyFont="1" applyFill="1" applyBorder="1" applyAlignment="1">
      <alignment horizontal="left" vertical="center"/>
    </xf>
    <xf numFmtId="167" fontId="30" fillId="4" borderId="9" xfId="0" applyNumberFormat="1" applyFont="1" applyFill="1" applyBorder="1" applyAlignment="1">
      <alignment vertical="center"/>
    </xf>
    <xf numFmtId="49" fontId="30" fillId="4" borderId="9" xfId="0" applyNumberFormat="1" applyFont="1" applyFill="1" applyBorder="1" applyAlignment="1">
      <alignment vertical="center"/>
    </xf>
    <xf numFmtId="0" fontId="28" fillId="0" borderId="10" xfId="0" applyFont="1" applyBorder="1" applyAlignment="1">
      <alignment horizontal="left" vertical="center"/>
    </xf>
    <xf numFmtId="10" fontId="28" fillId="5" borderId="10" xfId="0" applyNumberFormat="1" applyFont="1" applyFill="1" applyBorder="1" applyAlignment="1">
      <alignment horizontal="left" vertical="center"/>
    </xf>
    <xf numFmtId="166" fontId="28" fillId="5" borderId="9" xfId="0" applyNumberFormat="1" applyFont="1" applyFill="1" applyBorder="1" applyAlignment="1">
      <alignment horizontal="left" vertical="center"/>
    </xf>
    <xf numFmtId="167" fontId="28" fillId="0" borderId="9" xfId="0" applyNumberFormat="1" applyFont="1" applyBorder="1" applyAlignment="1">
      <alignment horizontal="left" vertical="center"/>
    </xf>
    <xf numFmtId="167" fontId="28" fillId="5" borderId="10" xfId="0" applyNumberFormat="1" applyFont="1" applyFill="1" applyBorder="1" applyAlignment="1">
      <alignment horizontal="left" vertical="center"/>
    </xf>
    <xf numFmtId="0" fontId="28" fillId="0" borderId="9" xfId="0" applyFont="1" applyBorder="1" applyAlignment="1">
      <alignment horizontal="left" vertical="center"/>
    </xf>
    <xf numFmtId="167" fontId="28" fillId="5" borderId="9" xfId="0" applyNumberFormat="1" applyFont="1" applyFill="1" applyBorder="1" applyAlignment="1">
      <alignment horizontal="left" vertical="center"/>
    </xf>
    <xf numFmtId="49" fontId="28" fillId="0" borderId="9" xfId="0" applyNumberFormat="1" applyFont="1" applyBorder="1" applyAlignment="1">
      <alignment horizontal="left" vertical="center"/>
    </xf>
    <xf numFmtId="0" fontId="26" fillId="3" borderId="22" xfId="0" applyFont="1" applyFill="1" applyBorder="1" applyAlignment="1">
      <alignment horizontal="center" vertical="center"/>
    </xf>
    <xf numFmtId="0" fontId="26" fillId="3" borderId="23" xfId="0" applyFont="1" applyFill="1" applyBorder="1" applyAlignment="1">
      <alignment horizontal="center" vertical="center"/>
    </xf>
    <xf numFmtId="0" fontId="31" fillId="0" borderId="0" xfId="0" applyFont="1" applyAlignment="1">
      <alignment vertical="center"/>
    </xf>
    <xf numFmtId="0" fontId="32" fillId="0" borderId="0" xfId="0" applyFont="1" applyAlignment="1">
      <alignment vertical="center"/>
    </xf>
    <xf numFmtId="14" fontId="32" fillId="0" borderId="0" xfId="0" applyNumberFormat="1" applyFont="1" applyAlignment="1">
      <alignment vertical="center"/>
    </xf>
    <xf numFmtId="164" fontId="31" fillId="0" borderId="0" xfId="0" applyNumberFormat="1" applyFont="1" applyAlignment="1">
      <alignment vertical="center"/>
    </xf>
    <xf numFmtId="10" fontId="24" fillId="6" borderId="9" xfId="0" applyNumberFormat="1" applyFont="1" applyFill="1" applyBorder="1" applyAlignment="1">
      <alignment horizontal="center" vertical="center"/>
    </xf>
    <xf numFmtId="0" fontId="31" fillId="0" borderId="0" xfId="0" applyFont="1"/>
    <xf numFmtId="14" fontId="31" fillId="0" borderId="0" xfId="0" applyNumberFormat="1" applyFont="1"/>
    <xf numFmtId="0" fontId="33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31" fillId="0" borderId="0" xfId="0" applyFont="1" applyBorder="1" applyAlignment="1">
      <alignment vertical="center"/>
    </xf>
    <xf numFmtId="0" fontId="26" fillId="3" borderId="33" xfId="0" applyFont="1" applyFill="1" applyBorder="1" applyAlignment="1">
      <alignment vertical="center"/>
    </xf>
    <xf numFmtId="0" fontId="26" fillId="3" borderId="34" xfId="0" applyFont="1" applyFill="1" applyBorder="1" applyAlignment="1">
      <alignment horizontal="center" vertical="center"/>
    </xf>
    <xf numFmtId="0" fontId="26" fillId="3" borderId="35" xfId="0" applyFont="1" applyFill="1" applyBorder="1" applyAlignment="1">
      <alignment horizontal="center" vertical="center"/>
    </xf>
    <xf numFmtId="0" fontId="24" fillId="0" borderId="36" xfId="0" applyFont="1" applyBorder="1" applyAlignment="1">
      <alignment vertical="center"/>
    </xf>
    <xf numFmtId="164" fontId="24" fillId="0" borderId="0" xfId="0" applyNumberFormat="1" applyFont="1" applyBorder="1" applyAlignment="1">
      <alignment vertical="center"/>
    </xf>
    <xf numFmtId="0" fontId="25" fillId="0" borderId="36" xfId="0" applyFont="1" applyBorder="1" applyAlignment="1">
      <alignment vertical="center"/>
    </xf>
    <xf numFmtId="0" fontId="25" fillId="0" borderId="38" xfId="0" applyFont="1" applyBorder="1" applyAlignment="1">
      <alignment vertical="center"/>
    </xf>
    <xf numFmtId="0" fontId="26" fillId="3" borderId="0" xfId="0" applyFont="1" applyFill="1" applyBorder="1" applyAlignment="1">
      <alignment horizontal="center" vertical="center"/>
    </xf>
    <xf numFmtId="0" fontId="31" fillId="0" borderId="0" xfId="0" applyFont="1" applyBorder="1" applyAlignment="1">
      <alignment horizontal="left" vertical="center"/>
    </xf>
    <xf numFmtId="0" fontId="31" fillId="0" borderId="0" xfId="0" applyFont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 wrapText="1"/>
    </xf>
    <xf numFmtId="0" fontId="24" fillId="0" borderId="0" xfId="0" applyFont="1" applyBorder="1" applyAlignment="1">
      <alignment horizontal="center" vertical="center"/>
    </xf>
    <xf numFmtId="1" fontId="24" fillId="0" borderId="0" xfId="0" applyNumberFormat="1" applyFont="1" applyBorder="1" applyAlignment="1">
      <alignment horizontal="center" vertical="center"/>
    </xf>
    <xf numFmtId="14" fontId="24" fillId="0" borderId="0" xfId="0" applyNumberFormat="1" applyFont="1" applyBorder="1" applyAlignment="1">
      <alignment horizontal="center" vertical="center"/>
    </xf>
    <xf numFmtId="0" fontId="24" fillId="4" borderId="24" xfId="0" applyFont="1" applyFill="1" applyBorder="1"/>
    <xf numFmtId="0" fontId="24" fillId="4" borderId="24" xfId="0" applyFont="1" applyFill="1" applyBorder="1" applyAlignment="1">
      <alignment vertical="center"/>
    </xf>
    <xf numFmtId="10" fontId="24" fillId="10" borderId="25" xfId="0" applyNumberFormat="1" applyFont="1" applyFill="1" applyBorder="1"/>
    <xf numFmtId="165" fontId="24" fillId="6" borderId="25" xfId="0" applyNumberFormat="1" applyFont="1" applyFill="1" applyBorder="1"/>
    <xf numFmtId="165" fontId="24" fillId="10" borderId="25" xfId="0" applyNumberFormat="1" applyFont="1" applyFill="1" applyBorder="1"/>
    <xf numFmtId="10" fontId="24" fillId="6" borderId="25" xfId="0" applyNumberFormat="1" applyFont="1" applyFill="1" applyBorder="1"/>
    <xf numFmtId="0" fontId="24" fillId="10" borderId="25" xfId="0" applyFont="1" applyFill="1" applyBorder="1" applyAlignment="1">
      <alignment horizontal="right"/>
    </xf>
    <xf numFmtId="167" fontId="24" fillId="6" borderId="25" xfId="0" applyNumberFormat="1" applyFont="1" applyFill="1" applyBorder="1"/>
    <xf numFmtId="0" fontId="24" fillId="4" borderId="24" xfId="0" applyFont="1" applyFill="1" applyBorder="1" applyAlignment="1"/>
    <xf numFmtId="0" fontId="24" fillId="4" borderId="26" xfId="0" applyFont="1" applyFill="1" applyBorder="1"/>
    <xf numFmtId="0" fontId="24" fillId="4" borderId="27" xfId="0" applyFont="1" applyFill="1" applyBorder="1"/>
    <xf numFmtId="167" fontId="24" fillId="6" borderId="28" xfId="0" applyNumberFormat="1" applyFont="1" applyFill="1" applyBorder="1"/>
    <xf numFmtId="0" fontId="24" fillId="10" borderId="25" xfId="0" applyFont="1" applyFill="1" applyBorder="1" applyAlignment="1">
      <alignment horizontal="right" vertical="center"/>
    </xf>
    <xf numFmtId="10" fontId="24" fillId="10" borderId="25" xfId="0" applyNumberFormat="1" applyFont="1" applyFill="1" applyBorder="1" applyAlignment="1">
      <alignment horizontal="right" vertical="center"/>
    </xf>
    <xf numFmtId="10" fontId="24" fillId="6" borderId="25" xfId="0" applyNumberFormat="1" applyFont="1" applyFill="1" applyBorder="1" applyAlignment="1">
      <alignment horizontal="right" vertical="center"/>
    </xf>
    <xf numFmtId="9" fontId="24" fillId="10" borderId="25" xfId="0" applyNumberFormat="1" applyFont="1" applyFill="1" applyBorder="1" applyAlignment="1">
      <alignment horizontal="right" vertical="center"/>
    </xf>
    <xf numFmtId="0" fontId="24" fillId="4" borderId="26" xfId="0" applyFont="1" applyFill="1" applyBorder="1" applyAlignment="1">
      <alignment vertical="center"/>
    </xf>
    <xf numFmtId="10" fontId="24" fillId="6" borderId="28" xfId="0" applyNumberFormat="1" applyFont="1" applyFill="1" applyBorder="1" applyAlignment="1">
      <alignment horizontal="right" vertical="center"/>
    </xf>
    <xf numFmtId="165" fontId="24" fillId="6" borderId="25" xfId="0" applyNumberFormat="1" applyFont="1" applyFill="1" applyBorder="1" applyAlignment="1">
      <alignment horizontal="right" vertical="center"/>
    </xf>
    <xf numFmtId="0" fontId="24" fillId="6" borderId="25" xfId="0" applyFont="1" applyFill="1" applyBorder="1" applyAlignment="1">
      <alignment horizontal="right" vertical="center"/>
    </xf>
    <xf numFmtId="14" fontId="24" fillId="10" borderId="25" xfId="0" applyNumberFormat="1" applyFont="1" applyFill="1" applyBorder="1" applyAlignment="1">
      <alignment horizontal="right" vertical="center"/>
    </xf>
    <xf numFmtId="14" fontId="24" fillId="6" borderId="28" xfId="0" applyNumberFormat="1" applyFont="1" applyFill="1" applyBorder="1" applyAlignment="1">
      <alignment horizontal="right" vertical="center"/>
    </xf>
    <xf numFmtId="0" fontId="26" fillId="3" borderId="21" xfId="0" applyFont="1" applyFill="1" applyBorder="1" applyAlignment="1">
      <alignment horizontal="left" vertical="center"/>
    </xf>
    <xf numFmtId="0" fontId="27" fillId="3" borderId="22" xfId="0" applyFont="1" applyFill="1" applyBorder="1" applyAlignment="1">
      <alignment horizontal="center" vertical="center"/>
    </xf>
    <xf numFmtId="0" fontId="24" fillId="4" borderId="24" xfId="0" applyFont="1" applyFill="1" applyBorder="1" applyAlignment="1">
      <alignment horizontal="left" vertical="center"/>
    </xf>
    <xf numFmtId="0" fontId="24" fillId="6" borderId="9" xfId="0" applyFont="1" applyFill="1" applyBorder="1" applyAlignment="1">
      <alignment horizontal="center" vertical="center"/>
    </xf>
    <xf numFmtId="10" fontId="24" fillId="6" borderId="25" xfId="0" applyNumberFormat="1" applyFont="1" applyFill="1" applyBorder="1" applyAlignment="1">
      <alignment horizontal="center" vertical="center"/>
    </xf>
    <xf numFmtId="0" fontId="24" fillId="4" borderId="26" xfId="0" applyFont="1" applyFill="1" applyBorder="1" applyAlignment="1">
      <alignment horizontal="left" vertical="center"/>
    </xf>
    <xf numFmtId="0" fontId="24" fillId="4" borderId="27" xfId="0" applyFont="1" applyFill="1" applyBorder="1" applyAlignment="1">
      <alignment horizontal="center" vertical="center"/>
    </xf>
    <xf numFmtId="167" fontId="24" fillId="4" borderId="27" xfId="0" applyNumberFormat="1" applyFont="1" applyFill="1" applyBorder="1" applyAlignment="1">
      <alignment horizontal="center" vertical="center"/>
    </xf>
    <xf numFmtId="176" fontId="28" fillId="4" borderId="27" xfId="0" applyNumberFormat="1" applyFont="1" applyFill="1" applyBorder="1" applyAlignment="1">
      <alignment horizontal="center" vertical="center"/>
    </xf>
    <xf numFmtId="176" fontId="24" fillId="4" borderId="27" xfId="0" applyNumberFormat="1" applyFont="1" applyFill="1" applyBorder="1" applyAlignment="1">
      <alignment horizontal="center" vertical="center"/>
    </xf>
    <xf numFmtId="10" fontId="24" fillId="4" borderId="27" xfId="0" applyNumberFormat="1" applyFont="1" applyFill="1" applyBorder="1" applyAlignment="1">
      <alignment horizontal="center" vertical="center"/>
    </xf>
    <xf numFmtId="10" fontId="24" fillId="4" borderId="28" xfId="0" applyNumberFormat="1" applyFont="1" applyFill="1" applyBorder="1" applyAlignment="1">
      <alignment horizontal="center" vertical="center"/>
    </xf>
    <xf numFmtId="165" fontId="24" fillId="10" borderId="23" xfId="0" applyNumberFormat="1" applyFont="1" applyFill="1" applyBorder="1" applyAlignment="1">
      <alignment horizontal="right" vertical="center"/>
    </xf>
    <xf numFmtId="165" fontId="24" fillId="6" borderId="28" xfId="0" applyNumberFormat="1" applyFont="1" applyFill="1" applyBorder="1" applyAlignment="1">
      <alignment horizontal="right" vertical="center"/>
    </xf>
    <xf numFmtId="165" fontId="24" fillId="6" borderId="25" xfId="0" applyNumberFormat="1" applyFont="1" applyFill="1" applyBorder="1" applyAlignment="1">
      <alignment vertical="center"/>
    </xf>
    <xf numFmtId="0" fontId="24" fillId="4" borderId="27" xfId="0" applyFont="1" applyFill="1" applyBorder="1" applyAlignment="1">
      <alignment vertical="center"/>
    </xf>
    <xf numFmtId="10" fontId="24" fillId="6" borderId="28" xfId="0" applyNumberFormat="1" applyFont="1" applyFill="1" applyBorder="1" applyAlignment="1">
      <alignment vertical="center"/>
    </xf>
    <xf numFmtId="0" fontId="24" fillId="0" borderId="25" xfId="0" applyFont="1" applyBorder="1" applyAlignment="1">
      <alignment vertical="center"/>
    </xf>
    <xf numFmtId="167" fontId="24" fillId="0" borderId="28" xfId="0" applyNumberFormat="1" applyFont="1" applyBorder="1" applyAlignment="1">
      <alignment vertical="center"/>
    </xf>
    <xf numFmtId="0" fontId="24" fillId="4" borderId="25" xfId="0" applyFont="1" applyFill="1" applyBorder="1" applyAlignment="1">
      <alignment horizontal="center" vertical="center"/>
    </xf>
    <xf numFmtId="0" fontId="24" fillId="0" borderId="24" xfId="0" applyFont="1" applyBorder="1" applyAlignment="1">
      <alignment horizontal="left" vertical="center"/>
    </xf>
    <xf numFmtId="167" fontId="24" fillId="0" borderId="25" xfId="0" applyNumberFormat="1" applyFont="1" applyBorder="1" applyAlignment="1">
      <alignment vertical="center"/>
    </xf>
    <xf numFmtId="0" fontId="24" fillId="0" borderId="26" xfId="0" applyFont="1" applyBorder="1" applyAlignment="1">
      <alignment horizontal="left" vertical="center"/>
    </xf>
    <xf numFmtId="167" fontId="24" fillId="0" borderId="27" xfId="0" applyNumberFormat="1" applyFont="1" applyBorder="1" applyAlignment="1">
      <alignment vertical="center"/>
    </xf>
    <xf numFmtId="14" fontId="24" fillId="0" borderId="25" xfId="0" applyNumberFormat="1" applyFont="1" applyBorder="1" applyAlignment="1">
      <alignment horizontal="right" vertical="center"/>
    </xf>
    <xf numFmtId="10" fontId="24" fillId="0" borderId="25" xfId="0" applyNumberFormat="1" applyFont="1" applyBorder="1" applyAlignment="1">
      <alignment horizontal="right" vertical="center"/>
    </xf>
    <xf numFmtId="175" fontId="24" fillId="0" borderId="28" xfId="0" applyNumberFormat="1" applyFont="1" applyBorder="1" applyAlignment="1">
      <alignment horizontal="right" vertical="center"/>
    </xf>
    <xf numFmtId="10" fontId="24" fillId="0" borderId="25" xfId="0" applyNumberFormat="1" applyFont="1" applyBorder="1" applyAlignment="1">
      <alignment vertical="center"/>
    </xf>
    <xf numFmtId="9" fontId="24" fillId="0" borderId="28" xfId="0" applyNumberFormat="1" applyFont="1" applyBorder="1" applyAlignment="1">
      <alignment vertical="center"/>
    </xf>
    <xf numFmtId="0" fontId="3" fillId="2" borderId="0" xfId="0" applyFont="1" applyFill="1" applyBorder="1" applyAlignment="1">
      <alignment vertical="center"/>
    </xf>
    <xf numFmtId="0" fontId="1" fillId="0" borderId="0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1" fillId="0" borderId="2" xfId="0" applyFont="1" applyBorder="1" applyAlignment="1">
      <alignment vertical="center"/>
    </xf>
    <xf numFmtId="0" fontId="1" fillId="0" borderId="3" xfId="0" applyFont="1" applyBorder="1" applyAlignment="1">
      <alignment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33" fillId="0" borderId="0" xfId="0" applyFont="1" applyBorder="1" applyAlignment="1">
      <alignment vertical="center"/>
    </xf>
    <xf numFmtId="167" fontId="33" fillId="0" borderId="0" xfId="0" applyNumberFormat="1" applyFont="1" applyBorder="1" applyAlignment="1">
      <alignment vertical="center"/>
    </xf>
    <xf numFmtId="0" fontId="10" fillId="0" borderId="0" xfId="0" applyFont="1" applyBorder="1"/>
    <xf numFmtId="0" fontId="10" fillId="0" borderId="0" xfId="0" applyFont="1" applyBorder="1" applyAlignment="1">
      <alignment vertical="center"/>
    </xf>
    <xf numFmtId="167" fontId="10" fillId="0" borderId="0" xfId="0" applyNumberFormat="1" applyFont="1" applyBorder="1"/>
    <xf numFmtId="0" fontId="24" fillId="10" borderId="25" xfId="0" applyFont="1" applyFill="1" applyBorder="1" applyAlignment="1">
      <alignment horizontal="center"/>
    </xf>
    <xf numFmtId="10" fontId="24" fillId="0" borderId="0" xfId="0" applyNumberFormat="1" applyFont="1" applyBorder="1" applyAlignment="1">
      <alignment vertical="center"/>
    </xf>
    <xf numFmtId="165" fontId="24" fillId="0" borderId="0" xfId="0" applyNumberFormat="1" applyFont="1" applyBorder="1" applyAlignment="1">
      <alignment vertical="center"/>
    </xf>
    <xf numFmtId="3" fontId="28" fillId="0" borderId="10" xfId="0" applyNumberFormat="1" applyFont="1" applyBorder="1" applyAlignment="1">
      <alignment horizontal="left" vertical="center"/>
    </xf>
    <xf numFmtId="3" fontId="28" fillId="0" borderId="9" xfId="0" applyNumberFormat="1" applyFont="1" applyBorder="1" applyAlignment="1">
      <alignment horizontal="left" vertical="center"/>
    </xf>
    <xf numFmtId="1" fontId="28" fillId="5" borderId="10" xfId="0" applyNumberFormat="1" applyFont="1" applyFill="1" applyBorder="1" applyAlignment="1">
      <alignment horizontal="left" vertical="center"/>
    </xf>
    <xf numFmtId="1" fontId="28" fillId="5" borderId="9" xfId="0" applyNumberFormat="1" applyFont="1" applyFill="1" applyBorder="1" applyAlignment="1">
      <alignment horizontal="left" vertical="center"/>
    </xf>
    <xf numFmtId="0" fontId="27" fillId="3" borderId="16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4" fillId="4" borderId="16" xfId="0" applyFont="1" applyFill="1" applyBorder="1" applyAlignment="1">
      <alignment vertical="center"/>
    </xf>
    <xf numFmtId="165" fontId="24" fillId="6" borderId="9" xfId="0" applyNumberFormat="1" applyFont="1" applyFill="1" applyBorder="1" applyAlignment="1">
      <alignment vertical="center"/>
    </xf>
    <xf numFmtId="165" fontId="25" fillId="4" borderId="9" xfId="0" applyNumberFormat="1" applyFont="1" applyFill="1" applyBorder="1" applyAlignment="1">
      <alignment vertical="center"/>
    </xf>
    <xf numFmtId="0" fontId="25" fillId="0" borderId="0" xfId="0" applyFont="1" applyFill="1"/>
    <xf numFmtId="0" fontId="24" fillId="0" borderId="16" xfId="0" applyFont="1" applyFill="1" applyBorder="1" applyAlignment="1">
      <alignment vertical="center"/>
    </xf>
    <xf numFmtId="0" fontId="24" fillId="0" borderId="9" xfId="0" applyFont="1" applyFill="1" applyBorder="1" applyAlignment="1">
      <alignment vertical="center"/>
    </xf>
    <xf numFmtId="0" fontId="25" fillId="4" borderId="16" xfId="0" applyFont="1" applyFill="1" applyBorder="1" applyAlignment="1">
      <alignment vertical="center"/>
    </xf>
    <xf numFmtId="0" fontId="25" fillId="4" borderId="9" xfId="0" applyFont="1" applyFill="1" applyBorder="1" applyAlignment="1">
      <alignment vertical="center"/>
    </xf>
    <xf numFmtId="0" fontId="24" fillId="0" borderId="0" xfId="0" applyFont="1"/>
    <xf numFmtId="0" fontId="25" fillId="0" borderId="0" xfId="0" applyFont="1"/>
    <xf numFmtId="0" fontId="25" fillId="4" borderId="0" xfId="0" applyFont="1" applyFill="1" applyBorder="1" applyAlignment="1">
      <alignment vertical="center"/>
    </xf>
    <xf numFmtId="0" fontId="31" fillId="0" borderId="0" xfId="0" applyFont="1" applyBorder="1"/>
    <xf numFmtId="0" fontId="24" fillId="0" borderId="0" xfId="0" applyFont="1" applyAlignment="1">
      <alignment horizontal="left"/>
    </xf>
    <xf numFmtId="0" fontId="24" fillId="5" borderId="0" xfId="0" applyFont="1" applyFill="1" applyBorder="1" applyAlignment="1">
      <alignment horizontal="left" vertical="center" indent="1"/>
    </xf>
    <xf numFmtId="0" fontId="24" fillId="4" borderId="0" xfId="0" applyFont="1" applyFill="1" applyBorder="1" applyAlignment="1">
      <alignment horizontal="left" vertical="center"/>
    </xf>
    <xf numFmtId="0" fontId="24" fillId="4" borderId="0" xfId="0" applyFont="1" applyFill="1" applyBorder="1" applyAlignment="1">
      <alignment horizontal="left" vertical="center" indent="1"/>
    </xf>
    <xf numFmtId="0" fontId="24" fillId="0" borderId="0" xfId="0" applyFont="1" applyBorder="1" applyAlignment="1">
      <alignment horizontal="left" vertical="center" indent="1"/>
    </xf>
    <xf numFmtId="0" fontId="25" fillId="0" borderId="0" xfId="0" applyFont="1" applyBorder="1" applyAlignment="1">
      <alignment vertical="center"/>
    </xf>
    <xf numFmtId="0" fontId="24" fillId="4" borderId="0" xfId="0" applyFont="1" applyFill="1" applyBorder="1" applyAlignment="1">
      <alignment vertical="center"/>
    </xf>
    <xf numFmtId="0" fontId="24" fillId="0" borderId="0" xfId="0" applyFont="1" applyBorder="1"/>
    <xf numFmtId="0" fontId="26" fillId="3" borderId="32" xfId="0" applyFont="1" applyFill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164" fontId="24" fillId="0" borderId="0" xfId="0" applyNumberFormat="1" applyFont="1" applyBorder="1"/>
    <xf numFmtId="9" fontId="11" fillId="0" borderId="10" xfId="0" applyNumberFormat="1" applyFont="1" applyFill="1" applyBorder="1" applyAlignment="1">
      <alignment vertical="center"/>
    </xf>
    <xf numFmtId="167" fontId="25" fillId="0" borderId="0" xfId="0" applyNumberFormat="1" applyFont="1" applyBorder="1" applyAlignment="1">
      <alignment horizontal="left"/>
    </xf>
    <xf numFmtId="167" fontId="24" fillId="0" borderId="0" xfId="0" applyNumberFormat="1" applyFont="1" applyBorder="1" applyAlignment="1">
      <alignment horizontal="left"/>
    </xf>
    <xf numFmtId="164" fontId="24" fillId="0" borderId="0" xfId="0" applyNumberFormat="1" applyFont="1" applyBorder="1" applyAlignment="1">
      <alignment horizontal="left"/>
    </xf>
    <xf numFmtId="10" fontId="24" fillId="0" borderId="0" xfId="0" applyNumberFormat="1" applyFont="1" applyBorder="1"/>
    <xf numFmtId="2" fontId="24" fillId="0" borderId="0" xfId="0" applyNumberFormat="1" applyFont="1" applyBorder="1"/>
    <xf numFmtId="0" fontId="34" fillId="0" borderId="0" xfId="0" applyFont="1"/>
    <xf numFmtId="0" fontId="35" fillId="0" borderId="0" xfId="0" applyFont="1" applyFill="1"/>
    <xf numFmtId="0" fontId="24" fillId="10" borderId="0" xfId="0" applyFont="1" applyFill="1"/>
    <xf numFmtId="0" fontId="26" fillId="10" borderId="0" xfId="0" applyFont="1" applyFill="1" applyBorder="1" applyAlignment="1">
      <alignment horizontal="center" vertical="center"/>
    </xf>
    <xf numFmtId="0" fontId="25" fillId="10" borderId="0" xfId="0" applyFont="1" applyFill="1" applyBorder="1" applyAlignment="1">
      <alignment vertical="center"/>
    </xf>
    <xf numFmtId="0" fontId="24" fillId="10" borderId="0" xfId="0" applyFont="1" applyFill="1" applyBorder="1" applyAlignment="1">
      <alignment horizontal="left" vertical="center" indent="1"/>
    </xf>
    <xf numFmtId="0" fontId="24" fillId="10" borderId="0" xfId="0" applyFont="1" applyFill="1" applyBorder="1" applyAlignment="1">
      <alignment vertical="center"/>
    </xf>
    <xf numFmtId="0" fontId="24" fillId="10" borderId="0" xfId="0" applyFont="1" applyFill="1" applyBorder="1" applyAlignment="1">
      <alignment horizontal="left" vertical="center"/>
    </xf>
    <xf numFmtId="0" fontId="24" fillId="10" borderId="0" xfId="0" applyFont="1" applyFill="1" applyBorder="1"/>
    <xf numFmtId="167" fontId="24" fillId="0" borderId="0" xfId="0" applyNumberFormat="1" applyFont="1" applyBorder="1"/>
    <xf numFmtId="0" fontId="11" fillId="10" borderId="0" xfId="0" applyFont="1" applyFill="1"/>
    <xf numFmtId="165" fontId="24" fillId="11" borderId="9" xfId="0" applyNumberFormat="1" applyFont="1" applyFill="1" applyBorder="1" applyAlignment="1">
      <alignment horizontal="center" vertical="center"/>
    </xf>
    <xf numFmtId="165" fontId="24" fillId="11" borderId="14" xfId="0" applyNumberFormat="1" applyFont="1" applyFill="1" applyBorder="1" applyAlignment="1">
      <alignment horizontal="center" vertical="center"/>
    </xf>
    <xf numFmtId="165" fontId="25" fillId="12" borderId="9" xfId="0" applyNumberFormat="1" applyFont="1" applyFill="1" applyBorder="1" applyAlignment="1">
      <alignment horizontal="center" vertical="center"/>
    </xf>
    <xf numFmtId="165" fontId="25" fillId="12" borderId="14" xfId="0" applyNumberFormat="1" applyFont="1" applyFill="1" applyBorder="1" applyAlignment="1">
      <alignment horizontal="center" vertical="center"/>
    </xf>
    <xf numFmtId="0" fontId="2" fillId="0" borderId="0" xfId="0" applyFont="1" applyBorder="1"/>
    <xf numFmtId="10" fontId="2" fillId="4" borderId="14" xfId="0" applyNumberFormat="1" applyFont="1" applyFill="1" applyBorder="1"/>
    <xf numFmtId="167" fontId="5" fillId="4" borderId="9" xfId="0" applyNumberFormat="1" applyFont="1" applyFill="1" applyBorder="1"/>
    <xf numFmtId="0" fontId="5" fillId="4" borderId="9" xfId="0" applyFont="1" applyFill="1" applyBorder="1"/>
    <xf numFmtId="0" fontId="5" fillId="4" borderId="16" xfId="0" applyFont="1" applyFill="1" applyBorder="1"/>
    <xf numFmtId="10" fontId="2" fillId="0" borderId="14" xfId="0" applyNumberFormat="1" applyFont="1" applyBorder="1"/>
    <xf numFmtId="167" fontId="2" fillId="0" borderId="9" xfId="0" applyNumberFormat="1" applyFont="1" applyBorder="1"/>
    <xf numFmtId="178" fontId="2" fillId="4" borderId="9" xfId="0" applyNumberFormat="1" applyFont="1" applyFill="1" applyBorder="1"/>
    <xf numFmtId="0" fontId="2" fillId="4" borderId="9" xfId="0" applyFont="1" applyFill="1" applyBorder="1"/>
    <xf numFmtId="0" fontId="2" fillId="4" borderId="16" xfId="0" applyFont="1" applyFill="1" applyBorder="1"/>
    <xf numFmtId="0" fontId="6" fillId="3" borderId="14" xfId="0" applyFont="1" applyFill="1" applyBorder="1" applyAlignment="1">
      <alignment horizontal="center"/>
    </xf>
    <xf numFmtId="0" fontId="6" fillId="3" borderId="9" xfId="0" applyFont="1" applyFill="1" applyBorder="1" applyAlignment="1">
      <alignment horizontal="center"/>
    </xf>
    <xf numFmtId="0" fontId="6" fillId="3" borderId="9" xfId="0" applyFont="1" applyFill="1" applyBorder="1"/>
    <xf numFmtId="0" fontId="6" fillId="3" borderId="16" xfId="0" applyFont="1" applyFill="1" applyBorder="1"/>
    <xf numFmtId="178" fontId="5" fillId="4" borderId="9" xfId="0" applyNumberFormat="1" applyFont="1" applyFill="1" applyBorder="1"/>
    <xf numFmtId="173" fontId="24" fillId="0" borderId="0" xfId="0" applyNumberFormat="1" applyFont="1" applyFill="1"/>
    <xf numFmtId="0" fontId="24" fillId="0" borderId="36" xfId="0" applyNumberFormat="1" applyFont="1" applyBorder="1" applyAlignment="1">
      <alignment vertical="center"/>
    </xf>
    <xf numFmtId="0" fontId="24" fillId="0" borderId="38" xfId="0" applyNumberFormat="1" applyFont="1" applyBorder="1" applyAlignment="1">
      <alignment vertical="center"/>
    </xf>
    <xf numFmtId="4" fontId="31" fillId="0" borderId="0" xfId="0" applyNumberFormat="1" applyFont="1" applyAlignment="1">
      <alignment vertical="center"/>
    </xf>
    <xf numFmtId="4" fontId="32" fillId="0" borderId="0" xfId="0" applyNumberFormat="1" applyFont="1" applyAlignment="1">
      <alignment vertical="center"/>
    </xf>
    <xf numFmtId="0" fontId="24" fillId="5" borderId="0" xfId="0" applyFont="1" applyFill="1" applyBorder="1" applyAlignment="1">
      <alignment horizontal="left" vertical="center" indent="2"/>
    </xf>
    <xf numFmtId="167" fontId="2" fillId="0" borderId="0" xfId="0" applyNumberFormat="1" applyFont="1"/>
    <xf numFmtId="167" fontId="2" fillId="5" borderId="15" xfId="0" applyNumberFormat="1" applyFont="1" applyFill="1" applyBorder="1"/>
    <xf numFmtId="37" fontId="2" fillId="5" borderId="15" xfId="0" applyNumberFormat="1" applyFont="1" applyFill="1" applyBorder="1"/>
    <xf numFmtId="37" fontId="2" fillId="0" borderId="0" xfId="0" applyNumberFormat="1" applyFont="1"/>
    <xf numFmtId="9" fontId="24" fillId="0" borderId="15" xfId="0" applyNumberFormat="1" applyFont="1" applyBorder="1" applyAlignment="1">
      <alignment horizontal="left"/>
    </xf>
    <xf numFmtId="167" fontId="24" fillId="5" borderId="0" xfId="0" applyNumberFormat="1" applyFont="1" applyFill="1" applyAlignment="1">
      <alignment horizontal="left"/>
    </xf>
    <xf numFmtId="3" fontId="30" fillId="4" borderId="9" xfId="0" applyNumberFormat="1" applyFont="1" applyFill="1" applyBorder="1" applyAlignment="1">
      <alignment horizontal="right" vertical="center"/>
    </xf>
    <xf numFmtId="180" fontId="26" fillId="3" borderId="32" xfId="0" applyNumberFormat="1" applyFont="1" applyFill="1" applyBorder="1" applyAlignment="1">
      <alignment horizontal="center" vertical="center"/>
    </xf>
    <xf numFmtId="0" fontId="31" fillId="0" borderId="36" xfId="0" applyFont="1" applyBorder="1" applyAlignment="1">
      <alignment vertical="center"/>
    </xf>
    <xf numFmtId="0" fontId="24" fillId="0" borderId="33" xfId="0" applyNumberFormat="1" applyFont="1" applyBorder="1" applyAlignment="1">
      <alignment vertical="center"/>
    </xf>
    <xf numFmtId="167" fontId="24" fillId="10" borderId="25" xfId="0" applyNumberFormat="1" applyFont="1" applyFill="1" applyBorder="1" applyAlignment="1">
      <alignment horizontal="right" vertical="center"/>
    </xf>
    <xf numFmtId="167" fontId="24" fillId="11" borderId="9" xfId="0" applyNumberFormat="1" applyFont="1" applyFill="1" applyBorder="1" applyAlignment="1">
      <alignment horizontal="center" vertical="center"/>
    </xf>
    <xf numFmtId="167" fontId="25" fillId="12" borderId="9" xfId="0" applyNumberFormat="1" applyFont="1" applyFill="1" applyBorder="1" applyAlignment="1">
      <alignment horizontal="center" vertical="center"/>
    </xf>
    <xf numFmtId="0" fontId="1" fillId="0" borderId="0" xfId="0" applyFont="1" applyFill="1"/>
    <xf numFmtId="0" fontId="27" fillId="3" borderId="9" xfId="0" applyFont="1" applyFill="1" applyBorder="1" applyAlignment="1">
      <alignment horizontal="center" vertical="center" wrapText="1"/>
    </xf>
    <xf numFmtId="181" fontId="24" fillId="6" borderId="9" xfId="0" applyNumberFormat="1" applyFont="1" applyFill="1" applyBorder="1" applyAlignment="1">
      <alignment horizontal="center" vertical="center"/>
    </xf>
    <xf numFmtId="181" fontId="25" fillId="4" borderId="9" xfId="0" applyNumberFormat="1" applyFont="1" applyFill="1" applyBorder="1" applyAlignment="1">
      <alignment horizontal="center" vertical="center"/>
    </xf>
    <xf numFmtId="0" fontId="27" fillId="3" borderId="16" xfId="0" applyFont="1" applyFill="1" applyBorder="1" applyAlignment="1">
      <alignment vertical="center" wrapText="1"/>
    </xf>
    <xf numFmtId="167" fontId="25" fillId="4" borderId="16" xfId="0" applyNumberFormat="1" applyFont="1" applyFill="1" applyBorder="1" applyAlignment="1">
      <alignment vertical="center"/>
    </xf>
    <xf numFmtId="0" fontId="27" fillId="3" borderId="9" xfId="0" applyFont="1" applyFill="1" applyBorder="1" applyAlignment="1">
      <alignment vertical="center" wrapText="1"/>
    </xf>
    <xf numFmtId="167" fontId="25" fillId="4" borderId="9" xfId="0" applyNumberFormat="1" applyFont="1" applyFill="1" applyBorder="1" applyAlignment="1">
      <alignment vertical="center"/>
    </xf>
    <xf numFmtId="0" fontId="27" fillId="3" borderId="14" xfId="0" applyFont="1" applyFill="1" applyBorder="1" applyAlignment="1">
      <alignment horizontal="center" vertical="center"/>
    </xf>
    <xf numFmtId="0" fontId="27" fillId="3" borderId="14" xfId="0" applyFont="1" applyFill="1" applyBorder="1" applyAlignment="1">
      <alignment vertical="center" wrapText="1"/>
    </xf>
    <xf numFmtId="165" fontId="24" fillId="6" borderId="14" xfId="0" applyNumberFormat="1" applyFont="1" applyFill="1" applyBorder="1" applyAlignment="1">
      <alignment vertical="center"/>
    </xf>
    <xf numFmtId="167" fontId="25" fillId="4" borderId="14" xfId="0" applyNumberFormat="1" applyFont="1" applyFill="1" applyBorder="1" applyAlignment="1">
      <alignment vertical="center"/>
    </xf>
    <xf numFmtId="0" fontId="27" fillId="3" borderId="9" xfId="0" applyFont="1" applyFill="1" applyBorder="1" applyAlignment="1">
      <alignment horizontal="center" vertical="center" wrapText="1"/>
    </xf>
    <xf numFmtId="14" fontId="28" fillId="0" borderId="10" xfId="0" applyNumberFormat="1" applyFont="1" applyBorder="1" applyAlignment="1">
      <alignment horizontal="left" vertical="center"/>
    </xf>
    <xf numFmtId="14" fontId="28" fillId="0" borderId="9" xfId="0" applyNumberFormat="1" applyFont="1" applyBorder="1" applyAlignment="1">
      <alignment horizontal="left" vertical="center"/>
    </xf>
    <xf numFmtId="177" fontId="10" fillId="0" borderId="0" xfId="0" applyNumberFormat="1" applyFont="1" applyBorder="1" applyProtection="1">
      <protection hidden="1"/>
    </xf>
    <xf numFmtId="177" fontId="33" fillId="0" borderId="0" xfId="0" applyNumberFormat="1" applyFont="1" applyBorder="1" applyAlignment="1" applyProtection="1">
      <alignment vertical="center"/>
      <protection hidden="1"/>
    </xf>
    <xf numFmtId="0" fontId="33" fillId="0" borderId="0" xfId="0" applyFont="1" applyBorder="1" applyAlignment="1" applyProtection="1">
      <alignment vertical="center"/>
      <protection hidden="1"/>
    </xf>
    <xf numFmtId="10" fontId="33" fillId="0" borderId="0" xfId="0" applyNumberFormat="1" applyFont="1" applyBorder="1" applyAlignment="1" applyProtection="1">
      <alignment vertical="center"/>
      <protection hidden="1"/>
    </xf>
    <xf numFmtId="1" fontId="33" fillId="0" borderId="0" xfId="0" applyNumberFormat="1" applyFont="1" applyBorder="1" applyAlignment="1" applyProtection="1">
      <alignment vertical="center"/>
      <protection hidden="1"/>
    </xf>
    <xf numFmtId="167" fontId="33" fillId="0" borderId="0" xfId="0" applyNumberFormat="1" applyFont="1" applyBorder="1" applyAlignment="1" applyProtection="1">
      <alignment horizontal="left" vertical="center"/>
      <protection hidden="1"/>
    </xf>
    <xf numFmtId="167" fontId="33" fillId="0" borderId="0" xfId="0" applyNumberFormat="1" applyFont="1" applyBorder="1" applyAlignment="1" applyProtection="1">
      <alignment vertical="center"/>
      <protection hidden="1"/>
    </xf>
    <xf numFmtId="0" fontId="10" fillId="0" borderId="0" xfId="0" applyFont="1" applyProtection="1">
      <protection hidden="1"/>
    </xf>
    <xf numFmtId="0" fontId="0" fillId="0" borderId="0" xfId="0" applyProtection="1">
      <protection hidden="1"/>
    </xf>
    <xf numFmtId="167" fontId="24" fillId="0" borderId="34" xfId="0" applyNumberFormat="1" applyFont="1" applyBorder="1" applyAlignment="1" applyProtection="1">
      <alignment vertical="center"/>
      <protection hidden="1"/>
    </xf>
    <xf numFmtId="167" fontId="24" fillId="0" borderId="35" xfId="0" applyNumberFormat="1" applyFont="1" applyBorder="1" applyAlignment="1" applyProtection="1">
      <alignment vertical="center"/>
      <protection hidden="1"/>
    </xf>
    <xf numFmtId="167" fontId="24" fillId="0" borderId="0" xfId="0" applyNumberFormat="1" applyFont="1" applyBorder="1" applyAlignment="1" applyProtection="1">
      <alignment vertical="center"/>
      <protection hidden="1"/>
    </xf>
    <xf numFmtId="167" fontId="24" fillId="0" borderId="37" xfId="0" applyNumberFormat="1" applyFont="1" applyBorder="1" applyAlignment="1" applyProtection="1">
      <alignment vertical="center"/>
      <protection hidden="1"/>
    </xf>
    <xf numFmtId="167" fontId="24" fillId="0" borderId="39" xfId="0" applyNumberFormat="1" applyFont="1" applyBorder="1" applyAlignment="1" applyProtection="1">
      <alignment vertical="center"/>
      <protection hidden="1"/>
    </xf>
    <xf numFmtId="167" fontId="24" fillId="0" borderId="40" xfId="0" applyNumberFormat="1" applyFont="1" applyBorder="1" applyAlignment="1" applyProtection="1">
      <alignment vertical="center"/>
      <protection hidden="1"/>
    </xf>
    <xf numFmtId="179" fontId="24" fillId="0" borderId="0" xfId="0" applyNumberFormat="1" applyFont="1" applyBorder="1" applyAlignment="1" applyProtection="1">
      <alignment vertical="center"/>
      <protection hidden="1"/>
    </xf>
    <xf numFmtId="179" fontId="24" fillId="0" borderId="37" xfId="0" applyNumberFormat="1" applyFont="1" applyBorder="1" applyAlignment="1" applyProtection="1">
      <alignment vertical="center"/>
      <protection hidden="1"/>
    </xf>
    <xf numFmtId="179" fontId="25" fillId="0" borderId="0" xfId="0" applyNumberFormat="1" applyFont="1" applyBorder="1" applyAlignment="1" applyProtection="1">
      <alignment vertical="center"/>
      <protection hidden="1"/>
    </xf>
    <xf numFmtId="179" fontId="25" fillId="0" borderId="37" xfId="0" applyNumberFormat="1" applyFont="1" applyBorder="1" applyAlignment="1" applyProtection="1">
      <alignment vertical="center"/>
      <protection hidden="1"/>
    </xf>
    <xf numFmtId="179" fontId="25" fillId="0" borderId="39" xfId="0" applyNumberFormat="1" applyFont="1" applyBorder="1" applyAlignment="1" applyProtection="1">
      <alignment vertical="center"/>
      <protection hidden="1"/>
    </xf>
    <xf numFmtId="179" fontId="25" fillId="0" borderId="40" xfId="0" applyNumberFormat="1" applyFont="1" applyBorder="1" applyAlignment="1" applyProtection="1">
      <alignment vertical="center"/>
      <protection hidden="1"/>
    </xf>
    <xf numFmtId="0" fontId="3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37" fillId="13" borderId="41" xfId="0" applyFont="1" applyFill="1" applyBorder="1" applyAlignment="1" applyProtection="1">
      <alignment vertical="top" wrapText="1" indent="1"/>
      <protection locked="0"/>
    </xf>
    <xf numFmtId="0" fontId="2" fillId="0" borderId="41" xfId="0" applyFont="1" applyBorder="1" applyAlignment="1">
      <alignment vertical="center"/>
    </xf>
    <xf numFmtId="0" fontId="37" fillId="13" borderId="42" xfId="0" applyFont="1" applyFill="1" applyBorder="1" applyAlignment="1" applyProtection="1">
      <alignment vertical="top" wrapText="1" indent="1"/>
      <protection locked="0"/>
    </xf>
    <xf numFmtId="0" fontId="2" fillId="0" borderId="42" xfId="0" applyFont="1" applyBorder="1" applyAlignment="1">
      <alignment vertical="center"/>
    </xf>
    <xf numFmtId="0" fontId="37" fillId="13" borderId="43" xfId="0" applyFont="1" applyFill="1" applyBorder="1" applyAlignment="1" applyProtection="1">
      <alignment vertical="top" wrapText="1" indent="1"/>
      <protection locked="0"/>
    </xf>
    <xf numFmtId="0" fontId="2" fillId="0" borderId="43" xfId="0" applyFont="1" applyBorder="1" applyAlignment="1">
      <alignment vertical="center"/>
    </xf>
    <xf numFmtId="0" fontId="36" fillId="0" borderId="0" xfId="0" applyFont="1" applyAlignment="1">
      <alignment vertical="center" wrapText="1"/>
    </xf>
    <xf numFmtId="167" fontId="2" fillId="10" borderId="0" xfId="0" applyNumberFormat="1" applyFont="1" applyFill="1" applyBorder="1"/>
    <xf numFmtId="180" fontId="2" fillId="0" borderId="0" xfId="0" applyNumberFormat="1" applyFont="1"/>
    <xf numFmtId="182" fontId="33" fillId="0" borderId="0" xfId="0" applyNumberFormat="1" applyFont="1"/>
    <xf numFmtId="167" fontId="24" fillId="0" borderId="15" xfId="0" applyNumberFormat="1" applyFont="1" applyBorder="1" applyAlignment="1">
      <alignment horizontal="left"/>
    </xf>
    <xf numFmtId="0" fontId="24" fillId="0" borderId="0" xfId="0" applyFont="1" applyBorder="1" applyAlignment="1">
      <alignment horizontal="left"/>
    </xf>
    <xf numFmtId="0" fontId="25" fillId="0" borderId="0" xfId="0" applyNumberFormat="1" applyFont="1" applyBorder="1" applyAlignment="1">
      <alignment horizontal="left"/>
    </xf>
    <xf numFmtId="0" fontId="24" fillId="0" borderId="0" xfId="0" applyNumberFormat="1" applyFont="1" applyBorder="1" applyAlignment="1">
      <alignment horizontal="left"/>
    </xf>
    <xf numFmtId="0" fontId="38" fillId="0" borderId="0" xfId="0" applyFont="1"/>
    <xf numFmtId="0" fontId="39" fillId="0" borderId="0" xfId="0" applyFont="1"/>
    <xf numFmtId="0" fontId="40" fillId="0" borderId="0" xfId="0" applyFont="1"/>
    <xf numFmtId="0" fontId="2" fillId="0" borderId="33" xfId="0" applyFont="1" applyBorder="1" applyAlignment="1">
      <alignment horizontal="left" vertical="center" wrapText="1"/>
    </xf>
    <xf numFmtId="0" fontId="2" fillId="0" borderId="34" xfId="0" applyFont="1" applyBorder="1" applyAlignment="1">
      <alignment horizontal="left" vertical="center" wrapText="1"/>
    </xf>
    <xf numFmtId="0" fontId="2" fillId="0" borderId="35" xfId="0" applyFont="1" applyBorder="1" applyAlignment="1">
      <alignment horizontal="left" vertical="center" wrapText="1"/>
    </xf>
    <xf numFmtId="0" fontId="2" fillId="0" borderId="36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37" xfId="0" applyFont="1" applyBorder="1" applyAlignment="1">
      <alignment horizontal="left" vertical="center" wrapText="1"/>
    </xf>
    <xf numFmtId="0" fontId="2" fillId="0" borderId="38" xfId="0" applyFont="1" applyBorder="1" applyAlignment="1">
      <alignment horizontal="left" vertical="center" wrapText="1"/>
    </xf>
    <xf numFmtId="0" fontId="2" fillId="0" borderId="39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left" vertical="center" wrapText="1"/>
    </xf>
    <xf numFmtId="165" fontId="24" fillId="6" borderId="9" xfId="0" applyNumberFormat="1" applyFont="1" applyFill="1" applyBorder="1" applyAlignment="1">
      <alignment horizontal="center" vertical="center"/>
    </xf>
    <xf numFmtId="165" fontId="24" fillId="6" borderId="25" xfId="0" applyNumberFormat="1" applyFont="1" applyFill="1" applyBorder="1" applyAlignment="1">
      <alignment horizontal="center" vertical="center"/>
    </xf>
    <xf numFmtId="10" fontId="24" fillId="6" borderId="9" xfId="0" applyNumberFormat="1" applyFont="1" applyFill="1" applyBorder="1" applyAlignment="1">
      <alignment horizontal="right" vertical="center"/>
    </xf>
    <xf numFmtId="10" fontId="24" fillId="6" borderId="25" xfId="0" applyNumberFormat="1" applyFont="1" applyFill="1" applyBorder="1" applyAlignment="1">
      <alignment horizontal="right" vertical="center"/>
    </xf>
    <xf numFmtId="10" fontId="24" fillId="6" borderId="27" xfId="0" applyNumberFormat="1" applyFont="1" applyFill="1" applyBorder="1" applyAlignment="1">
      <alignment horizontal="right" vertical="center"/>
    </xf>
    <xf numFmtId="10" fontId="24" fillId="6" borderId="28" xfId="0" applyNumberFormat="1" applyFont="1" applyFill="1" applyBorder="1" applyAlignment="1">
      <alignment horizontal="right" vertical="center"/>
    </xf>
    <xf numFmtId="0" fontId="24" fillId="4" borderId="24" xfId="0" applyFont="1" applyFill="1" applyBorder="1" applyAlignment="1">
      <alignment horizontal="left" vertical="center"/>
    </xf>
    <xf numFmtId="0" fontId="24" fillId="4" borderId="9" xfId="0" applyFont="1" applyFill="1" applyBorder="1" applyAlignment="1">
      <alignment horizontal="left" vertical="center"/>
    </xf>
    <xf numFmtId="0" fontId="24" fillId="4" borderId="26" xfId="0" applyFont="1" applyFill="1" applyBorder="1" applyAlignment="1">
      <alignment horizontal="left" vertical="center"/>
    </xf>
    <xf numFmtId="0" fontId="24" fillId="4" borderId="27" xfId="0" applyFont="1" applyFill="1" applyBorder="1" applyAlignment="1">
      <alignment horizontal="left" vertical="center"/>
    </xf>
    <xf numFmtId="165" fontId="24" fillId="4" borderId="27" xfId="0" applyNumberFormat="1" applyFont="1" applyFill="1" applyBorder="1" applyAlignment="1">
      <alignment horizontal="center" vertical="center"/>
    </xf>
    <xf numFmtId="10" fontId="24" fillId="4" borderId="27" xfId="0" applyNumberFormat="1" applyFont="1" applyFill="1" applyBorder="1" applyAlignment="1">
      <alignment horizontal="center" vertical="center"/>
    </xf>
    <xf numFmtId="0" fontId="24" fillId="4" borderId="21" xfId="0" applyFont="1" applyFill="1" applyBorder="1" applyAlignment="1">
      <alignment horizontal="left" vertical="center"/>
    </xf>
    <xf numFmtId="0" fontId="24" fillId="4" borderId="22" xfId="0" applyFont="1" applyFill="1" applyBorder="1" applyAlignment="1">
      <alignment horizontal="left" vertical="center"/>
    </xf>
    <xf numFmtId="0" fontId="26" fillId="3" borderId="21" xfId="0" applyFont="1" applyFill="1" applyBorder="1" applyAlignment="1">
      <alignment horizontal="center" vertical="center"/>
    </xf>
    <xf numFmtId="0" fontId="26" fillId="3" borderId="22" xfId="0" applyFont="1" applyFill="1" applyBorder="1" applyAlignment="1">
      <alignment horizontal="center" vertical="center"/>
    </xf>
    <xf numFmtId="0" fontId="26" fillId="3" borderId="23" xfId="0" applyFont="1" applyFill="1" applyBorder="1" applyAlignment="1">
      <alignment horizontal="center" vertical="center"/>
    </xf>
    <xf numFmtId="167" fontId="24" fillId="10" borderId="22" xfId="0" applyNumberFormat="1" applyFont="1" applyFill="1" applyBorder="1" applyAlignment="1">
      <alignment horizontal="center" vertical="center"/>
    </xf>
    <xf numFmtId="167" fontId="24" fillId="10" borderId="23" xfId="0" applyNumberFormat="1" applyFont="1" applyFill="1" applyBorder="1" applyAlignment="1">
      <alignment horizontal="center" vertical="center"/>
    </xf>
    <xf numFmtId="10" fontId="24" fillId="6" borderId="9" xfId="0" applyNumberFormat="1" applyFont="1" applyFill="1" applyBorder="1" applyAlignment="1">
      <alignment horizontal="center" vertical="center"/>
    </xf>
    <xf numFmtId="0" fontId="24" fillId="10" borderId="25" xfId="0" applyFont="1" applyFill="1" applyBorder="1" applyAlignment="1">
      <alignment horizontal="center" vertical="center" wrapText="1"/>
    </xf>
    <xf numFmtId="0" fontId="24" fillId="10" borderId="28" xfId="0" applyFont="1" applyFill="1" applyBorder="1" applyAlignment="1">
      <alignment horizontal="center" vertical="center" wrapText="1"/>
    </xf>
    <xf numFmtId="167" fontId="24" fillId="0" borderId="27" xfId="0" applyNumberFormat="1" applyFont="1" applyBorder="1" applyAlignment="1">
      <alignment horizontal="right" vertical="center"/>
    </xf>
    <xf numFmtId="167" fontId="24" fillId="0" borderId="28" xfId="0" applyNumberFormat="1" applyFont="1" applyBorder="1" applyAlignment="1">
      <alignment horizontal="right" vertical="center"/>
    </xf>
    <xf numFmtId="0" fontId="24" fillId="0" borderId="27" xfId="0" applyFont="1" applyBorder="1" applyAlignment="1">
      <alignment horizontal="right" vertical="center"/>
    </xf>
    <xf numFmtId="0" fontId="24" fillId="0" borderId="28" xfId="0" applyFont="1" applyBorder="1" applyAlignment="1">
      <alignment horizontal="right" vertical="center"/>
    </xf>
    <xf numFmtId="0" fontId="24" fillId="0" borderId="9" xfId="0" applyFont="1" applyBorder="1" applyAlignment="1">
      <alignment horizontal="right" vertical="center"/>
    </xf>
    <xf numFmtId="0" fontId="24" fillId="0" borderId="25" xfId="0" applyFont="1" applyBorder="1" applyAlignment="1">
      <alignment horizontal="right" vertical="center"/>
    </xf>
    <xf numFmtId="14" fontId="24" fillId="0" borderId="9" xfId="0" applyNumberFormat="1" applyFont="1" applyBorder="1" applyAlignment="1">
      <alignment horizontal="right" vertical="center"/>
    </xf>
    <xf numFmtId="0" fontId="27" fillId="3" borderId="21" xfId="0" applyFont="1" applyFill="1" applyBorder="1" applyAlignment="1">
      <alignment horizontal="center" vertical="center"/>
    </xf>
    <xf numFmtId="0" fontId="27" fillId="3" borderId="22" xfId="0" applyFont="1" applyFill="1" applyBorder="1" applyAlignment="1">
      <alignment horizontal="center" vertical="center"/>
    </xf>
    <xf numFmtId="0" fontId="27" fillId="3" borderId="23" xfId="0" applyFont="1" applyFill="1" applyBorder="1" applyAlignment="1">
      <alignment horizontal="center" vertical="center"/>
    </xf>
    <xf numFmtId="167" fontId="24" fillId="0" borderId="9" xfId="0" applyNumberFormat="1" applyFont="1" applyBorder="1" applyAlignment="1">
      <alignment horizontal="center" vertical="center"/>
    </xf>
    <xf numFmtId="0" fontId="24" fillId="0" borderId="25" xfId="0" applyFont="1" applyBorder="1" applyAlignment="1">
      <alignment horizontal="center" vertical="center"/>
    </xf>
    <xf numFmtId="0" fontId="26" fillId="3" borderId="21" xfId="0" applyFont="1" applyFill="1" applyBorder="1" applyAlignment="1">
      <alignment horizontal="left" vertical="center"/>
    </xf>
    <xf numFmtId="0" fontId="26" fillId="3" borderId="22" xfId="0" applyFont="1" applyFill="1" applyBorder="1" applyAlignment="1">
      <alignment horizontal="left" vertical="center"/>
    </xf>
    <xf numFmtId="0" fontId="26" fillId="3" borderId="23" xfId="0" applyFont="1" applyFill="1" applyBorder="1" applyAlignment="1">
      <alignment horizontal="left" vertical="center"/>
    </xf>
    <xf numFmtId="1" fontId="24" fillId="0" borderId="9" xfId="0" applyNumberFormat="1" applyFont="1" applyBorder="1" applyAlignment="1">
      <alignment horizontal="right" vertical="center"/>
    </xf>
    <xf numFmtId="0" fontId="2" fillId="4" borderId="16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6" fillId="3" borderId="0" xfId="0" applyFont="1" applyFill="1" applyAlignment="1">
      <alignment horizontal="left" vertical="center"/>
    </xf>
    <xf numFmtId="14" fontId="25" fillId="0" borderId="16" xfId="0" applyNumberFormat="1" applyFont="1" applyBorder="1" applyAlignment="1">
      <alignment horizontal="center"/>
    </xf>
    <xf numFmtId="14" fontId="25" fillId="0" borderId="14" xfId="0" applyNumberFormat="1" applyFont="1" applyBorder="1" applyAlignment="1">
      <alignment horizontal="center"/>
    </xf>
    <xf numFmtId="0" fontId="26" fillId="3" borderId="15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0" fontId="26" fillId="3" borderId="12" xfId="0" applyFont="1" applyFill="1" applyBorder="1" applyAlignment="1">
      <alignment horizontal="center" vertical="center"/>
    </xf>
    <xf numFmtId="0" fontId="26" fillId="3" borderId="31" xfId="0" applyFont="1" applyFill="1" applyBorder="1" applyAlignment="1">
      <alignment horizontal="center" vertical="center"/>
    </xf>
    <xf numFmtId="0" fontId="26" fillId="3" borderId="13" xfId="0" applyFont="1" applyFill="1" applyBorder="1" applyAlignment="1">
      <alignment horizontal="center" vertical="center"/>
    </xf>
    <xf numFmtId="0" fontId="26" fillId="3" borderId="10" xfId="0" applyFont="1" applyFill="1" applyBorder="1" applyAlignment="1">
      <alignment horizontal="center" vertical="center"/>
    </xf>
    <xf numFmtId="0" fontId="26" fillId="3" borderId="11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 wrapText="1"/>
    </xf>
    <xf numFmtId="0" fontId="26" fillId="3" borderId="31" xfId="0" applyFont="1" applyFill="1" applyBorder="1" applyAlignment="1">
      <alignment horizontal="center" vertical="center" wrapText="1"/>
    </xf>
    <xf numFmtId="0" fontId="26" fillId="3" borderId="12" xfId="0" applyFont="1" applyFill="1" applyBorder="1" applyAlignment="1">
      <alignment horizontal="center" vertical="center" wrapText="1"/>
    </xf>
    <xf numFmtId="0" fontId="30" fillId="4" borderId="9" xfId="0" applyFont="1" applyFill="1" applyBorder="1" applyAlignment="1">
      <alignment horizontal="left" vertical="center"/>
    </xf>
    <xf numFmtId="0" fontId="26" fillId="3" borderId="15" xfId="0" applyFont="1" applyFill="1" applyBorder="1" applyAlignment="1">
      <alignment horizontal="center" vertical="center" wrapText="1"/>
    </xf>
    <xf numFmtId="0" fontId="26" fillId="3" borderId="14" xfId="0" applyFont="1" applyFill="1" applyBorder="1" applyAlignment="1">
      <alignment horizontal="center" vertical="center"/>
    </xf>
    <xf numFmtId="0" fontId="26" fillId="3" borderId="17" xfId="0" applyFont="1" applyFill="1" applyBorder="1" applyAlignment="1">
      <alignment horizontal="center" vertical="center"/>
    </xf>
    <xf numFmtId="0" fontId="26" fillId="3" borderId="16" xfId="0" applyFont="1" applyFill="1" applyBorder="1" applyAlignment="1">
      <alignment horizontal="center" vertical="center"/>
    </xf>
    <xf numFmtId="0" fontId="26" fillId="3" borderId="19" xfId="0" applyFont="1" applyFill="1" applyBorder="1" applyAlignment="1">
      <alignment horizontal="center" vertical="center"/>
    </xf>
    <xf numFmtId="168" fontId="26" fillId="3" borderId="15" xfId="0" applyNumberFormat="1" applyFont="1" applyFill="1" applyBorder="1" applyAlignment="1">
      <alignment horizontal="center" vertical="center"/>
    </xf>
    <xf numFmtId="168" fontId="26" fillId="3" borderId="18" xfId="0" applyNumberFormat="1" applyFont="1" applyFill="1" applyBorder="1" applyAlignment="1">
      <alignment horizontal="center" vertical="center"/>
    </xf>
    <xf numFmtId="165" fontId="25" fillId="4" borderId="9" xfId="0" applyNumberFormat="1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/>
    </xf>
    <xf numFmtId="0" fontId="27" fillId="3" borderId="9" xfId="0" applyFont="1" applyFill="1" applyBorder="1" applyAlignment="1">
      <alignment horizontal="center" vertical="center" wrapText="1"/>
    </xf>
    <xf numFmtId="0" fontId="33" fillId="0" borderId="0" xfId="0" applyFont="1" applyBorder="1" applyAlignment="1">
      <alignment horizontal="center" vertical="center"/>
    </xf>
  </cellXfs>
  <cellStyles count="31">
    <cellStyle name="#_0_Bold_R" xfId="26" xr:uid="{00000000-0005-0000-0000-000000000000}"/>
    <cellStyle name="#_0_E" xfId="24" xr:uid="{00000000-0005-0000-0000-000001000000}"/>
    <cellStyle name="#_0_R" xfId="5" xr:uid="{00000000-0005-0000-0000-000002000000}"/>
    <cellStyle name="#_0_W" xfId="12" xr:uid="{00000000-0005-0000-0000-000003000000}"/>
    <cellStyle name="#_2_Bold_R" xfId="28" xr:uid="{00000000-0005-0000-0000-000004000000}"/>
    <cellStyle name="#_2_R" xfId="6" xr:uid="{00000000-0005-0000-0000-000005000000}"/>
    <cellStyle name="#_2_Total_R" xfId="21" xr:uid="{00000000-0005-0000-0000-000006000000}"/>
    <cellStyle name="#_2_W" xfId="19" xr:uid="{00000000-0005-0000-0000-000007000000}"/>
    <cellStyle name="#_K_W" xfId="18" xr:uid="{00000000-0005-0000-0000-000008000000}"/>
    <cellStyle name="%_1_Bold_R" xfId="29" xr:uid="{00000000-0005-0000-0000-000009000000}"/>
    <cellStyle name="%_1_R" xfId="20" xr:uid="{00000000-0005-0000-0000-00000A000000}"/>
    <cellStyle name="%_1_Total_R" xfId="22" xr:uid="{00000000-0005-0000-0000-00000B000000}"/>
    <cellStyle name="%_1_W" xfId="16" xr:uid="{00000000-0005-0000-0000-00000C000000}"/>
    <cellStyle name="%_2_Bold_R" xfId="27" xr:uid="{00000000-0005-0000-0000-00000D000000}"/>
    <cellStyle name="%_2_R" xfId="7" xr:uid="{00000000-0005-0000-0000-00000E000000}"/>
    <cellStyle name="%_2_W" xfId="4" xr:uid="{00000000-0005-0000-0000-00000F000000}"/>
    <cellStyle name="%_3_R" xfId="15" xr:uid="{00000000-0005-0000-0000-000010000000}"/>
    <cellStyle name="%_3_W" xfId="13" xr:uid="{00000000-0005-0000-0000-000011000000}"/>
    <cellStyle name="Date_W" xfId="9" xr:uid="{00000000-0005-0000-0000-000012000000}"/>
    <cellStyle name="Hidden_Formula" xfId="25" xr:uid="{00000000-0005-0000-0000-000013000000}"/>
    <cellStyle name="Normal" xfId="0" builtinId="0"/>
    <cellStyle name="Normal 2 2" xfId="23" xr:uid="{00000000-0005-0000-0000-000015000000}"/>
    <cellStyle name="Normal 4" xfId="2" xr:uid="{00000000-0005-0000-0000-000016000000}"/>
    <cellStyle name="T_Center_Bold_R" xfId="17" xr:uid="{00000000-0005-0000-0000-000017000000}"/>
    <cellStyle name="T_Center_R" xfId="30" xr:uid="{00000000-0005-0000-0000-000018000000}"/>
    <cellStyle name="T_Center_W" xfId="8" xr:uid="{00000000-0005-0000-0000-000019000000}"/>
    <cellStyle name="T_CenterW_Bold_R" xfId="11" xr:uid="{00000000-0005-0000-0000-00001A000000}"/>
    <cellStyle name="T_Header_Identity" xfId="3" xr:uid="{00000000-0005-0000-0000-00001B000000}"/>
    <cellStyle name="T_Header_Table" xfId="1" xr:uid="{00000000-0005-0000-0000-00001C000000}"/>
    <cellStyle name="T_Left_Bold_R" xfId="10" xr:uid="{00000000-0005-0000-0000-00001D000000}"/>
    <cellStyle name="T_Left_W" xfId="14" xr:uid="{00000000-0005-0000-0000-00001E000000}"/>
  </cellStyles>
  <dxfs count="0"/>
  <tableStyles count="0" defaultTableStyle="TableStyleMedium2" defaultPivotStyle="PivotStyleLight16"/>
  <colors>
    <mruColors>
      <color rgb="FFA9D8FE"/>
      <color rgb="FF66B6F6"/>
      <color rgb="FF003A83"/>
      <color rgb="FF006E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US" sz="1800" b="1" i="0" baseline="0">
                <a:effectLst/>
              </a:rPr>
              <a:t>Trailing 12-CashFlow Analysis</a:t>
            </a:r>
            <a:endParaRPr lang="en-US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'Trailing 12 Analysis'!$N$6</c:f>
              <c:strCache>
                <c:ptCount val="1"/>
                <c:pt idx="0">
                  <c:v>Effective Gross Income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'Trailing 12 Analysis'!$O$5:$S$5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'Trailing 12 Analysis'!$O$6:$S$6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34E-4CE3-BBF3-3BF5D6FD3ECB}"/>
            </c:ext>
          </c:extLst>
        </c:ser>
        <c:ser>
          <c:idx val="1"/>
          <c:order val="1"/>
          <c:tx>
            <c:strRef>
              <c:f>'Trailing 12 Analysis'!$N$7</c:f>
              <c:strCache>
                <c:ptCount val="1"/>
                <c:pt idx="0">
                  <c:v>Overall Expense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'Trailing 12 Analysis'!$O$5:$S$5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'Trailing 12 Analysis'!$O$7:$S$7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34E-4CE3-BBF3-3BF5D6FD3ECB}"/>
            </c:ext>
          </c:extLst>
        </c:ser>
        <c:ser>
          <c:idx val="2"/>
          <c:order val="2"/>
          <c:tx>
            <c:strRef>
              <c:f>'Trailing 12 Analysis'!$N$8</c:f>
              <c:strCache>
                <c:ptCount val="1"/>
                <c:pt idx="0">
                  <c:v>Net Operating Income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'Trailing 12 Analysis'!$O$5:$S$5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'Trailing 12 Analysis'!$O$8:$S$8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34E-4CE3-BBF3-3BF5D6FD3ECB}"/>
            </c:ext>
          </c:extLst>
        </c:ser>
        <c:ser>
          <c:idx val="3"/>
          <c:order val="3"/>
          <c:tx>
            <c:strRef>
              <c:f>'Trailing 12 Analysis'!$N$9</c:f>
              <c:strCache>
                <c:ptCount val="1"/>
                <c:pt idx="0">
                  <c:v>Net Cash Flow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'Trailing 12 Analysis'!$O$5:$S$5</c:f>
              <c:strCache>
                <c:ptCount val="5"/>
                <c:pt idx="0">
                  <c:v>T12</c:v>
                </c:pt>
                <c:pt idx="1">
                  <c:v>T9</c:v>
                </c:pt>
                <c:pt idx="2">
                  <c:v>T6</c:v>
                </c:pt>
                <c:pt idx="3">
                  <c:v>T3</c:v>
                </c:pt>
                <c:pt idx="4">
                  <c:v>T1</c:v>
                </c:pt>
              </c:strCache>
            </c:strRef>
          </c:cat>
          <c:val>
            <c:numRef>
              <c:f>'Trailing 12 Analysis'!$O$9:$S$9</c:f>
              <c:numCache>
                <c:formatCode>_("$"* #,##0.00_);_("$"* \(#,##0.00\);_("$"* "-"??_);_(@_)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34E-4CE3-BBF3-3BF5D6FD3E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47162767"/>
        <c:axId val="1647164015"/>
      </c:barChart>
      <c:catAx>
        <c:axId val="164716276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64015"/>
        <c:crosses val="autoZero"/>
        <c:auto val="1"/>
        <c:lblAlgn val="ctr"/>
        <c:lblOffset val="100"/>
        <c:noMultiLvlLbl val="0"/>
      </c:catAx>
      <c:valAx>
        <c:axId val="1647164015"/>
        <c:scaling>
          <c:orientation val="minMax"/>
        </c:scaling>
        <c:delete val="0"/>
        <c:axPos val="l"/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4716276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260736976568027"/>
          <c:y val="0.21611007714944722"/>
          <c:w val="0.17674300297127396"/>
          <c:h val="0.482830191680585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rgbClr val="006EC5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091211688424773E-2"/>
          <c:w val="0.99121687170056128"/>
          <c:h val="0.98908788311575224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5ED-4E94-8A96-11FC0EFAFD65}"/>
              </c:ext>
            </c:extLst>
          </c:dPt>
          <c:dPt>
            <c:idx val="1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5ED-4E94-8A96-11FC0EFAFD65}"/>
              </c:ext>
            </c:extLst>
          </c:dPt>
          <c:dPt>
            <c:idx val="2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5ED-4E94-8A96-11FC0EFAFD65}"/>
              </c:ext>
            </c:extLst>
          </c:dPt>
          <c:dPt>
            <c:idx val="3"/>
            <c:bubble3D val="0"/>
            <c:spPr>
              <a:solidFill>
                <a:schemeClr val="accent4">
                  <a:lumMod val="60000"/>
                  <a:lumOff val="4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5ED-4E94-8A96-11FC0EFAFD65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5ED-4E94-8A96-11FC0EFAFD65}"/>
              </c:ext>
            </c:extLst>
          </c:dPt>
          <c:dPt>
            <c:idx val="5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5ED-4E94-8A96-11FC0EFAFD65}"/>
              </c:ext>
            </c:extLst>
          </c:dPt>
          <c:dPt>
            <c:idx val="6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A651-42F8-8C99-D0480B78DFCB}"/>
              </c:ext>
            </c:extLst>
          </c:dPt>
          <c:dLbls>
            <c:dLbl>
              <c:idx val="0"/>
              <c:layout>
                <c:manualLayout>
                  <c:x val="-5.076142131979695E-3"/>
                  <c:y val="4.6783625730994153E-3"/>
                </c:manualLayout>
              </c:layout>
              <c:tx>
                <c:rich>
                  <a:bodyPr/>
                  <a:lstStyle/>
                  <a:p>
                    <a:fld id="{130606C8-BAEF-4F31-953B-2237C447B9E4}" type="CELLRANGE">
                      <a:rPr lang="en-US">
                        <a:solidFill>
                          <a:schemeClr val="bg1"/>
                        </a:solidFill>
                      </a:rPr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5ED-4E94-8A96-11FC0EFAFD65}"/>
                </c:ext>
              </c:extLst>
            </c:dLbl>
            <c:dLbl>
              <c:idx val="1"/>
              <c:layout>
                <c:manualLayout>
                  <c:x val="-0.11468763739557941"/>
                  <c:y val="-1.6846364727212213E-2"/>
                </c:manualLayout>
              </c:layout>
              <c:tx>
                <c:rich>
                  <a:bodyPr/>
                  <a:lstStyle/>
                  <a:p>
                    <a:fld id="{2CA4E07D-1612-4FCA-941E-1F37C0F60384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D5ED-4E94-8A96-11FC0EFAFD65}"/>
                </c:ext>
              </c:extLst>
            </c:dLbl>
            <c:dLbl>
              <c:idx val="2"/>
              <c:layout>
                <c:manualLayout>
                  <c:x val="-0.15940984851512854"/>
                  <c:y val="8.4790624753663304E-3"/>
                </c:manualLayout>
              </c:layout>
              <c:tx>
                <c:rich>
                  <a:bodyPr/>
                  <a:lstStyle/>
                  <a:p>
                    <a:fld id="{45AC7B72-C25C-447D-9C74-F455B6487F9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D5ED-4E94-8A96-11FC0EFAFD65}"/>
                </c:ext>
              </c:extLst>
            </c:dLbl>
            <c:dLbl>
              <c:idx val="3"/>
              <c:layout>
                <c:manualLayout>
                  <c:x val="-0.10457332427355215"/>
                  <c:y val="4.7574470321354437E-2"/>
                </c:manualLayout>
              </c:layout>
              <c:tx>
                <c:rich>
                  <a:bodyPr/>
                  <a:lstStyle/>
                  <a:p>
                    <a:fld id="{E5D9F2EF-488F-4513-996C-6EA31BBDB399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D5ED-4E94-8A96-11FC0EFAFD6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D-4E94-8A96-11FC0EFAFD6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D-4E94-8A96-11FC0EFAFD6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A651-42F8-8C99-D0480B78DF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rgbClr val="ABDBF3"/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'Rent Roll Analysis'!$B$22:$B$28</c:f>
              <c:strCache>
                <c:ptCount val="7"/>
                <c:pt idx="0">
                  <c:v>Occupied</c:v>
                </c:pt>
                <c:pt idx="1">
                  <c:v>MTM</c:v>
                </c:pt>
                <c:pt idx="2">
                  <c:v>Admin/Model</c:v>
                </c:pt>
                <c:pt idx="3">
                  <c:v>Employee</c:v>
                </c:pt>
                <c:pt idx="4">
                  <c:v>Down</c:v>
                </c:pt>
                <c:pt idx="5">
                  <c:v>Vacant</c:v>
                </c:pt>
                <c:pt idx="6">
                  <c:v>Total</c:v>
                </c:pt>
              </c:strCache>
            </c:strRef>
          </c:cat>
          <c:val>
            <c:numRef>
              <c:f>'Rent Roll Analysis'!$E$22:$E$28</c:f>
              <c:numCache>
                <c:formatCode>[&gt;0]#,##0;\-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'Rent Roll Analysis'!$A$12:$A$15</c15:f>
                <c15:dlblRangeCache>
                  <c:ptCount val="4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  <c:pt idx="3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C-D5ED-4E94-8A96-11FC0EFAFD65}"/>
            </c:ext>
          </c:extLst>
        </c:ser>
        <c:ser>
          <c:idx val="1"/>
          <c:order val="1"/>
          <c:tx>
            <c:strRef>
              <c:f>'Rent Roll Analysis'!$E$31:$H$31</c:f>
              <c:strCache>
                <c:ptCount val="1"/>
                <c:pt idx="0">
                  <c:v>Occupied Non-Revenue Down Vacant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5ED-4E94-8A96-11FC0EFAFD65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5ED-4E94-8A96-11FC0EFAFD65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2-D5ED-4E94-8A96-11FC0EFAFD65}"/>
              </c:ext>
            </c:extLst>
          </c:dPt>
          <c:dPt>
            <c:idx val="3"/>
            <c:bubble3D val="0"/>
            <c:spPr>
              <a:solidFill>
                <a:srgbClr val="A9D8F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A651-42F8-8C99-D0480B78DFCB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A651-42F8-8C99-D0480B78DFCB}"/>
              </c:ext>
            </c:extLst>
          </c:dPt>
          <c:dLbls>
            <c:dLbl>
              <c:idx val="0"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900" b="1" i="0" u="none" strike="noStrike" kern="1200" baseline="0">
                        <a:solidFill>
                          <a:schemeClr val="bg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endParaRPr lang="en-US"/>
                  </a:p>
                </c:rich>
              </c:tx>
              <c:numFmt formatCode="0.00%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D5ED-4E94-8A96-11FC0EFAFD6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A651-42F8-8C99-D0480B78DFC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A651-42F8-8C99-D0480B78DF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val>
            <c:numRef>
              <c:f>('Rent Roll Analysis'!$E$45:$H$45,'Rent Roll Analysis'!$F$20)</c:f>
              <c:numCache>
                <c:formatCode>[&gt;0]#,##0;\-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D5ED-4E94-8A96-11FC0EFAF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36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482275922406251E-2"/>
          <c:y val="2.9481792342238661E-2"/>
          <c:w val="0.98751772407759375"/>
          <c:h val="0.9438910805761788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'Rent Roll Analysis'!$H$21</c:f>
              <c:strCache>
                <c:ptCount val="1"/>
                <c:pt idx="0">
                  <c:v>Actual Rent</c:v>
                </c:pt>
              </c:strCache>
            </c:strRef>
          </c:tx>
          <c:spPr>
            <a:gradFill flip="none" rotWithShape="1">
              <a:gsLst>
                <a:gs pos="0">
                  <a:schemeClr val="accent1"/>
                </a:gs>
                <a:gs pos="75000">
                  <a:schemeClr val="accent1">
                    <a:lumMod val="60000"/>
                    <a:lumOff val="40000"/>
                  </a:schemeClr>
                </a:gs>
                <a:gs pos="51000">
                  <a:schemeClr val="accent1">
                    <a:alpha val="75000"/>
                  </a:schemeClr>
                </a:gs>
                <a:gs pos="100000">
                  <a:schemeClr val="accent1"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006EC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D558-47E9-AA32-D538A8BE0C7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73AF96D-77B5-41E2-B22C-2DE943BF94D4}" type="SERIESNAME">
                      <a:rPr lang="en-US"/>
                      <a:pPr/>
                      <a:t>[SERIES NAME]</a:t>
                    </a:fld>
                    <a:endParaRPr lang="en-US"/>
                  </a:p>
                  <a:p>
                    <a:fld id="{55E6C4BC-F07E-4513-A996-9F4F6CC20A05}" type="VALUE">
                      <a:rPr lang="en-US"/>
                      <a:pPr/>
                      <a:t>[VALUE]</a:t>
                    </a:fld>
                    <a:endParaRPr lang="en-GB"/>
                  </a:p>
                </c:rich>
              </c:tx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0-D558-47E9-AA32-D538A8BE0C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'Rent Roll Analysis'!$H$22</c:f>
              <c:numCache>
                <c:formatCode>_("$"* #,##0_);_("$"* \(#,##0\);_("$"*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58-47E9-AA32-D538A8BE0C75}"/>
            </c:ext>
          </c:extLst>
        </c:ser>
        <c:ser>
          <c:idx val="1"/>
          <c:order val="1"/>
          <c:tx>
            <c:strRef>
              <c:f>'Rent Roll Analysis'!$J$21</c:f>
              <c:strCache>
                <c:ptCount val="1"/>
                <c:pt idx="0">
                  <c:v>Market Rent</c:v>
                </c:pt>
              </c:strCache>
            </c:strRef>
          </c:tx>
          <c:spPr>
            <a:solidFill>
              <a:srgbClr val="A9D8FE"/>
            </a:solidFill>
            <a:ln>
              <a:noFill/>
            </a:ln>
            <a:effectLst/>
          </c:spPr>
          <c:invertIfNegative val="0"/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rgbClr val="006EC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ctr"/>
              <c:showLegendKey val="0"/>
              <c:showVal val="1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2460583384523744"/>
                      <c:h val="0.2544344903442504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D558-47E9-AA32-D538A8BE0C7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6EC5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'Rent Roll Analysis'!$J$22</c:f>
              <c:numCache>
                <c:formatCode>_("$"* #,##0_);_("$"* \(#,##0\);_("$"*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58-47E9-AA32-D538A8BE0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"/>
        <c:overlap val="-20"/>
        <c:axId val="201504112"/>
        <c:axId val="201504672"/>
      </c:barChart>
      <c:catAx>
        <c:axId val="20150411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201504672"/>
        <c:crosses val="autoZero"/>
        <c:auto val="1"/>
        <c:lblAlgn val="ctr"/>
        <c:lblOffset val="100"/>
        <c:noMultiLvlLbl val="0"/>
      </c:catAx>
      <c:valAx>
        <c:axId val="201504672"/>
        <c:scaling>
          <c:orientation val="minMax"/>
        </c:scaling>
        <c:delete val="1"/>
        <c:axPos val="l"/>
        <c:numFmt formatCode="_(&quot;$&quot;* #,##0_);_(&quot;$&quot;* \(#,##0\);_(&quot;$&quot;* &quot;-&quot;_);_(@_)" sourceLinked="1"/>
        <c:majorTickMark val="none"/>
        <c:minorTickMark val="none"/>
        <c:tickLblPos val="nextTo"/>
        <c:crossAx val="2015041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>
                <a:latin typeface="Californian FB" panose="0207040306080B030204" pitchFamily="18" charset="0"/>
              </a:rPr>
              <a:t>Lease Expiration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311871862971062E-2"/>
          <c:y val="0.13831946923849947"/>
          <c:w val="0.90844691961795987"/>
          <c:h val="0.57272859707212032"/>
        </c:manualLayout>
      </c:layout>
      <c:barChart>
        <c:barDir val="col"/>
        <c:grouping val="clustered"/>
        <c:varyColors val="0"/>
        <c:ser>
          <c:idx val="0"/>
          <c:order val="0"/>
          <c:tx>
            <c:v>Lease Expiration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'Lease Analysis'!$B$6:$B$17</c:f>
              <c:numCache>
                <c:formatCode>[$-409]mmm\-yy;@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'Lease Analysis'!$C$6:$C$17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DB-43C0-8EBD-197BD92A02C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4"/>
        <c:axId val="1539228383"/>
        <c:axId val="1539230463"/>
      </c:barChart>
      <c:catAx>
        <c:axId val="1539228383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230463"/>
        <c:crosses val="autoZero"/>
        <c:auto val="0"/>
        <c:lblAlgn val="ctr"/>
        <c:lblOffset val="100"/>
        <c:noMultiLvlLbl val="1"/>
      </c:catAx>
      <c:valAx>
        <c:axId val="1539230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228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Floor Plan Wise Actual vs Market Rent </a:t>
            </a:r>
          </a:p>
        </c:rich>
      </c:tx>
      <c:layout>
        <c:manualLayout>
          <c:xMode val="edge"/>
          <c:yMode val="edge"/>
          <c:x val="0.35572171745296222"/>
          <c:y val="3.907201029244590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855950811205399E-2"/>
          <c:y val="0.14112878079201749"/>
          <c:w val="0.89788256588849813"/>
          <c:h val="0.58401380837685279"/>
        </c:manualLayout>
      </c:layout>
      <c:barChart>
        <c:barDir val="col"/>
        <c:grouping val="clustered"/>
        <c:varyColors val="0"/>
        <c:ser>
          <c:idx val="1"/>
          <c:order val="0"/>
          <c:tx>
            <c:v>Average Monthly Rent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'Rent Roll Analysis'!$B$32:$B$44</c:f>
              <c:numCache>
                <c:formatCode>General</c:formatCode>
                <c:ptCount val="13"/>
              </c:numCache>
            </c:numRef>
          </c:cat>
          <c:val>
            <c:numRef>
              <c:f>'Rent Roll Analysis'!$L$32:$L$44</c:f>
              <c:numCache>
                <c:formatCode>_("$"* #,##0.00_);_("$"* \(#,##0.00\);_("$"*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71-4A3C-B9BB-7FCF6BABCFC3}"/>
            </c:ext>
          </c:extLst>
        </c:ser>
        <c:ser>
          <c:idx val="2"/>
          <c:order val="1"/>
          <c:tx>
            <c:v>Average Market Rent</c:v>
          </c:tx>
          <c:spPr>
            <a:solidFill>
              <a:schemeClr val="accent1">
                <a:tint val="65000"/>
              </a:schemeClr>
            </a:solidFill>
            <a:ln>
              <a:noFill/>
            </a:ln>
            <a:effectLst/>
          </c:spPr>
          <c:invertIfNegative val="0"/>
          <c:cat>
            <c:numRef>
              <c:f>'Rent Roll Analysis'!$B$32:$B$44</c:f>
              <c:numCache>
                <c:formatCode>General</c:formatCode>
                <c:ptCount val="13"/>
              </c:numCache>
            </c:numRef>
          </c:cat>
          <c:val>
            <c:numRef>
              <c:f>'Rent Roll Analysis'!$P$32:$P$44</c:f>
              <c:numCache>
                <c:formatCode>_("$"* #,##0.00_);_("$"* \(#,##0.00\);_("$"* "-"??_);_(@_)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71-4A3C-B9BB-7FCF6BABCF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71625392"/>
        <c:axId val="1471630384"/>
      </c:barChart>
      <c:catAx>
        <c:axId val="1471625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30384"/>
        <c:crosses val="autoZero"/>
        <c:auto val="1"/>
        <c:lblAlgn val="ctr"/>
        <c:lblOffset val="100"/>
        <c:noMultiLvlLbl val="0"/>
      </c:catAx>
      <c:valAx>
        <c:axId val="147163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25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en-US" sz="1400" b="0">
                <a:latin typeface="Californian FB" panose="0207040306080B030204" pitchFamily="18" charset="0"/>
              </a:rPr>
              <a:t>Lease Start Trend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4311871862971062E-2"/>
          <c:y val="0.13831946923849947"/>
          <c:w val="0.90844691961795987"/>
          <c:h val="0.57272859707212032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'Lease Analysis'!$J$6:$J$17</c:f>
              <c:numCache>
                <c:formatCode>[$-409]mmm\-yy;@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cat>
          <c:val>
            <c:numRef>
              <c:f>'Lease Analysis'!$K$6:$K$17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4E-49B7-BDB4-2BDD7ECD8EC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50"/>
        <c:overlap val="-24"/>
        <c:axId val="1539228383"/>
        <c:axId val="1539230463"/>
      </c:barChart>
      <c:catAx>
        <c:axId val="1539228383"/>
        <c:scaling>
          <c:orientation val="minMax"/>
        </c:scaling>
        <c:delete val="0"/>
        <c:axPos val="b"/>
        <c:numFmt formatCode="[$-409]mmm\-yy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230463"/>
        <c:crosses val="autoZero"/>
        <c:auto val="0"/>
        <c:lblAlgn val="ctr"/>
        <c:lblOffset val="100"/>
        <c:noMultiLvlLbl val="1"/>
      </c:catAx>
      <c:valAx>
        <c:axId val="1539230463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9228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_xlchart.v1.0</cx:f>
      </cx:strDim>
      <cx:numDim type="size">
        <cx:f>_xlchart.v1.1</cx:f>
      </cx:numDim>
    </cx:data>
    <cx:data id="1">
      <cx:strDim type="cat">
        <cx:f>_xlchart.v1.0</cx:f>
      </cx:strDim>
      <cx:numDim type="size">
        <cx:f>_xlchart.v1.2</cx:f>
      </cx:numDim>
    </cx:data>
    <cx:data id="2">
      <cx:strDim type="cat">
        <cx:f>_xlchart.v1.0</cx:f>
      </cx:strDim>
      <cx:numDim type="size">
        <cx:f>_xlchart.v1.3</cx:f>
      </cx:numDim>
    </cx:data>
    <cx:data id="3">
      <cx:strDim type="cat">
        <cx:f>_xlchart.v1.0</cx:f>
      </cx:strDim>
      <cx:numDim type="size">
        <cx:f>_xlchart.v1.4</cx:f>
      </cx:numDim>
    </cx:data>
    <cx:data id="4">
      <cx:strDim type="cat">
        <cx:f>_xlchart.v1.0</cx:f>
      </cx:strDim>
      <cx:numDim type="size">
        <cx:f>_xlchart.v1.5</cx:f>
      </cx:numDim>
    </cx:data>
  </cx:chartData>
  <cx:chart>
    <cx:title pos="t" align="ctr" overlay="0">
      <cx:tx>
        <cx:txData>
          <cx:v>Trailing 12-Overall Expense Analysis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Trailing 12-Overall Expense Analysis</a:t>
          </a:r>
        </a:p>
      </cx:txPr>
    </cx:title>
    <cx:plotArea>
      <cx:plotAreaRegion>
        <cx:series layoutId="sunburst" uniqueId="{2D7AAEB8-C116-446C-92D3-80F80463911D}" formatIdx="0">
          <cx:dataId val="0"/>
        </cx:series>
        <cx:series layoutId="sunburst" hidden="1" uniqueId="{C7951D73-2C93-4A75-817F-F63BB2E3CBA7}" formatIdx="1">
          <cx:dataId val="1"/>
        </cx:series>
        <cx:series layoutId="sunburst" hidden="1" uniqueId="{C315B3C0-3069-4195-BAC5-BA07B399B383}" formatIdx="2">
          <cx:dataId val="2"/>
        </cx:series>
        <cx:series layoutId="sunburst" hidden="1" uniqueId="{79F6C40C-29E5-4919-B529-0401002E7F49}" formatIdx="3">
          <cx:dataId val="3"/>
        </cx:series>
        <cx:series layoutId="sunburst" hidden="1" uniqueId="{20F98EA5-4D26-43FF-998C-05AA91EEDA8C}" formatIdx="4">
          <cx:dataId val="4"/>
        </cx:series>
      </cx:plotAreaRegion>
    </cx:plotArea>
    <cx:legend pos="r" align="ctr" overlay="0"/>
  </cx:chart>
  <cx:spPr>
    <a:ln>
      <a:solidFill>
        <a:srgbClr val="006EC5"/>
      </a:solidFill>
    </a:ln>
  </cx:spPr>
  <cx:clrMapOvr bg1="lt1" tx1="dk1" bg2="lt2" tx2="dk2" accent1="accent1" accent2="accent2" accent3="accent3" accent4="accent4" accent5="accent5" accent6="accent6" hlink="hlink" folHlink="folHlink"/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" id="14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6">
  <cs:axisTitle>
    <cs:lnRef idx="0"/>
    <cs:fillRef idx="0"/>
    <cs:effectRef idx="0"/>
    <cs:fontRef idx="major">
      <a:schemeClr val="dk1">
        <a:lumMod val="50000"/>
        <a:lumOff val="50000"/>
      </a:schemeClr>
    </cs:fontRef>
    <cs:defRPr sz="900"/>
  </cs:axisTitle>
  <cs:categoryAxis>
    <cs:lnRef idx="0"/>
    <cs:fillRef idx="0"/>
    <cs:effectRef idx="0"/>
    <cs:fontRef idx="major">
      <a:schemeClr val="dk1">
        <a:lumMod val="50000"/>
        <a:lumOff val="50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850" kern="1200"/>
    <cs:bodyPr lIns="38100" tIns="19050" rIns="38100" bIns="19050">
      <a:spAutoFit/>
    </cs:bodyPr>
  </cs:dataLabel>
  <cs:dataLabelCallout>
    <cs:lnRef idx="0"/>
    <cs:fillRef idx="0"/>
    <cs:effectRef idx="0"/>
    <cs:fontRef idx="major">
      <a:schemeClr val="dk1">
        <a:lumMod val="50000"/>
        <a:lumOff val="50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9525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ajor">
      <a:schemeClr val="dk1">
        <a:lumMod val="50000"/>
        <a:lumOff val="50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  <cs:bodyPr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ajor">
      <a:schemeClr val="dk1">
        <a:lumMod val="50000"/>
        <a:lumOff val="50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ajor">
      <a:schemeClr val="dk1">
        <a:lumMod val="50000"/>
        <a:lumOff val="50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ajor">
      <a:schemeClr val="dk1">
        <a:lumMod val="50000"/>
        <a:lumOff val="50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03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7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  <a:lumOff val="2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Drop" dropLines="3" dropStyle="combo" dx="22" fmlaLink="UWCalcMethod" fmlaRange="'CF Summary'!$AO$8:$AO$10" sel="1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</xdr:colOff>
      <xdr:row>1</xdr:row>
      <xdr:rowOff>1905</xdr:rowOff>
    </xdr:from>
    <xdr:to>
      <xdr:col>19</xdr:col>
      <xdr:colOff>1905</xdr:colOff>
      <xdr:row>3</xdr:row>
      <xdr:rowOff>4953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54305" y="144780"/>
          <a:ext cx="10172700" cy="288798"/>
          <a:chOff x="158115" y="150494"/>
          <a:chExt cx="9782175" cy="28910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495426" y="150494"/>
            <a:ext cx="8444864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Information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158115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2</xdr:col>
      <xdr:colOff>106681</xdr:colOff>
      <xdr:row>1</xdr:row>
      <xdr:rowOff>0</xdr:rowOff>
    </xdr:from>
    <xdr:to>
      <xdr:col>3</xdr:col>
      <xdr:colOff>293066</xdr:colOff>
      <xdr:row>3</xdr:row>
      <xdr:rowOff>3048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3861" y="144780"/>
          <a:ext cx="1009345" cy="2926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</xdr:colOff>
      <xdr:row>1</xdr:row>
      <xdr:rowOff>7619</xdr:rowOff>
    </xdr:from>
    <xdr:to>
      <xdr:col>13</xdr:col>
      <xdr:colOff>1068706</xdr:colOff>
      <xdr:row>3</xdr:row>
      <xdr:rowOff>10667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158115" y="150494"/>
          <a:ext cx="12207241" cy="288798"/>
          <a:chOff x="158115" y="150494"/>
          <a:chExt cx="12790491" cy="289103"/>
        </a:xfrm>
      </xdr:grpSpPr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480506" y="150494"/>
            <a:ext cx="11468100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Loan Analysis</a:t>
            </a: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8115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1</xdr:col>
      <xdr:colOff>198120</xdr:colOff>
      <xdr:row>1</xdr:row>
      <xdr:rowOff>22860</xdr:rowOff>
    </xdr:from>
    <xdr:to>
      <xdr:col>1</xdr:col>
      <xdr:colOff>1206534</xdr:colOff>
      <xdr:row>3</xdr:row>
      <xdr:rowOff>24977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67640"/>
          <a:ext cx="1009345" cy="29260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</xdr:colOff>
      <xdr:row>1</xdr:row>
      <xdr:rowOff>1905</xdr:rowOff>
    </xdr:from>
    <xdr:to>
      <xdr:col>12</xdr:col>
      <xdr:colOff>15240</xdr:colOff>
      <xdr:row>3</xdr:row>
      <xdr:rowOff>4953</xdr:rowOff>
    </xdr:to>
    <xdr:grpSp>
      <xdr:nvGrpSpPr>
        <xdr:cNvPr id="16" name="Group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pSpPr/>
      </xdr:nvGrpSpPr>
      <xdr:grpSpPr>
        <a:xfrm>
          <a:off x="154305" y="144780"/>
          <a:ext cx="12281535" cy="288798"/>
          <a:chOff x="150698" y="150494"/>
          <a:chExt cx="12281181" cy="289103"/>
        </a:xfrm>
      </xdr:grpSpPr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/>
        </xdr:nvSpPr>
        <xdr:spPr>
          <a:xfrm>
            <a:off x="1387531" y="150494"/>
            <a:ext cx="1104434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20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Amortization Schedule</a:t>
            </a:r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/>
        </xdr:nvSpPr>
        <xdr:spPr>
          <a:xfrm>
            <a:off x="15069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2400" b="1">
              <a:solidFill>
                <a:schemeClr val="bg1">
                  <a:lumMod val="95000"/>
                </a:schemeClr>
              </a:solidFill>
              <a:effectLst/>
              <a:latin typeface="Tw Cen MT" panose="020B0602020104020603" pitchFamily="34" charset="0"/>
            </a:endParaRPr>
          </a:p>
        </xdr:txBody>
      </xdr:sp>
    </xdr:grpSp>
    <xdr:clientData/>
  </xdr:twoCellAnchor>
  <xdr:twoCellAnchor editAs="oneCell">
    <xdr:from>
      <xdr:col>1</xdr:col>
      <xdr:colOff>205740</xdr:colOff>
      <xdr:row>1</xdr:row>
      <xdr:rowOff>22860</xdr:rowOff>
    </xdr:from>
    <xdr:to>
      <xdr:col>1</xdr:col>
      <xdr:colOff>1215085</xdr:colOff>
      <xdr:row>3</xdr:row>
      <xdr:rowOff>25908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67640"/>
          <a:ext cx="1009345" cy="29260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19</xdr:col>
      <xdr:colOff>0</xdr:colOff>
      <xdr:row>3</xdr:row>
      <xdr:rowOff>10668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pSpPr/>
      </xdr:nvGrpSpPr>
      <xdr:grpSpPr>
        <a:xfrm>
          <a:off x="152400" y="142875"/>
          <a:ext cx="19030950" cy="296418"/>
          <a:chOff x="150698" y="150494"/>
          <a:chExt cx="19092109" cy="296632"/>
        </a:xfrm>
      </xdr:grpSpPr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SpPr/>
        </xdr:nvSpPr>
        <xdr:spPr>
          <a:xfrm>
            <a:off x="1381968" y="158023"/>
            <a:ext cx="17860839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Property</a:t>
            </a:r>
            <a:r>
              <a:rPr lang="en-US" sz="1600" b="1" baseline="0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 Information</a:t>
            </a:r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Californian FB" panose="0207040306080B030204" pitchFamily="18" charset="0"/>
            </a:endParaRPr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5069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1</xdr:col>
      <xdr:colOff>198120</xdr:colOff>
      <xdr:row>1</xdr:row>
      <xdr:rowOff>7620</xdr:rowOff>
    </xdr:from>
    <xdr:to>
      <xdr:col>2</xdr:col>
      <xdr:colOff>117805</xdr:colOff>
      <xdr:row>3</xdr:row>
      <xdr:rowOff>10668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40" y="152400"/>
          <a:ext cx="1009345" cy="29260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6</xdr:col>
      <xdr:colOff>0</xdr:colOff>
      <xdr:row>3</xdr:row>
      <xdr:rowOff>33528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52400" y="142875"/>
          <a:ext cx="4314825" cy="319278"/>
          <a:chOff x="152400" y="152400"/>
          <a:chExt cx="5570220" cy="307848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GrpSpPr/>
        </xdr:nvGrpSpPr>
        <xdr:grpSpPr>
          <a:xfrm>
            <a:off x="152400" y="152400"/>
            <a:ext cx="5570220" cy="292608"/>
            <a:chOff x="189478" y="150494"/>
            <a:chExt cx="5669908" cy="289103"/>
          </a:xfrm>
        </xdr:grpSpPr>
        <xdr:sp macro="" textlink="">
          <xdr:nvSpPr>
            <xdr:cNvPr id="5" name="Rectangle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/>
          </xdr:nvSpPr>
          <xdr:spPr>
            <a:xfrm>
              <a:off x="1484792" y="150494"/>
              <a:ext cx="4374594" cy="289103"/>
            </a:xfrm>
            <a:prstGeom prst="rect">
              <a:avLst/>
            </a:prstGeom>
            <a:solidFill>
              <a:srgbClr val="66B6F6"/>
            </a:solidFill>
            <a:ln w="3175">
              <a:noFill/>
            </a:ln>
            <a:effectLst>
              <a:softEdge rad="12700"/>
            </a:effectLst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r>
                <a:rPr lang="en-US" sz="1600" b="1">
                  <a:solidFill>
                    <a:schemeClr val="bg1">
                      <a:lumMod val="95000"/>
                    </a:schemeClr>
                  </a:solidFill>
                  <a:effectLst/>
                  <a:latin typeface="Californian FB" panose="0207040306080B030204" pitchFamily="18" charset="0"/>
                </a:rPr>
                <a:t>Sources &amp; Uses</a:t>
              </a:r>
            </a:p>
          </xdr:txBody>
        </xdr:sp>
        <xdr:sp macro="" textlink="">
          <xdr:nvSpPr>
            <xdr:cNvPr id="6" name="Rectangle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/>
          </xdr:nvSpPr>
          <xdr:spPr>
            <a:xfrm>
              <a:off x="189478" y="150494"/>
              <a:ext cx="132728" cy="289103"/>
            </a:xfrm>
            <a:prstGeom prst="rect">
              <a:avLst/>
            </a:prstGeom>
            <a:solidFill>
              <a:srgbClr val="66B6F6"/>
            </a:solidFill>
            <a:ln w="3175">
              <a:noFill/>
            </a:ln>
            <a:effectLst>
              <a:softEdge rad="12700"/>
            </a:effectLst>
            <a:scene3d>
              <a:camera prst="orthographicFront">
                <a:rot lat="0" lon="0" rev="0"/>
              </a:camera>
              <a:lightRig rig="contrasting" dir="t">
                <a:rot lat="0" lon="0" rev="7800000"/>
              </a:lightRig>
            </a:scene3d>
            <a:sp3d>
              <a:bevelT w="139700" h="139700"/>
            </a:sp3d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l"/>
              <a:endPara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+mj-lt"/>
              </a:endParaRPr>
            </a:p>
          </xdr:txBody>
        </xdr:sp>
      </xdr:grp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8140" y="167640"/>
            <a:ext cx="1009345" cy="292608"/>
          </a:xfrm>
          <a:prstGeom prst="rect">
            <a:avLst/>
          </a:prstGeom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205740</xdr:colOff>
      <xdr:row>1</xdr:row>
      <xdr:rowOff>22860</xdr:rowOff>
    </xdr:from>
    <xdr:to>
      <xdr:col>2</xdr:col>
      <xdr:colOff>201625</xdr:colOff>
      <xdr:row>3</xdr:row>
      <xdr:rowOff>25908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5760" y="167640"/>
          <a:ext cx="1009345" cy="292608"/>
        </a:xfrm>
        <a:prstGeom prst="rect">
          <a:avLst/>
        </a:prstGeom>
      </xdr:spPr>
    </xdr:pic>
    <xdr:clientData/>
  </xdr:twoCellAnchor>
  <xdr:twoCellAnchor>
    <xdr:from>
      <xdr:col>1</xdr:col>
      <xdr:colOff>7620</xdr:colOff>
      <xdr:row>1</xdr:row>
      <xdr:rowOff>7620</xdr:rowOff>
    </xdr:from>
    <xdr:to>
      <xdr:col>1</xdr:col>
      <xdr:colOff>138014</xdr:colOff>
      <xdr:row>3</xdr:row>
      <xdr:rowOff>10668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67640" y="152400"/>
          <a:ext cx="130394" cy="292608"/>
        </a:xfrm>
        <a:prstGeom prst="rect">
          <a:avLst/>
        </a:prstGeom>
        <a:solidFill>
          <a:srgbClr val="66B6F6"/>
        </a:solidFill>
        <a:ln w="3175">
          <a:noFill/>
        </a:ln>
        <a:effectLst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600" b="1">
            <a:solidFill>
              <a:schemeClr val="bg1">
                <a:lumMod val="95000"/>
              </a:schemeClr>
            </a:solidFill>
            <a:effectLst/>
            <a:latin typeface="+mj-lt"/>
          </a:endParaRPr>
        </a:p>
      </xdr:txBody>
    </xdr:sp>
    <xdr:clientData/>
  </xdr:twoCellAnchor>
  <xdr:twoCellAnchor>
    <xdr:from>
      <xdr:col>2</xdr:col>
      <xdr:colOff>259080</xdr:colOff>
      <xdr:row>1</xdr:row>
      <xdr:rowOff>0</xdr:rowOff>
    </xdr:from>
    <xdr:to>
      <xdr:col>208</xdr:col>
      <xdr:colOff>0</xdr:colOff>
      <xdr:row>3</xdr:row>
      <xdr:rowOff>3048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432560" y="144780"/>
          <a:ext cx="196550280" cy="292608"/>
        </a:xfrm>
        <a:prstGeom prst="rect">
          <a:avLst/>
        </a:prstGeom>
        <a:solidFill>
          <a:srgbClr val="66B6F6"/>
        </a:solidFill>
        <a:ln w="3175">
          <a:noFill/>
        </a:ln>
        <a:effectLst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rPr>
            <a:t>CashFlow Data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2</xdr:col>
      <xdr:colOff>130394</xdr:colOff>
      <xdr:row>3</xdr:row>
      <xdr:rowOff>3048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160020" y="144780"/>
          <a:ext cx="130394" cy="292608"/>
        </a:xfrm>
        <a:prstGeom prst="rect">
          <a:avLst/>
        </a:prstGeom>
        <a:solidFill>
          <a:srgbClr val="66B6F6"/>
        </a:solidFill>
        <a:ln w="3175">
          <a:noFill/>
        </a:ln>
        <a:effectLst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US" sz="1600" b="1">
            <a:solidFill>
              <a:schemeClr val="bg1">
                <a:lumMod val="95000"/>
              </a:schemeClr>
            </a:solidFill>
            <a:effectLst/>
            <a:latin typeface="+mj-lt"/>
          </a:endParaRPr>
        </a:p>
      </xdr:txBody>
    </xdr:sp>
    <xdr:clientData/>
  </xdr:twoCellAnchor>
  <xdr:twoCellAnchor editAs="oneCell">
    <xdr:from>
      <xdr:col>2</xdr:col>
      <xdr:colOff>190500</xdr:colOff>
      <xdr:row>1</xdr:row>
      <xdr:rowOff>15240</xdr:rowOff>
    </xdr:from>
    <xdr:to>
      <xdr:col>2</xdr:col>
      <xdr:colOff>1198893</xdr:colOff>
      <xdr:row>3</xdr:row>
      <xdr:rowOff>17336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60020"/>
          <a:ext cx="1009345" cy="292608"/>
        </a:xfrm>
        <a:prstGeom prst="rect">
          <a:avLst/>
        </a:prstGeom>
      </xdr:spPr>
    </xdr:pic>
    <xdr:clientData/>
  </xdr:twoCellAnchor>
  <xdr:twoCellAnchor>
    <xdr:from>
      <xdr:col>2</xdr:col>
      <xdr:colOff>1257300</xdr:colOff>
      <xdr:row>1</xdr:row>
      <xdr:rowOff>7620</xdr:rowOff>
    </xdr:from>
    <xdr:to>
      <xdr:col>28</xdr:col>
      <xdr:colOff>0</xdr:colOff>
      <xdr:row>3</xdr:row>
      <xdr:rowOff>10668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1417320" y="152400"/>
          <a:ext cx="14698980" cy="292608"/>
        </a:xfrm>
        <a:prstGeom prst="rect">
          <a:avLst/>
        </a:prstGeom>
        <a:solidFill>
          <a:srgbClr val="66B6F6"/>
        </a:solidFill>
        <a:ln w="3175">
          <a:noFill/>
        </a:ln>
        <a:effectLst>
          <a:softEdge rad="12700"/>
        </a:effectLst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rPr>
            <a:t>CashFlow Summary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4</xdr:row>
          <xdr:rowOff>0</xdr:rowOff>
        </xdr:from>
        <xdr:to>
          <xdr:col>18</xdr:col>
          <xdr:colOff>1247775</xdr:colOff>
          <xdr:row>4</xdr:row>
          <xdr:rowOff>133350</xdr:rowOff>
        </xdr:to>
        <xdr:sp macro="" textlink="">
          <xdr:nvSpPr>
            <xdr:cNvPr id="7169" name="Drop Dow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21</xdr:row>
      <xdr:rowOff>137160</xdr:rowOff>
    </xdr:from>
    <xdr:to>
      <xdr:col>12</xdr:col>
      <xdr:colOff>1</xdr:colOff>
      <xdr:row>42</xdr:row>
      <xdr:rowOff>22860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4" name="Chart 3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401" y="3137535"/>
              <a:ext cx="6496050" cy="2886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GB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</xdr:col>
      <xdr:colOff>9525</xdr:colOff>
      <xdr:row>4</xdr:row>
      <xdr:rowOff>0</xdr:rowOff>
    </xdr:from>
    <xdr:to>
      <xdr:col>12</xdr:col>
      <xdr:colOff>0</xdr:colOff>
      <xdr:row>21</xdr:row>
      <xdr:rowOff>9525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152399</xdr:colOff>
      <xdr:row>1</xdr:row>
      <xdr:rowOff>0</xdr:rowOff>
    </xdr:from>
    <xdr:to>
      <xdr:col>19</xdr:col>
      <xdr:colOff>9524</xdr:colOff>
      <xdr:row>3</xdr:row>
      <xdr:rowOff>3048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pSpPr/>
      </xdr:nvGrpSpPr>
      <xdr:grpSpPr>
        <a:xfrm>
          <a:off x="152399" y="142875"/>
          <a:ext cx="14068425" cy="288798"/>
          <a:chOff x="150698" y="150494"/>
          <a:chExt cx="13498404" cy="289103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>
            <a:off x="1404231" y="150494"/>
            <a:ext cx="12244871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Trailing 12 Analysis</a:t>
            </a:r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>
            <a:off x="15069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1</xdr:row>
      <xdr:rowOff>15240</xdr:rowOff>
    </xdr:from>
    <xdr:to>
      <xdr:col>2</xdr:col>
      <xdr:colOff>590245</xdr:colOff>
      <xdr:row>3</xdr:row>
      <xdr:rowOff>18288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60020"/>
          <a:ext cx="1009345" cy="292608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31</xdr:col>
      <xdr:colOff>2727960</xdr:colOff>
      <xdr:row>3</xdr:row>
      <xdr:rowOff>3048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52400" y="142875"/>
          <a:ext cx="30798135" cy="288798"/>
          <a:chOff x="150698" y="150494"/>
          <a:chExt cx="30696264" cy="289103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/>
        </xdr:nvSpPr>
        <xdr:spPr>
          <a:xfrm>
            <a:off x="1457735" y="150494"/>
            <a:ext cx="29389227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Rent Roll</a:t>
            </a: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SpPr/>
        </xdr:nvSpPr>
        <xdr:spPr>
          <a:xfrm>
            <a:off x="15069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1</xdr:col>
      <xdr:colOff>182880</xdr:colOff>
      <xdr:row>1</xdr:row>
      <xdr:rowOff>15240</xdr:rowOff>
    </xdr:from>
    <xdr:to>
      <xdr:col>3</xdr:col>
      <xdr:colOff>41605</xdr:colOff>
      <xdr:row>3</xdr:row>
      <xdr:rowOff>18288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160020"/>
          <a:ext cx="1009345" cy="292608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716280</xdr:colOff>
      <xdr:row>4</xdr:row>
      <xdr:rowOff>53341</xdr:rowOff>
    </xdr:from>
    <xdr:to>
      <xdr:col>8</xdr:col>
      <xdr:colOff>320040</xdr:colOff>
      <xdr:row>27</xdr:row>
      <xdr:rowOff>114301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906780</xdr:colOff>
      <xdr:row>4</xdr:row>
      <xdr:rowOff>0</xdr:rowOff>
    </xdr:from>
    <xdr:to>
      <xdr:col>15</xdr:col>
      <xdr:colOff>662940</xdr:colOff>
      <xdr:row>16</xdr:row>
      <xdr:rowOff>57322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11</xdr:col>
      <xdr:colOff>247650</xdr:colOff>
      <xdr:row>1</xdr:row>
      <xdr:rowOff>0</xdr:rowOff>
    </xdr:from>
    <xdr:ext cx="207877" cy="217560"/>
    <xdr:sp macro="" textlink="#REF!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8153400" y="133350"/>
          <a:ext cx="207877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B6EBAD80-0485-450D-80DD-9E38C51D938A}" type="TxLink">
            <a:rPr lang="en-US" sz="800" b="0" i="0" u="none" strike="noStrike">
              <a:solidFill>
                <a:srgbClr val="000000"/>
              </a:solidFill>
              <a:latin typeface="Calibri Light"/>
              <a:cs typeface="Calibri Light"/>
            </a:rPr>
            <a:pPr/>
            <a:t> </a:t>
          </a:fld>
          <a:endParaRPr lang="en-US" sz="1100"/>
        </a:p>
      </xdr:txBody>
    </xdr:sp>
    <xdr:clientData/>
  </xdr:oneCellAnchor>
  <xdr:twoCellAnchor>
    <xdr:from>
      <xdr:col>1</xdr:col>
      <xdr:colOff>0</xdr:colOff>
      <xdr:row>1</xdr:row>
      <xdr:rowOff>0</xdr:rowOff>
    </xdr:from>
    <xdr:to>
      <xdr:col>18</xdr:col>
      <xdr:colOff>15240</xdr:colOff>
      <xdr:row>3</xdr:row>
      <xdr:rowOff>3048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GrpSpPr/>
      </xdr:nvGrpSpPr>
      <xdr:grpSpPr>
        <a:xfrm>
          <a:off x="152400" y="142875"/>
          <a:ext cx="13315950" cy="288798"/>
          <a:chOff x="150698" y="150494"/>
          <a:chExt cx="11327655" cy="289103"/>
        </a:xfrm>
      </xdr:grpSpPr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00000000-0008-0000-0900-000011000000}"/>
              </a:ext>
            </a:extLst>
          </xdr:cNvPr>
          <xdr:cNvSpPr/>
        </xdr:nvSpPr>
        <xdr:spPr>
          <a:xfrm>
            <a:off x="1332901" y="150494"/>
            <a:ext cx="10145452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Rent Roll Analysis</a:t>
            </a:r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00000000-0008-0000-0900-000012000000}"/>
              </a:ext>
            </a:extLst>
          </xdr:cNvPr>
          <xdr:cNvSpPr/>
        </xdr:nvSpPr>
        <xdr:spPr>
          <a:xfrm>
            <a:off x="15069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>
    <xdr:from>
      <xdr:col>1</xdr:col>
      <xdr:colOff>7620</xdr:colOff>
      <xdr:row>18</xdr:row>
      <xdr:rowOff>7620</xdr:rowOff>
    </xdr:from>
    <xdr:to>
      <xdr:col>4</xdr:col>
      <xdr:colOff>30480</xdr:colOff>
      <xdr:row>19</xdr:row>
      <xdr:rowOff>64008</xdr:rowOff>
    </xdr:to>
    <xdr:sp macro="" textlink="$B$4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167640" y="2613660"/>
          <a:ext cx="2194560" cy="201168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E944ABC-9424-4897-B374-7E9FEDA40B93}" type="TxLink">
            <a:rPr lang="en-US" sz="1400" b="1" i="0" u="none" strike="noStrike">
              <a:solidFill>
                <a:srgbClr val="006EC5"/>
              </a:solidFill>
              <a:latin typeface="Californian FB" panose="0207040306080B030204" pitchFamily="18" charset="0"/>
              <a:cs typeface="Calibri Light"/>
            </a:rPr>
            <a:pPr algn="ctr"/>
            <a:t>Occupied Units: 0</a:t>
          </a:fld>
          <a:endParaRPr lang="en-US" sz="1400" b="1">
            <a:solidFill>
              <a:srgbClr val="006EC5"/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4</xdr:col>
      <xdr:colOff>68580</xdr:colOff>
      <xdr:row>18</xdr:row>
      <xdr:rowOff>7620</xdr:rowOff>
    </xdr:from>
    <xdr:to>
      <xdr:col>6</xdr:col>
      <xdr:colOff>632460</xdr:colOff>
      <xdr:row>19</xdr:row>
      <xdr:rowOff>64008</xdr:rowOff>
    </xdr:to>
    <xdr:sp macro="" textlink="$B$5">
      <xdr:nvSpPr>
        <xdr:cNvPr id="19" name="TextBox 18">
          <a:extLs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 txBox="1"/>
      </xdr:nvSpPr>
      <xdr:spPr>
        <a:xfrm>
          <a:off x="2400300" y="2613660"/>
          <a:ext cx="2194560" cy="201168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23A014-1EF1-4162-B49A-1601D2BEE7CA}" type="TxLink">
            <a:rPr lang="en-US" sz="1400" b="1" i="0" u="none" strike="noStrike">
              <a:solidFill>
                <a:schemeClr val="accent5">
                  <a:lumMod val="75000"/>
                </a:schemeClr>
              </a:solidFill>
              <a:latin typeface="Californian FB" panose="0207040306080B030204" pitchFamily="18" charset="0"/>
              <a:cs typeface="Calibri Light"/>
            </a:rPr>
            <a:pPr algn="ctr"/>
            <a:t>Vacant Units: 0</a:t>
          </a:fld>
          <a:endParaRPr lang="en-US" sz="1400" b="1">
            <a:solidFill>
              <a:schemeClr val="accent5">
                <a:lumMod val="75000"/>
              </a:schemeClr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670560</xdr:colOff>
      <xdr:row>18</xdr:row>
      <xdr:rowOff>7620</xdr:rowOff>
    </xdr:from>
    <xdr:to>
      <xdr:col>9</xdr:col>
      <xdr:colOff>419100</xdr:colOff>
      <xdr:row>19</xdr:row>
      <xdr:rowOff>60960</xdr:rowOff>
    </xdr:to>
    <xdr:sp macro="" textlink="$B$6">
      <xdr:nvSpPr>
        <xdr:cNvPr id="20" name="TextBox 19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 txBox="1"/>
      </xdr:nvSpPr>
      <xdr:spPr>
        <a:xfrm>
          <a:off x="4632960" y="2613660"/>
          <a:ext cx="2194560" cy="198120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23018E0-4C89-41F1-ADA8-02413D8B230D}" type="TxLink">
            <a:rPr lang="en-US" sz="1400" b="1" i="0" u="none" strike="noStrike">
              <a:solidFill>
                <a:schemeClr val="accent5">
                  <a:lumMod val="75000"/>
                </a:schemeClr>
              </a:solidFill>
              <a:latin typeface="Californian FB" panose="0207040306080B030204" pitchFamily="18" charset="0"/>
              <a:cs typeface="Calibri Light"/>
            </a:rPr>
            <a:pPr algn="ctr"/>
            <a:t>Total Units: 0</a:t>
          </a:fld>
          <a:endParaRPr lang="en-US" sz="3200" b="1">
            <a:solidFill>
              <a:schemeClr val="accent5">
                <a:lumMod val="75000"/>
              </a:schemeClr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457200</xdr:colOff>
      <xdr:row>18</xdr:row>
      <xdr:rowOff>7620</xdr:rowOff>
    </xdr:from>
    <xdr:to>
      <xdr:col>12</xdr:col>
      <xdr:colOff>175260</xdr:colOff>
      <xdr:row>19</xdr:row>
      <xdr:rowOff>64008</xdr:rowOff>
    </xdr:to>
    <xdr:sp macro="" textlink="$B$7">
      <xdr:nvSpPr>
        <xdr:cNvPr id="25" name="TextBox 24">
          <a:extLs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 txBox="1"/>
      </xdr:nvSpPr>
      <xdr:spPr>
        <a:xfrm>
          <a:off x="6865620" y="2613660"/>
          <a:ext cx="2194560" cy="201168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BD5E7F6-4152-420C-9F8A-E6541B98B098}" type="TxLink">
            <a:rPr lang="en-US" sz="1400" b="1" i="0" u="none" strike="noStrike">
              <a:solidFill>
                <a:schemeClr val="accent5">
                  <a:lumMod val="75000"/>
                </a:schemeClr>
              </a:solidFill>
              <a:latin typeface="Californian FB" panose="0207040306080B030204" pitchFamily="18" charset="0"/>
              <a:cs typeface="Calibri Light"/>
            </a:rPr>
            <a:pPr algn="ctr"/>
            <a:t>Rentable Area: 0</a:t>
          </a:fld>
          <a:endParaRPr lang="en-US" sz="1400" b="1">
            <a:solidFill>
              <a:schemeClr val="accent5">
                <a:lumMod val="75000"/>
              </a:schemeClr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12</xdr:col>
      <xdr:colOff>213360</xdr:colOff>
      <xdr:row>18</xdr:row>
      <xdr:rowOff>7620</xdr:rowOff>
    </xdr:from>
    <xdr:to>
      <xdr:col>15</xdr:col>
      <xdr:colOff>693420</xdr:colOff>
      <xdr:row>19</xdr:row>
      <xdr:rowOff>64008</xdr:rowOff>
    </xdr:to>
    <xdr:sp macro="" textlink="$B$8">
      <xdr:nvSpPr>
        <xdr:cNvPr id="26" name="TextBox 25">
          <a:extLs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 txBox="1"/>
      </xdr:nvSpPr>
      <xdr:spPr>
        <a:xfrm>
          <a:off x="9098280" y="2613660"/>
          <a:ext cx="2194560" cy="201168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C0BE18-1082-4F87-8274-170560FAE96F}" type="TxLink">
            <a:rPr lang="en-US" sz="1400" b="1" i="0" u="none" strike="noStrike">
              <a:solidFill>
                <a:schemeClr val="accent5">
                  <a:lumMod val="75000"/>
                </a:schemeClr>
              </a:solidFill>
              <a:latin typeface="Californian FB" panose="0207040306080B030204" pitchFamily="18" charset="0"/>
              <a:cs typeface="Calibri Light"/>
            </a:rPr>
            <a:pPr algn="ctr"/>
            <a:t>AVG Unit Size: 0</a:t>
          </a:fld>
          <a:endParaRPr lang="en-US" sz="1400" b="1">
            <a:solidFill>
              <a:schemeClr val="accent5">
                <a:lumMod val="75000"/>
              </a:schemeClr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15</xdr:col>
      <xdr:colOff>723900</xdr:colOff>
      <xdr:row>18</xdr:row>
      <xdr:rowOff>7620</xdr:rowOff>
    </xdr:from>
    <xdr:to>
      <xdr:col>18</xdr:col>
      <xdr:colOff>0</xdr:colOff>
      <xdr:row>19</xdr:row>
      <xdr:rowOff>60960</xdr:rowOff>
    </xdr:to>
    <xdr:sp macro="" textlink="$B$9">
      <xdr:nvSpPr>
        <xdr:cNvPr id="27" name="TextBox 26">
          <a:extLs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 txBox="1"/>
      </xdr:nvSpPr>
      <xdr:spPr>
        <a:xfrm>
          <a:off x="10683240" y="2613660"/>
          <a:ext cx="2103120" cy="198120"/>
        </a:xfrm>
        <a:prstGeom prst="rect">
          <a:avLst/>
        </a:prstGeom>
        <a:gradFill flip="none" rotWithShape="1">
          <a:gsLst>
            <a:gs pos="0">
              <a:schemeClr val="accent5">
                <a:lumMod val="5000"/>
                <a:lumOff val="95000"/>
              </a:schemeClr>
            </a:gs>
            <a:gs pos="74000">
              <a:schemeClr val="accent5">
                <a:lumMod val="45000"/>
                <a:lumOff val="55000"/>
              </a:schemeClr>
            </a:gs>
            <a:gs pos="83000">
              <a:schemeClr val="accent5">
                <a:lumMod val="45000"/>
                <a:lumOff val="55000"/>
              </a:schemeClr>
            </a:gs>
            <a:gs pos="100000">
              <a:schemeClr val="accent5">
                <a:lumMod val="30000"/>
                <a:lumOff val="70000"/>
              </a:schemeClr>
            </a:gs>
          </a:gsLst>
          <a:lin ang="5400000" scaled="1"/>
          <a:tileRect/>
        </a:gradFill>
        <a:ln w="9525" cmpd="sng">
          <a:solidFill>
            <a:schemeClr val="lt1">
              <a:shade val="50000"/>
            </a:schemeClr>
          </a:solidFill>
          <a:prstDash val="sysDot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69604F-8BE8-44DE-B71E-37FCBB94A993}" type="TxLink">
            <a:rPr lang="en-US" sz="1400" b="1" i="0" u="none" strike="noStrike">
              <a:solidFill>
                <a:schemeClr val="accent5">
                  <a:lumMod val="75000"/>
                </a:schemeClr>
              </a:solidFill>
              <a:latin typeface="Californian FB" panose="0207040306080B030204" pitchFamily="18" charset="0"/>
              <a:cs typeface="Calibri Light"/>
            </a:rPr>
            <a:pPr algn="ctr"/>
            <a:t>Rental Loss: 0</a:t>
          </a:fld>
          <a:endParaRPr lang="en-US" sz="1400" b="1">
            <a:solidFill>
              <a:schemeClr val="accent5">
                <a:lumMod val="75000"/>
              </a:schemeClr>
            </a:solidFill>
            <a:latin typeface="Californian FB" panose="0207040306080B030204" pitchFamily="18" charset="0"/>
            <a:cs typeface="Calibri" panose="020F0502020204030204" pitchFamily="34" charset="0"/>
          </a:endParaRPr>
        </a:p>
      </xdr:txBody>
    </xdr:sp>
    <xdr:clientData/>
  </xdr:twoCellAnchor>
  <xdr:twoCellAnchor editAs="oneCell">
    <xdr:from>
      <xdr:col>1</xdr:col>
      <xdr:colOff>190500</xdr:colOff>
      <xdr:row>1</xdr:row>
      <xdr:rowOff>15240</xdr:rowOff>
    </xdr:from>
    <xdr:to>
      <xdr:col>2</xdr:col>
      <xdr:colOff>475945</xdr:colOff>
      <xdr:row>3</xdr:row>
      <xdr:rowOff>18288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60020"/>
          <a:ext cx="1009345" cy="292608"/>
        </a:xfrm>
        <a:prstGeom prst="rect">
          <a:avLst/>
        </a:prstGeom>
      </xdr:spPr>
    </xdr:pic>
    <xdr:clientData/>
  </xdr:twoCell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0.81726</cdr:x>
      <cdr:y>0.0655</cdr:y>
    </cdr:from>
    <cdr:to>
      <cdr:x>1</cdr:x>
      <cdr:y>0.12398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F55A76E6-10D7-4566-8DDD-FFBBE1464C4F}"/>
            </a:ext>
          </a:extLst>
        </cdr:cNvPr>
        <cdr:cNvSpPr txBox="1"/>
      </cdr:nvSpPr>
      <cdr:spPr>
        <a:xfrm xmlns:a="http://schemas.openxmlformats.org/drawingml/2006/main">
          <a:off x="4014675" y="181884"/>
          <a:ext cx="897685" cy="1623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0.81726</cdr:x>
      <cdr:y>0.10058</cdr:y>
    </cdr:from>
    <cdr:to>
      <cdr:x>1</cdr:x>
      <cdr:y>0.43743</cdr:y>
    </cdr:to>
    <cdr:sp macro="" textlink="">
      <cdr:nvSpPr>
        <cdr:cNvPr id="8" name="TextBox 7">
          <a:extLst xmlns:a="http://schemas.openxmlformats.org/drawingml/2006/main">
            <a:ext uri="{FF2B5EF4-FFF2-40B4-BE49-F238E27FC236}">
              <a16:creationId xmlns:a16="http://schemas.microsoft.com/office/drawing/2014/main" id="{4BE3C353-078F-4979-8540-06B9B5FAE7E6}"/>
            </a:ext>
          </a:extLst>
        </cdr:cNvPr>
        <cdr:cNvSpPr txBox="1"/>
      </cdr:nvSpPr>
      <cdr:spPr>
        <a:xfrm xmlns:a="http://schemas.openxmlformats.org/drawingml/2006/main">
          <a:off x="4286250" y="2730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0.70431</cdr:x>
      <cdr:y>0.38596</cdr:y>
    </cdr:from>
    <cdr:to>
      <cdr:x>0.88706</cdr:x>
      <cdr:y>0.45614</cdr:y>
    </cdr:to>
    <cdr:sp macro="" textlink="">
      <cdr:nvSpPr>
        <cdr:cNvPr id="11" name="TextBox 10">
          <a:extLst xmlns:a="http://schemas.openxmlformats.org/drawingml/2006/main">
            <a:ext uri="{FF2B5EF4-FFF2-40B4-BE49-F238E27FC236}">
              <a16:creationId xmlns:a16="http://schemas.microsoft.com/office/drawing/2014/main" id="{ABB344CB-3962-4CD4-BBB8-2742AB8E6F6F}"/>
            </a:ext>
          </a:extLst>
        </cdr:cNvPr>
        <cdr:cNvSpPr txBox="1"/>
      </cdr:nvSpPr>
      <cdr:spPr>
        <a:xfrm xmlns:a="http://schemas.openxmlformats.org/drawingml/2006/main">
          <a:off x="3524250" y="1047750"/>
          <a:ext cx="9144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0.7335</cdr:x>
      <cdr:y>0.36959</cdr:y>
    </cdr:from>
    <cdr:to>
      <cdr:x>0.83122</cdr:x>
      <cdr:y>0.47485</cdr:y>
    </cdr:to>
    <cdr:sp macro="" textlink="">
      <cdr:nvSpPr>
        <cdr:cNvPr id="13" name="TextBox 1">
          <a:extLst xmlns:a="http://schemas.openxmlformats.org/drawingml/2006/main">
            <a:ext uri="{FF2B5EF4-FFF2-40B4-BE49-F238E27FC236}">
              <a16:creationId xmlns:a16="http://schemas.microsoft.com/office/drawing/2014/main" id="{8B61CFBB-2952-4445-A72E-66266ED1C779}"/>
            </a:ext>
          </a:extLst>
        </cdr:cNvPr>
        <cdr:cNvSpPr txBox="1"/>
      </cdr:nvSpPr>
      <cdr:spPr>
        <a:xfrm xmlns:a="http://schemas.openxmlformats.org/drawingml/2006/main">
          <a:off x="3670300" y="1003300"/>
          <a:ext cx="488950" cy="2857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endParaRPr lang="en-US" sz="1600" b="1">
            <a:solidFill>
              <a:schemeClr val="bg2">
                <a:lumMod val="50000"/>
              </a:schemeClr>
            </a:solidFill>
            <a:latin typeface="Berlin Sans FB Demi" panose="020E0802020502020306" pitchFamily="34" charset="0"/>
          </a:endParaRPr>
        </a:p>
      </cdr:txBody>
    </cdr:sp>
  </cdr:relSizeAnchor>
  <cdr:relSizeAnchor xmlns:cdr="http://schemas.openxmlformats.org/drawingml/2006/chartDrawing">
    <cdr:from>
      <cdr:x>0.81726</cdr:x>
      <cdr:y>0.41585</cdr:y>
    </cdr:from>
    <cdr:to>
      <cdr:x>0.95939</cdr:x>
      <cdr:y>0.52111</cdr:y>
    </cdr:to>
    <cdr:sp macro="" textlink="#REF!">
      <cdr:nvSpPr>
        <cdr:cNvPr id="15" name="TextBox 14">
          <a:extLst xmlns:a="http://schemas.openxmlformats.org/drawingml/2006/main">
            <a:ext uri="{FF2B5EF4-FFF2-40B4-BE49-F238E27FC236}">
              <a16:creationId xmlns:a16="http://schemas.microsoft.com/office/drawing/2014/main" id="{BF2B6337-7E44-4F3D-81E5-4E631241C774}"/>
            </a:ext>
          </a:extLst>
        </cdr:cNvPr>
        <cdr:cNvSpPr txBox="1"/>
      </cdr:nvSpPr>
      <cdr:spPr>
        <a:xfrm xmlns:a="http://schemas.openxmlformats.org/drawingml/2006/main">
          <a:off x="4089400" y="1234499"/>
          <a:ext cx="711200" cy="31248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0FE6868C-2347-4386-B893-3B7D765B0812}" type="TxLink">
            <a:rPr lang="en-US" sz="1600" b="1" i="0" u="none" strike="noStrike">
              <a:solidFill>
                <a:schemeClr val="bg2">
                  <a:lumMod val="50000"/>
                </a:schemeClr>
              </a:solidFill>
              <a:latin typeface="Berlin Sans FB Demi" panose="020E0802020502020306" pitchFamily="34" charset="0"/>
              <a:cs typeface="Calibri Light"/>
            </a:rPr>
            <a:pPr/>
            <a:t> </a:t>
          </a:fld>
          <a:endParaRPr lang="en-US" sz="1600">
            <a:solidFill>
              <a:schemeClr val="bg2">
                <a:lumMod val="50000"/>
              </a:schemeClr>
            </a:solidFill>
            <a:latin typeface="Berlin Sans FB Demi" panose="020E0802020502020306" pitchFamily="34" charset="0"/>
          </a:endParaRP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0.32492</cdr:x>
      <cdr:y>0.7307</cdr:y>
    </cdr:from>
    <cdr:to>
      <cdr:x>0.47546</cdr:x>
      <cdr:y>0.90902</cdr:y>
    </cdr:to>
    <cdr:sp macro="" textlink="#REF!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CBD7DF93-AE0E-4B17-90D5-9F05D06E7D36}"/>
            </a:ext>
          </a:extLst>
        </cdr:cNvPr>
        <cdr:cNvSpPr txBox="1"/>
      </cdr:nvSpPr>
      <cdr:spPr>
        <a:xfrm xmlns:a="http://schemas.openxmlformats.org/drawingml/2006/main">
          <a:off x="1743450" y="1299182"/>
          <a:ext cx="807760" cy="31705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97A600A1-1EF6-4FD9-9CD2-31FD211478F5}" type="TxLink">
            <a:rPr lang="en-US" sz="1800" b="0" i="0" u="none" strike="noStrike">
              <a:solidFill>
                <a:srgbClr val="66B6F6"/>
              </a:solidFill>
              <a:latin typeface="Berlin Sans FB Demi" panose="020E0802020502020306" pitchFamily="34" charset="0"/>
              <a:cs typeface="Calibri Light"/>
            </a:rPr>
            <a:pPr/>
            <a:t> </a:t>
          </a:fld>
          <a:endParaRPr lang="en-US" sz="1800" b="0">
            <a:solidFill>
              <a:srgbClr val="66B6F6"/>
            </a:solidFill>
            <a:latin typeface="Berlin Sans FB Demi" panose="020E0802020502020306" pitchFamily="34" charset="0"/>
          </a:endParaRPr>
        </a:p>
      </cdr:txBody>
    </cdr:sp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</xdr:colOff>
      <xdr:row>4</xdr:row>
      <xdr:rowOff>1905</xdr:rowOff>
    </xdr:from>
    <xdr:to>
      <xdr:col>16</xdr:col>
      <xdr:colOff>7621</xdr:colOff>
      <xdr:row>18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140970</xdr:colOff>
      <xdr:row>18</xdr:row>
      <xdr:rowOff>142874</xdr:rowOff>
    </xdr:from>
    <xdr:to>
      <xdr:col>15</xdr:col>
      <xdr:colOff>723900</xdr:colOff>
      <xdr:row>33</xdr:row>
      <xdr:rowOff>7619</xdr:rowOff>
    </xdr:to>
    <xdr:graphicFrame macro="">
      <xdr:nvGraphicFramePr>
        <xdr:cNvPr id="6" name="ActualVSMarketrentChart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</xdr:colOff>
      <xdr:row>1</xdr:row>
      <xdr:rowOff>7620</xdr:rowOff>
    </xdr:from>
    <xdr:to>
      <xdr:col>16</xdr:col>
      <xdr:colOff>7620</xdr:colOff>
      <xdr:row>3</xdr:row>
      <xdr:rowOff>10668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GrpSpPr/>
      </xdr:nvGrpSpPr>
      <xdr:grpSpPr>
        <a:xfrm>
          <a:off x="150495" y="198120"/>
          <a:ext cx="10153650" cy="384048"/>
          <a:chOff x="189478" y="150494"/>
          <a:chExt cx="10587447" cy="289103"/>
        </a:xfrm>
      </xdr:grpSpPr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SpPr/>
        </xdr:nvSpPr>
        <xdr:spPr>
          <a:xfrm>
            <a:off x="1469279" y="150494"/>
            <a:ext cx="9307646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en-US" sz="1600" b="1">
                <a:solidFill>
                  <a:schemeClr val="bg1">
                    <a:lumMod val="95000"/>
                  </a:schemeClr>
                </a:solidFill>
                <a:effectLst/>
                <a:latin typeface="Californian FB" panose="0207040306080B030204" pitchFamily="18" charset="0"/>
              </a:rPr>
              <a:t>Lease Analysis</a:t>
            </a:r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89478" y="150494"/>
            <a:ext cx="132728" cy="289103"/>
          </a:xfrm>
          <a:prstGeom prst="rect">
            <a:avLst/>
          </a:prstGeom>
          <a:solidFill>
            <a:srgbClr val="66B6F6"/>
          </a:solidFill>
          <a:ln w="3175">
            <a:noFill/>
          </a:ln>
          <a:effectLst>
            <a:softEdge rad="12700"/>
          </a:effectLst>
          <a:scene3d>
            <a:camera prst="orthographicFront">
              <a:rot lat="0" lon="0" rev="0"/>
            </a:camera>
            <a:lightRig rig="contrasting" dir="t">
              <a:rot lat="0" lon="0" rev="7800000"/>
            </a:lightRig>
          </a:scene3d>
          <a:sp3d>
            <a:bevelT w="139700" h="1397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US" sz="1600" b="1">
              <a:solidFill>
                <a:schemeClr val="bg1">
                  <a:lumMod val="95000"/>
                </a:schemeClr>
              </a:solidFill>
              <a:effectLst/>
              <a:latin typeface="+mj-lt"/>
            </a:endParaRPr>
          </a:p>
        </xdr:txBody>
      </xdr:sp>
    </xdr:grpSp>
    <xdr:clientData/>
  </xdr:twoCellAnchor>
  <xdr:twoCellAnchor editAs="oneCell">
    <xdr:from>
      <xdr:col>1</xdr:col>
      <xdr:colOff>205740</xdr:colOff>
      <xdr:row>1</xdr:row>
      <xdr:rowOff>15240</xdr:rowOff>
    </xdr:from>
    <xdr:to>
      <xdr:col>2</xdr:col>
      <xdr:colOff>483565</xdr:colOff>
      <xdr:row>2</xdr:row>
      <xdr:rowOff>124968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0520" y="160020"/>
          <a:ext cx="1009345" cy="292608"/>
        </a:xfrm>
        <a:prstGeom prst="rect">
          <a:avLst/>
        </a:prstGeom>
      </xdr:spPr>
    </xdr:pic>
    <xdr:clientData/>
  </xdr:twoCellAnchor>
  <xdr:twoCellAnchor>
    <xdr:from>
      <xdr:col>1</xdr:col>
      <xdr:colOff>30480</xdr:colOff>
      <xdr:row>4</xdr:row>
      <xdr:rowOff>0</xdr:rowOff>
    </xdr:from>
    <xdr:to>
      <xdr:col>8</xdr:col>
      <xdr:colOff>38100</xdr:colOff>
      <xdr:row>17</xdr:row>
      <xdr:rowOff>180975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A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2" tint="-0.499984740745262"/>
    <pageSetUpPr fitToPage="1"/>
  </sheetPr>
  <dimension ref="A1:T102"/>
  <sheetViews>
    <sheetView showGridLines="0" tabSelected="1" zoomScaleNormal="190" workbookViewId="0"/>
  </sheetViews>
  <sheetFormatPr defaultColWidth="0" defaultRowHeight="11.45" customHeight="1" zeroHeight="1" x14ac:dyDescent="0.25"/>
  <cols>
    <col min="1" max="1" width="2.28515625" style="2" customWidth="1"/>
    <col min="2" max="2" width="2" style="2" customWidth="1"/>
    <col min="3" max="3" width="12" style="2" bestFit="1" customWidth="1"/>
    <col min="4" max="4" width="8.7109375" style="2" customWidth="1"/>
    <col min="5" max="5" width="14.5703125" style="2" bestFit="1" customWidth="1"/>
    <col min="6" max="18" width="8.7109375" style="2" customWidth="1"/>
    <col min="19" max="19" width="2" style="2" customWidth="1"/>
    <col min="20" max="20" width="2.28515625" style="2" customWidth="1"/>
    <col min="21" max="16384" width="8.7109375" style="2" hidden="1"/>
  </cols>
  <sheetData>
    <row r="1" spans="2:19" ht="11.45" customHeight="1" x14ac:dyDescent="0.25"/>
    <row r="2" spans="2:19" ht="11.45" customHeight="1" x14ac:dyDescent="0.25"/>
    <row r="3" spans="2:19" ht="11.45" customHeight="1" x14ac:dyDescent="0.25"/>
    <row r="4" spans="2:19" ht="11.45" customHeight="1" thickBot="1" x14ac:dyDescent="0.3"/>
    <row r="5" spans="2:19" ht="11.45" customHeight="1" x14ac:dyDescent="0.25">
      <c r="B5" s="143"/>
      <c r="C5" s="144"/>
      <c r="D5" s="144"/>
      <c r="E5" s="144"/>
      <c r="F5" s="144"/>
      <c r="G5" s="144"/>
      <c r="H5" s="144"/>
      <c r="I5" s="144"/>
      <c r="J5" s="144"/>
      <c r="K5" s="144"/>
      <c r="L5" s="144"/>
      <c r="M5" s="144"/>
      <c r="N5" s="144"/>
      <c r="O5" s="144"/>
      <c r="P5" s="144"/>
      <c r="Q5" s="144"/>
      <c r="R5" s="144"/>
      <c r="S5" s="145"/>
    </row>
    <row r="6" spans="2:19" ht="11.45" customHeight="1" x14ac:dyDescent="0.25">
      <c r="B6" s="146"/>
      <c r="C6" s="140" t="s">
        <v>0</v>
      </c>
      <c r="D6" s="141"/>
      <c r="E6" s="141"/>
      <c r="F6" s="141"/>
      <c r="G6" s="141"/>
      <c r="H6" s="141"/>
      <c r="I6" s="141"/>
      <c r="J6" s="141"/>
      <c r="K6" s="141"/>
      <c r="L6" s="141"/>
      <c r="M6" s="141"/>
      <c r="N6" s="141"/>
      <c r="O6" s="141"/>
      <c r="P6" s="141"/>
      <c r="Q6" s="141"/>
      <c r="R6" s="141"/>
      <c r="S6" s="147"/>
    </row>
    <row r="7" spans="2:19" ht="11.45" customHeight="1" x14ac:dyDescent="0.25">
      <c r="B7" s="146"/>
      <c r="C7" s="46" t="s">
        <v>1</v>
      </c>
      <c r="D7" s="141"/>
      <c r="E7" s="141"/>
      <c r="F7" s="141"/>
      <c r="G7" s="141"/>
      <c r="H7" s="141"/>
      <c r="I7" s="141"/>
      <c r="J7" s="141"/>
      <c r="K7" s="141"/>
      <c r="L7" s="141"/>
      <c r="M7" s="141"/>
      <c r="N7" s="141"/>
      <c r="O7" s="141"/>
      <c r="P7" s="141"/>
      <c r="Q7" s="141"/>
      <c r="R7" s="141"/>
      <c r="S7" s="147"/>
    </row>
    <row r="8" spans="2:19" ht="11.45" customHeight="1" x14ac:dyDescent="0.25">
      <c r="B8" s="146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7"/>
    </row>
    <row r="9" spans="2:19" ht="11.45" customHeight="1" x14ac:dyDescent="0.25">
      <c r="B9" s="146"/>
      <c r="C9" s="140" t="s">
        <v>2</v>
      </c>
      <c r="D9" s="141"/>
      <c r="E9" s="141"/>
      <c r="F9" s="141"/>
      <c r="G9" s="141"/>
      <c r="H9" s="141"/>
      <c r="I9" s="141"/>
      <c r="J9" s="141"/>
      <c r="K9" s="141"/>
      <c r="L9" s="141"/>
      <c r="M9" s="141"/>
      <c r="N9" s="141"/>
      <c r="O9" s="141"/>
      <c r="P9" s="141"/>
      <c r="Q9" s="141"/>
      <c r="R9" s="141"/>
      <c r="S9" s="147"/>
    </row>
    <row r="10" spans="2:19" ht="11.45" customHeight="1" x14ac:dyDescent="0.25">
      <c r="B10" s="146"/>
      <c r="C10" s="142">
        <v>1</v>
      </c>
      <c r="D10" s="46" t="s">
        <v>3</v>
      </c>
      <c r="E10" s="141"/>
      <c r="F10" s="141"/>
      <c r="G10" s="141"/>
      <c r="H10" s="141"/>
      <c r="I10" s="141"/>
      <c r="J10" s="141"/>
      <c r="K10" s="141"/>
      <c r="L10" s="141"/>
      <c r="M10" s="141"/>
      <c r="N10" s="141"/>
      <c r="O10" s="141"/>
      <c r="P10" s="141"/>
      <c r="Q10" s="141"/>
      <c r="R10" s="141"/>
      <c r="S10" s="147"/>
    </row>
    <row r="11" spans="2:19" ht="11.45" customHeight="1" x14ac:dyDescent="0.25">
      <c r="B11" s="146"/>
      <c r="C11" s="142">
        <v>2</v>
      </c>
      <c r="D11" s="46" t="s">
        <v>4</v>
      </c>
      <c r="E11" s="141"/>
      <c r="F11" s="141"/>
      <c r="G11" s="141"/>
      <c r="H11" s="141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7"/>
    </row>
    <row r="12" spans="2:19" ht="11.45" customHeight="1" x14ac:dyDescent="0.25">
      <c r="B12" s="146"/>
      <c r="C12" s="142">
        <v>3</v>
      </c>
      <c r="D12" s="46" t="s">
        <v>5</v>
      </c>
      <c r="E12" s="141"/>
      <c r="F12" s="141"/>
      <c r="G12" s="141"/>
      <c r="H12" s="141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7"/>
    </row>
    <row r="13" spans="2:19" ht="11.45" customHeight="1" x14ac:dyDescent="0.25">
      <c r="B13" s="146"/>
      <c r="C13" s="142">
        <v>4</v>
      </c>
      <c r="D13" s="46" t="s">
        <v>6</v>
      </c>
      <c r="E13" s="141"/>
      <c r="F13" s="141"/>
      <c r="G13" s="141"/>
      <c r="H13" s="141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7"/>
    </row>
    <row r="14" spans="2:19" ht="11.45" customHeight="1" x14ac:dyDescent="0.25">
      <c r="B14" s="146"/>
      <c r="C14" s="142">
        <v>5</v>
      </c>
      <c r="D14" s="46" t="s">
        <v>7</v>
      </c>
      <c r="E14" s="141"/>
      <c r="F14" s="141"/>
      <c r="G14" s="141"/>
      <c r="H14" s="141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7"/>
    </row>
    <row r="15" spans="2:19" ht="11.45" customHeight="1" x14ac:dyDescent="0.25">
      <c r="B15" s="146"/>
      <c r="C15" s="46"/>
      <c r="D15" s="46" t="s">
        <v>295</v>
      </c>
      <c r="E15" s="141"/>
      <c r="F15" s="141"/>
      <c r="G15" s="141"/>
      <c r="H15" s="141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7"/>
    </row>
    <row r="16" spans="2:19" ht="11.45" customHeight="1" x14ac:dyDescent="0.25">
      <c r="B16" s="146"/>
      <c r="C16" s="46"/>
      <c r="D16" s="46" t="s">
        <v>296</v>
      </c>
      <c r="E16" s="141"/>
      <c r="F16" s="141"/>
      <c r="G16" s="141"/>
      <c r="H16" s="141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7"/>
    </row>
    <row r="17" spans="2:19" ht="11.45" customHeight="1" x14ac:dyDescent="0.25">
      <c r="B17" s="146"/>
      <c r="C17" s="46"/>
      <c r="D17" s="46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7"/>
    </row>
    <row r="18" spans="2:19" ht="11.45" customHeight="1" x14ac:dyDescent="0.25">
      <c r="B18" s="146"/>
      <c r="C18" s="140" t="s">
        <v>8</v>
      </c>
      <c r="D18" s="141"/>
      <c r="E18" s="141"/>
      <c r="F18" s="141"/>
      <c r="G18" s="141"/>
      <c r="H18" s="141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7"/>
    </row>
    <row r="19" spans="2:19" ht="11.45" customHeight="1" x14ac:dyDescent="0.25">
      <c r="B19" s="146"/>
      <c r="C19" s="279">
        <v>1</v>
      </c>
      <c r="D19" s="280" t="s">
        <v>395</v>
      </c>
      <c r="S19" s="147"/>
    </row>
    <row r="20" spans="2:19" ht="3" customHeight="1" x14ac:dyDescent="0.25">
      <c r="B20" s="146"/>
      <c r="C20" s="281"/>
      <c r="D20" s="42"/>
      <c r="S20" s="147"/>
    </row>
    <row r="21" spans="2:19" ht="11.45" customHeight="1" x14ac:dyDescent="0.25">
      <c r="B21" s="146"/>
      <c r="C21" s="281"/>
      <c r="D21" s="282" t="s">
        <v>396</v>
      </c>
      <c r="E21" s="283" t="s">
        <v>397</v>
      </c>
      <c r="S21" s="147"/>
    </row>
    <row r="22" spans="2:19" ht="11.45" customHeight="1" x14ac:dyDescent="0.25">
      <c r="B22" s="146"/>
      <c r="C22" s="281"/>
      <c r="D22" s="284" t="s">
        <v>398</v>
      </c>
      <c r="E22" s="285" t="s">
        <v>399</v>
      </c>
      <c r="S22" s="147"/>
    </row>
    <row r="23" spans="2:19" ht="11.45" customHeight="1" x14ac:dyDescent="0.25">
      <c r="B23" s="146"/>
      <c r="C23" s="281"/>
      <c r="D23" s="284" t="s">
        <v>400</v>
      </c>
      <c r="E23" s="285" t="s">
        <v>401</v>
      </c>
      <c r="S23" s="147"/>
    </row>
    <row r="24" spans="2:19" ht="11.45" customHeight="1" x14ac:dyDescent="0.25">
      <c r="B24" s="146"/>
      <c r="C24" s="281"/>
      <c r="D24" s="284" t="s">
        <v>402</v>
      </c>
      <c r="E24" s="285" t="s">
        <v>403</v>
      </c>
      <c r="S24" s="147"/>
    </row>
    <row r="25" spans="2:19" ht="11.45" customHeight="1" x14ac:dyDescent="0.25">
      <c r="B25" s="146"/>
      <c r="C25" s="281"/>
      <c r="D25" s="284" t="s">
        <v>404</v>
      </c>
      <c r="E25" s="285" t="s">
        <v>405</v>
      </c>
      <c r="S25" s="147"/>
    </row>
    <row r="26" spans="2:19" ht="11.45" customHeight="1" x14ac:dyDescent="0.25">
      <c r="B26" s="146"/>
      <c r="C26" s="281"/>
      <c r="D26" s="284" t="s">
        <v>406</v>
      </c>
      <c r="E26" s="285" t="s">
        <v>407</v>
      </c>
      <c r="S26" s="147"/>
    </row>
    <row r="27" spans="2:19" ht="11.45" customHeight="1" x14ac:dyDescent="0.25">
      <c r="B27" s="146"/>
      <c r="C27" s="281"/>
      <c r="D27" s="284" t="s">
        <v>408</v>
      </c>
      <c r="E27" s="285" t="s">
        <v>409</v>
      </c>
      <c r="S27" s="147"/>
    </row>
    <row r="28" spans="2:19" ht="11.45" customHeight="1" x14ac:dyDescent="0.25">
      <c r="B28" s="146"/>
      <c r="C28" s="281"/>
      <c r="D28" s="284" t="s">
        <v>410</v>
      </c>
      <c r="E28" s="285" t="s">
        <v>411</v>
      </c>
      <c r="S28" s="147"/>
    </row>
    <row r="29" spans="2:19" ht="11.45" customHeight="1" x14ac:dyDescent="0.25">
      <c r="B29" s="146"/>
      <c r="C29" s="281"/>
      <c r="D29" s="286" t="s">
        <v>412</v>
      </c>
      <c r="E29" s="287" t="s">
        <v>413</v>
      </c>
      <c r="S29" s="147"/>
    </row>
    <row r="30" spans="2:19" ht="3" customHeight="1" x14ac:dyDescent="0.25">
      <c r="B30" s="146"/>
      <c r="C30" s="281"/>
      <c r="D30" s="42"/>
      <c r="S30" s="147"/>
    </row>
    <row r="31" spans="2:19" ht="11.45" customHeight="1" x14ac:dyDescent="0.25">
      <c r="B31" s="146"/>
      <c r="C31" s="279">
        <v>2</v>
      </c>
      <c r="D31" s="280" t="s">
        <v>414</v>
      </c>
      <c r="S31" s="147"/>
    </row>
    <row r="32" spans="2:19" ht="11.45" customHeight="1" x14ac:dyDescent="0.25">
      <c r="B32" s="146"/>
      <c r="C32" s="279">
        <v>3</v>
      </c>
      <c r="D32" s="280" t="s">
        <v>333</v>
      </c>
      <c r="S32" s="147"/>
    </row>
    <row r="33" spans="2:19" ht="11.45" customHeight="1" x14ac:dyDescent="0.25">
      <c r="B33" s="146"/>
      <c r="C33" s="288">
        <v>4</v>
      </c>
      <c r="D33" s="280" t="s">
        <v>334</v>
      </c>
      <c r="S33" s="147"/>
    </row>
    <row r="34" spans="2:19" ht="11.45" customHeight="1" x14ac:dyDescent="0.25">
      <c r="B34" s="146"/>
      <c r="C34" s="279">
        <v>5</v>
      </c>
      <c r="D34" s="280" t="s">
        <v>9</v>
      </c>
      <c r="S34" s="147"/>
    </row>
    <row r="35" spans="2:19" ht="11.45" customHeight="1" x14ac:dyDescent="0.25">
      <c r="B35" s="146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  <c r="R35" s="141"/>
      <c r="S35" s="147"/>
    </row>
    <row r="36" spans="2:19" ht="11.45" customHeight="1" x14ac:dyDescent="0.25">
      <c r="B36" s="146"/>
      <c r="C36" s="140" t="s">
        <v>10</v>
      </c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  <c r="R36" s="141"/>
      <c r="S36" s="147"/>
    </row>
    <row r="37" spans="2:19" ht="11.45" customHeight="1" x14ac:dyDescent="0.25">
      <c r="B37" s="146"/>
      <c r="C37" s="299"/>
      <c r="D37" s="300"/>
      <c r="E37" s="300"/>
      <c r="F37" s="300"/>
      <c r="G37" s="300"/>
      <c r="H37" s="300"/>
      <c r="I37" s="300"/>
      <c r="J37" s="300"/>
      <c r="K37" s="300"/>
      <c r="L37" s="300"/>
      <c r="M37" s="300"/>
      <c r="N37" s="300"/>
      <c r="O37" s="300"/>
      <c r="P37" s="300"/>
      <c r="Q37" s="300"/>
      <c r="R37" s="301"/>
      <c r="S37" s="147"/>
    </row>
    <row r="38" spans="2:19" ht="11.45" customHeight="1" x14ac:dyDescent="0.25">
      <c r="B38" s="146"/>
      <c r="C38" s="302"/>
      <c r="D38" s="303"/>
      <c r="E38" s="303"/>
      <c r="F38" s="303"/>
      <c r="G38" s="303"/>
      <c r="H38" s="303"/>
      <c r="I38" s="303"/>
      <c r="J38" s="303"/>
      <c r="K38" s="303"/>
      <c r="L38" s="303"/>
      <c r="M38" s="303"/>
      <c r="N38" s="303"/>
      <c r="O38" s="303"/>
      <c r="P38" s="303"/>
      <c r="Q38" s="303"/>
      <c r="R38" s="304"/>
      <c r="S38" s="147"/>
    </row>
    <row r="39" spans="2:19" ht="11.45" customHeight="1" x14ac:dyDescent="0.25">
      <c r="B39" s="146"/>
      <c r="C39" s="302"/>
      <c r="D39" s="303"/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4"/>
      <c r="S39" s="147"/>
    </row>
    <row r="40" spans="2:19" ht="11.45" customHeight="1" x14ac:dyDescent="0.25">
      <c r="B40" s="146"/>
      <c r="C40" s="302"/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3"/>
      <c r="O40" s="303"/>
      <c r="P40" s="303"/>
      <c r="Q40" s="303"/>
      <c r="R40" s="304"/>
      <c r="S40" s="147"/>
    </row>
    <row r="41" spans="2:19" ht="11.45" customHeight="1" x14ac:dyDescent="0.25">
      <c r="B41" s="146"/>
      <c r="C41" s="302"/>
      <c r="D41" s="303"/>
      <c r="E41" s="303"/>
      <c r="F41" s="303"/>
      <c r="G41" s="303"/>
      <c r="H41" s="303"/>
      <c r="I41" s="303"/>
      <c r="J41" s="303"/>
      <c r="K41" s="303"/>
      <c r="L41" s="303"/>
      <c r="M41" s="303"/>
      <c r="N41" s="303"/>
      <c r="O41" s="303"/>
      <c r="P41" s="303"/>
      <c r="Q41" s="303"/>
      <c r="R41" s="304"/>
      <c r="S41" s="147"/>
    </row>
    <row r="42" spans="2:19" ht="11.45" customHeight="1" x14ac:dyDescent="0.25">
      <c r="B42" s="146"/>
      <c r="C42" s="302"/>
      <c r="D42" s="303"/>
      <c r="E42" s="303"/>
      <c r="F42" s="303"/>
      <c r="G42" s="303"/>
      <c r="H42" s="303"/>
      <c r="I42" s="303"/>
      <c r="J42" s="303"/>
      <c r="K42" s="303"/>
      <c r="L42" s="303"/>
      <c r="M42" s="303"/>
      <c r="N42" s="303"/>
      <c r="O42" s="303"/>
      <c r="P42" s="303"/>
      <c r="Q42" s="303"/>
      <c r="R42" s="304"/>
      <c r="S42" s="147"/>
    </row>
    <row r="43" spans="2:19" ht="3" customHeight="1" x14ac:dyDescent="0.25">
      <c r="B43" s="146"/>
      <c r="C43" s="305"/>
      <c r="D43" s="306"/>
      <c r="E43" s="306"/>
      <c r="F43" s="306"/>
      <c r="G43" s="306"/>
      <c r="H43" s="306"/>
      <c r="I43" s="306"/>
      <c r="J43" s="306"/>
      <c r="K43" s="306"/>
      <c r="L43" s="306"/>
      <c r="M43" s="306"/>
      <c r="N43" s="306"/>
      <c r="O43" s="306"/>
      <c r="P43" s="306"/>
      <c r="Q43" s="306"/>
      <c r="R43" s="307"/>
      <c r="S43" s="147"/>
    </row>
    <row r="44" spans="2:19" ht="11.45" customHeight="1" thickBot="1" x14ac:dyDescent="0.3">
      <c r="B44" s="14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149"/>
    </row>
    <row r="45" spans="2:19" ht="11.45" customHeight="1" x14ac:dyDescent="0.25"/>
    <row r="52" ht="11.45" customHeight="1" x14ac:dyDescent="0.25"/>
    <row r="53" ht="11.45" customHeight="1" x14ac:dyDescent="0.25"/>
    <row r="54" ht="11.45" customHeight="1" x14ac:dyDescent="0.25"/>
    <row r="55" ht="11.45" customHeight="1" x14ac:dyDescent="0.25"/>
    <row r="56" ht="11.45" customHeight="1" x14ac:dyDescent="0.25"/>
    <row r="57" ht="11.45" customHeight="1" x14ac:dyDescent="0.25"/>
    <row r="58" ht="11.45" customHeight="1" x14ac:dyDescent="0.25"/>
    <row r="59" ht="11.45" customHeight="1" x14ac:dyDescent="0.25"/>
    <row r="60" ht="11.45" customHeight="1" x14ac:dyDescent="0.25"/>
    <row r="61" ht="11.45" customHeight="1" x14ac:dyDescent="0.25"/>
    <row r="62" ht="11.45" customHeight="1" x14ac:dyDescent="0.25"/>
    <row r="63" ht="11.45" customHeight="1" x14ac:dyDescent="0.25"/>
    <row r="64" ht="11.45" customHeight="1" x14ac:dyDescent="0.25"/>
    <row r="65" ht="11.45" customHeight="1" x14ac:dyDescent="0.25"/>
    <row r="66" ht="11.45" customHeight="1" x14ac:dyDescent="0.25"/>
    <row r="67" ht="11.45" customHeight="1" x14ac:dyDescent="0.25"/>
    <row r="68" ht="11.45" customHeight="1" x14ac:dyDescent="0.25"/>
    <row r="69" ht="11.45" customHeight="1" x14ac:dyDescent="0.25"/>
    <row r="70" ht="11.45" customHeight="1" x14ac:dyDescent="0.25"/>
    <row r="71" ht="11.45" customHeight="1" x14ac:dyDescent="0.25"/>
    <row r="72" ht="11.45" customHeight="1" x14ac:dyDescent="0.25"/>
    <row r="73" ht="11.45" customHeight="1" x14ac:dyDescent="0.25"/>
    <row r="74" ht="11.45" customHeight="1" x14ac:dyDescent="0.25"/>
    <row r="75" ht="11.45" customHeight="1" x14ac:dyDescent="0.25"/>
    <row r="76" ht="11.45" customHeight="1" x14ac:dyDescent="0.25"/>
    <row r="77" ht="11.45" customHeight="1" x14ac:dyDescent="0.25"/>
    <row r="78" ht="11.45" customHeight="1" x14ac:dyDescent="0.25"/>
    <row r="79" ht="11.45" customHeight="1" x14ac:dyDescent="0.25"/>
    <row r="80" ht="11.45" customHeight="1" x14ac:dyDescent="0.25"/>
    <row r="81" ht="11.45" customHeight="1" x14ac:dyDescent="0.25"/>
    <row r="82" ht="11.45" customHeight="1" x14ac:dyDescent="0.25"/>
    <row r="83" ht="11.45" customHeight="1" x14ac:dyDescent="0.25"/>
    <row r="84" ht="11.45" customHeight="1" x14ac:dyDescent="0.25"/>
    <row r="85" ht="11.45" customHeight="1" x14ac:dyDescent="0.25"/>
    <row r="86" ht="11.45" customHeight="1" x14ac:dyDescent="0.25"/>
    <row r="87" ht="11.45" customHeight="1" x14ac:dyDescent="0.25"/>
    <row r="88" ht="11.45" customHeight="1" x14ac:dyDescent="0.25"/>
    <row r="89" ht="11.45" customHeight="1" x14ac:dyDescent="0.25"/>
    <row r="90" ht="11.45" customHeight="1" x14ac:dyDescent="0.25"/>
    <row r="91" ht="11.45" customHeight="1" x14ac:dyDescent="0.25"/>
    <row r="92" ht="11.45" customHeight="1" x14ac:dyDescent="0.25"/>
    <row r="93" ht="11.45" customHeight="1" x14ac:dyDescent="0.25"/>
    <row r="94" ht="11.45" customHeight="1" x14ac:dyDescent="0.25"/>
    <row r="95" ht="11.45" customHeight="1" x14ac:dyDescent="0.25"/>
    <row r="96" ht="11.45" customHeight="1" x14ac:dyDescent="0.25"/>
    <row r="97" ht="11.45" customHeight="1" x14ac:dyDescent="0.25"/>
    <row r="98" ht="11.45" customHeight="1" x14ac:dyDescent="0.25"/>
    <row r="99" ht="11.45" customHeight="1" x14ac:dyDescent="0.25"/>
    <row r="100" ht="11.45" customHeight="1" x14ac:dyDescent="0.25"/>
    <row r="101" ht="11.45" customHeight="1" x14ac:dyDescent="0.25"/>
    <row r="102" ht="11.45" customHeight="1" x14ac:dyDescent="0.25"/>
  </sheetData>
  <mergeCells count="1">
    <mergeCell ref="C37:R43"/>
  </mergeCells>
  <pageMargins left="0.7" right="0.7" top="0.75" bottom="0.75" header="0.3" footer="0.3"/>
  <pageSetup paperSize="9" scale="58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2" tint="-0.499984740745262"/>
  </sheetPr>
  <dimension ref="A1:O38"/>
  <sheetViews>
    <sheetView showGridLines="0" zoomScaleNormal="100" workbookViewId="0"/>
  </sheetViews>
  <sheetFormatPr defaultColWidth="0" defaultRowHeight="11.45" customHeight="1" zeroHeight="1" x14ac:dyDescent="0.25"/>
  <cols>
    <col min="1" max="1" width="2.28515625" customWidth="1"/>
    <col min="2" max="2" width="22.5703125" bestFit="1" customWidth="1"/>
    <col min="3" max="3" width="17.5703125" customWidth="1"/>
    <col min="4" max="4" width="0.5703125" customWidth="1"/>
    <col min="5" max="5" width="16" customWidth="1"/>
    <col min="6" max="6" width="15" customWidth="1"/>
    <col min="7" max="7" width="0.5703125" customWidth="1"/>
    <col min="8" max="8" width="20.5703125" bestFit="1" customWidth="1"/>
    <col min="9" max="9" width="10.42578125" bestFit="1" customWidth="1"/>
    <col min="10" max="10" width="22.85546875" customWidth="1"/>
    <col min="11" max="11" width="0.5703125" customWidth="1"/>
    <col min="12" max="12" width="25.140625" bestFit="1" customWidth="1"/>
    <col min="13" max="13" width="15.5703125" bestFit="1" customWidth="1"/>
    <col min="14" max="14" width="15.7109375" bestFit="1" customWidth="1"/>
    <col min="15" max="15" width="2.28515625" customWidth="1"/>
    <col min="16" max="16384" width="9.140625" hidden="1"/>
  </cols>
  <sheetData>
    <row r="1" spans="2:14" s="18" customFormat="1" ht="11.45" customHeight="1" x14ac:dyDescent="0.25"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</row>
    <row r="2" spans="2:14" s="18" customFormat="1" ht="11.45" customHeight="1" x14ac:dyDescent="0.25"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</row>
    <row r="3" spans="2:14" s="18" customFormat="1" ht="11.45" customHeight="1" x14ac:dyDescent="0.25"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</row>
    <row r="4" spans="2:14" s="18" customFormat="1" ht="11.45" customHeight="1" x14ac:dyDescent="0.25"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</row>
    <row r="5" spans="2:14" ht="11.45" customHeight="1" x14ac:dyDescent="0.25">
      <c r="B5" s="322" t="s">
        <v>253</v>
      </c>
      <c r="C5" s="324"/>
      <c r="D5" s="32"/>
      <c r="E5" s="322" t="s">
        <v>254</v>
      </c>
      <c r="F5" s="324"/>
      <c r="G5" s="33"/>
      <c r="H5" s="322" t="s">
        <v>255</v>
      </c>
      <c r="I5" s="323"/>
      <c r="J5" s="324"/>
      <c r="K5" s="34"/>
      <c r="L5" s="322" t="s">
        <v>256</v>
      </c>
      <c r="M5" s="323"/>
      <c r="N5" s="324"/>
    </row>
    <row r="6" spans="2:14" ht="11.45" customHeight="1" x14ac:dyDescent="0.25">
      <c r="B6" s="90" t="s">
        <v>47</v>
      </c>
      <c r="C6" s="101" t="str">
        <f>IF('Property Information'!C6="","",'Property Information'!C6)</f>
        <v/>
      </c>
      <c r="D6" s="32"/>
      <c r="E6" s="90" t="s">
        <v>257</v>
      </c>
      <c r="F6" s="240"/>
      <c r="G6" s="34"/>
      <c r="H6" s="89" t="s">
        <v>162</v>
      </c>
      <c r="I6" s="31"/>
      <c r="J6" s="95" t="str">
        <f>IF('Rent Roll Analysis'!$E$28=0,"-",'Rent Roll Analysis'!$E$28)</f>
        <v>-</v>
      </c>
      <c r="K6" s="34"/>
      <c r="L6" s="89" t="s">
        <v>48</v>
      </c>
      <c r="M6" s="31"/>
      <c r="N6" s="155" t="str">
        <f>IF('Property Information'!D6="","",'Property Information'!D6)</f>
        <v/>
      </c>
    </row>
    <row r="7" spans="2:14" ht="11.45" customHeight="1" x14ac:dyDescent="0.25">
      <c r="B7" s="90" t="s">
        <v>201</v>
      </c>
      <c r="C7" s="107">
        <f>N15</f>
        <v>0</v>
      </c>
      <c r="D7" s="32"/>
      <c r="E7" s="90" t="s">
        <v>258</v>
      </c>
      <c r="F7" s="101">
        <v>120</v>
      </c>
      <c r="G7" s="34"/>
      <c r="H7" s="90" t="s">
        <v>200</v>
      </c>
      <c r="I7" s="31"/>
      <c r="J7" s="91">
        <v>7.7499999999999999E-2</v>
      </c>
      <c r="K7" s="34"/>
      <c r="L7" s="89" t="s">
        <v>61</v>
      </c>
      <c r="M7" s="31"/>
      <c r="N7" s="96">
        <f>'CF Summary'!R7</f>
        <v>0</v>
      </c>
    </row>
    <row r="8" spans="2:14" ht="11.45" customHeight="1" x14ac:dyDescent="0.25">
      <c r="B8" s="90" t="s">
        <v>199</v>
      </c>
      <c r="C8" s="107">
        <f>N17</f>
        <v>0</v>
      </c>
      <c r="D8" s="32"/>
      <c r="E8" s="90" t="s">
        <v>287</v>
      </c>
      <c r="F8" s="101">
        <v>360</v>
      </c>
      <c r="G8" s="34"/>
      <c r="H8" s="89" t="s">
        <v>259</v>
      </c>
      <c r="I8" s="31"/>
      <c r="J8" s="92">
        <f>IFERROR(IF(J14="NOI",C7/J7,C8/J7),0)</f>
        <v>0</v>
      </c>
      <c r="K8" s="34"/>
      <c r="L8" s="89" t="s">
        <v>63</v>
      </c>
      <c r="M8" s="31"/>
      <c r="N8" s="96">
        <f>'CF Summary'!R9</f>
        <v>0</v>
      </c>
    </row>
    <row r="9" spans="2:14" ht="11.45" customHeight="1" x14ac:dyDescent="0.25">
      <c r="B9" s="90" t="s">
        <v>260</v>
      </c>
      <c r="C9" s="107">
        <f>IF(J15="Appraised Value If It Exists",IF(J10&gt;0,J10,J8),IF(J15="Underwriting Estimated Value",J8,IF(J10&gt;0,MIN(J10,J8),J8)))</f>
        <v>0</v>
      </c>
      <c r="D9" s="32"/>
      <c r="E9" s="90" t="s">
        <v>261</v>
      </c>
      <c r="F9" s="101">
        <v>36</v>
      </c>
      <c r="G9" s="34"/>
      <c r="H9" s="89" t="s">
        <v>196</v>
      </c>
      <c r="I9" s="31"/>
      <c r="J9" s="92">
        <f>IFERROR(J8/J6,0)</f>
        <v>0</v>
      </c>
      <c r="K9" s="34"/>
      <c r="L9" s="89" t="s">
        <v>172</v>
      </c>
      <c r="M9" s="31"/>
      <c r="N9" s="96">
        <f>'CF Summary'!R8</f>
        <v>0</v>
      </c>
    </row>
    <row r="10" spans="2:14" ht="11.45" customHeight="1" x14ac:dyDescent="0.25">
      <c r="B10" s="90" t="s">
        <v>262</v>
      </c>
      <c r="C10" s="107">
        <f>IFERROR(C9/J6,0)</f>
        <v>0</v>
      </c>
      <c r="D10" s="32"/>
      <c r="E10" s="90" t="s">
        <v>263</v>
      </c>
      <c r="F10" s="102">
        <v>1.26E-2</v>
      </c>
      <c r="G10" s="34"/>
      <c r="H10" s="89" t="s">
        <v>198</v>
      </c>
      <c r="I10" s="31"/>
      <c r="J10" s="93"/>
      <c r="K10" s="34"/>
      <c r="L10" s="97" t="s">
        <v>68</v>
      </c>
      <c r="M10" s="31"/>
      <c r="N10" s="96">
        <f>'CF Summary'!R6</f>
        <v>0</v>
      </c>
    </row>
    <row r="11" spans="2:14" ht="11.45" customHeight="1" x14ac:dyDescent="0.25">
      <c r="B11" s="90" t="s">
        <v>198</v>
      </c>
      <c r="C11" s="107">
        <f>J10</f>
        <v>0</v>
      </c>
      <c r="D11" s="32"/>
      <c r="E11" s="90" t="s">
        <v>197</v>
      </c>
      <c r="F11" s="101" t="s">
        <v>130</v>
      </c>
      <c r="G11" s="34"/>
      <c r="H11" s="89" t="s">
        <v>196</v>
      </c>
      <c r="I11" s="31"/>
      <c r="J11" s="92">
        <f>IFERROR(J10/J6,0)</f>
        <v>0</v>
      </c>
      <c r="K11" s="34"/>
      <c r="L11" s="89" t="s">
        <v>195</v>
      </c>
      <c r="M11" s="31"/>
      <c r="N11" s="96">
        <f>'CF Summary'!R16</f>
        <v>0</v>
      </c>
    </row>
    <row r="12" spans="2:14" ht="11.45" customHeight="1" x14ac:dyDescent="0.25">
      <c r="B12" s="90" t="s">
        <v>264</v>
      </c>
      <c r="C12" s="107">
        <f>IFERROR(C11/J6,0)</f>
        <v>0</v>
      </c>
      <c r="D12" s="32"/>
      <c r="E12" s="90" t="s">
        <v>265</v>
      </c>
      <c r="F12" s="102">
        <v>4.4999999999999998E-2</v>
      </c>
      <c r="G12" s="34"/>
      <c r="H12" s="89" t="s">
        <v>194</v>
      </c>
      <c r="I12" s="31"/>
      <c r="J12" s="94">
        <f>1-C13</f>
        <v>1</v>
      </c>
      <c r="K12" s="34"/>
      <c r="L12" s="89" t="s">
        <v>266</v>
      </c>
      <c r="M12" s="31"/>
      <c r="N12" s="96">
        <f>'CF Summary'!R26</f>
        <v>0</v>
      </c>
    </row>
    <row r="13" spans="2:14" ht="11.45" customHeight="1" x14ac:dyDescent="0.25">
      <c r="B13" s="90" t="s">
        <v>267</v>
      </c>
      <c r="C13" s="102"/>
      <c r="D13" s="32"/>
      <c r="E13" s="90" t="s">
        <v>268</v>
      </c>
      <c r="F13" s="103">
        <f>F12+F10</f>
        <v>5.7599999999999998E-2</v>
      </c>
      <c r="G13" s="34"/>
      <c r="H13" s="89" t="s">
        <v>193</v>
      </c>
      <c r="I13" s="31"/>
      <c r="J13" s="94">
        <f>1-C14</f>
        <v>1</v>
      </c>
      <c r="K13" s="34"/>
      <c r="L13" s="89" t="s">
        <v>192</v>
      </c>
      <c r="M13" s="31"/>
      <c r="N13" s="96">
        <f>'CF Summary'!R27</f>
        <v>0</v>
      </c>
    </row>
    <row r="14" spans="2:14" ht="11.45" customHeight="1" x14ac:dyDescent="0.25">
      <c r="B14" s="90" t="s">
        <v>269</v>
      </c>
      <c r="C14" s="102"/>
      <c r="D14" s="32"/>
      <c r="E14" s="90" t="s">
        <v>270</v>
      </c>
      <c r="F14" s="103">
        <f>IF($F$7=F9,IF(F15="Actual/Actual",F13*(DATE(YEAR(C16)+1,MONTH(C16),DAY(C16))-C16)/365,IF(F15="Actual/360",F13*(DATE(YEAR(C16)+1,MONTH(C16),DAY(C16))-C16)/360,F13)),-PMT(F13/12,F8,1)*12)</f>
        <v>7.010499285271074E-2</v>
      </c>
      <c r="G14" s="34"/>
      <c r="H14" s="89" t="s">
        <v>191</v>
      </c>
      <c r="I14" s="31"/>
      <c r="J14" s="95" t="s">
        <v>185</v>
      </c>
      <c r="K14" s="34"/>
      <c r="L14" s="89" t="s">
        <v>80</v>
      </c>
      <c r="M14" s="31"/>
      <c r="N14" s="96">
        <f>'CF Summary'!R28</f>
        <v>0</v>
      </c>
    </row>
    <row r="15" spans="2:14" ht="11.45" customHeight="1" x14ac:dyDescent="0.25">
      <c r="B15" s="90" t="s">
        <v>190</v>
      </c>
      <c r="C15" s="108"/>
      <c r="D15" s="32"/>
      <c r="E15" s="90" t="s">
        <v>127</v>
      </c>
      <c r="F15" s="101" t="s">
        <v>126</v>
      </c>
      <c r="G15" s="34"/>
      <c r="H15" s="314" t="s">
        <v>271</v>
      </c>
      <c r="I15" s="315"/>
      <c r="J15" s="328" t="s">
        <v>188</v>
      </c>
      <c r="K15" s="34"/>
      <c r="L15" s="89" t="s">
        <v>187</v>
      </c>
      <c r="M15" s="31"/>
      <c r="N15" s="96">
        <f>'CF Summary'!R31</f>
        <v>0</v>
      </c>
    </row>
    <row r="16" spans="2:14" ht="11.45" customHeight="1" x14ac:dyDescent="0.25">
      <c r="B16" s="90" t="s">
        <v>143</v>
      </c>
      <c r="C16" s="109">
        <f ca="1">TODAY()</f>
        <v>44154</v>
      </c>
      <c r="D16" s="32"/>
      <c r="E16" s="90" t="s">
        <v>272</v>
      </c>
      <c r="F16" s="104">
        <v>0.01</v>
      </c>
      <c r="G16" s="34"/>
      <c r="H16" s="314"/>
      <c r="I16" s="315"/>
      <c r="J16" s="328"/>
      <c r="K16" s="34"/>
      <c r="L16" s="89" t="s">
        <v>186</v>
      </c>
      <c r="M16" s="31"/>
      <c r="N16" s="96">
        <f>'CF Summary'!R33</f>
        <v>0</v>
      </c>
    </row>
    <row r="17" spans="2:14" ht="11.45" customHeight="1" x14ac:dyDescent="0.25">
      <c r="B17" s="105" t="s">
        <v>273</v>
      </c>
      <c r="C17" s="110">
        <f ca="1">DATE(YEAR(C16),MONTH(C16)+1,1)</f>
        <v>44166</v>
      </c>
      <c r="D17" s="32"/>
      <c r="E17" s="105" t="s">
        <v>274</v>
      </c>
      <c r="F17" s="106">
        <f>IFERROR(IF(F9=Loan_term_complete,(C8/J7)/F24,RATE(F8,-(C8/J7)/12,F24)*12),0)</f>
        <v>0</v>
      </c>
      <c r="G17" s="34"/>
      <c r="H17" s="316"/>
      <c r="I17" s="317"/>
      <c r="J17" s="329"/>
      <c r="K17" s="34"/>
      <c r="L17" s="98" t="s">
        <v>185</v>
      </c>
      <c r="M17" s="99"/>
      <c r="N17" s="100">
        <f>'CF Summary'!R40</f>
        <v>0</v>
      </c>
    </row>
    <row r="18" spans="2:14" s="18" customFormat="1" ht="11.45" customHeight="1" x14ac:dyDescent="0.25">
      <c r="B18" s="32"/>
      <c r="C18" s="32"/>
      <c r="D18" s="32"/>
      <c r="E18" s="224"/>
      <c r="F18" s="32"/>
      <c r="G18" s="32"/>
      <c r="H18" s="32"/>
      <c r="I18" s="32"/>
      <c r="J18" s="32"/>
      <c r="K18" s="32"/>
      <c r="L18" s="32"/>
      <c r="M18" s="32"/>
      <c r="N18" s="32"/>
    </row>
    <row r="19" spans="2:14" ht="11.45" customHeight="1" x14ac:dyDescent="0.25">
      <c r="B19" s="111" t="s">
        <v>275</v>
      </c>
      <c r="C19" s="112"/>
      <c r="D19" s="112"/>
      <c r="E19" s="112"/>
      <c r="F19" s="323" t="s">
        <v>276</v>
      </c>
      <c r="G19" s="323"/>
      <c r="H19" s="62" t="s">
        <v>140</v>
      </c>
      <c r="I19" s="62" t="s">
        <v>184</v>
      </c>
      <c r="J19" s="62" t="s">
        <v>183</v>
      </c>
      <c r="K19" s="323" t="s">
        <v>182</v>
      </c>
      <c r="L19" s="323"/>
      <c r="M19" s="62" t="s">
        <v>277</v>
      </c>
      <c r="N19" s="63" t="s">
        <v>278</v>
      </c>
    </row>
    <row r="20" spans="2:14" ht="11.45" customHeight="1" x14ac:dyDescent="0.25">
      <c r="B20" s="113" t="s">
        <v>183</v>
      </c>
      <c r="C20" s="114"/>
      <c r="D20" s="114"/>
      <c r="E20" s="35">
        <v>1.2</v>
      </c>
      <c r="F20" s="308">
        <f>IFERROR((C8/E20)/F14,0)</f>
        <v>0</v>
      </c>
      <c r="G20" s="308"/>
      <c r="H20" s="36">
        <f>IFERROR(F20/$J$6,0)</f>
        <v>0</v>
      </c>
      <c r="I20" s="41">
        <f>IFERROR(C$7/(F20*$F$14),0)</f>
        <v>0</v>
      </c>
      <c r="J20" s="37">
        <f>IFERROR(C$8/(F20*$F$14),0)</f>
        <v>0</v>
      </c>
      <c r="K20" s="327">
        <f>IFERROR(F20/$C$9,0)</f>
        <v>0</v>
      </c>
      <c r="L20" s="327"/>
      <c r="M20" s="68">
        <f>IFERROR($C$7/F20,0)</f>
        <v>0</v>
      </c>
      <c r="N20" s="115">
        <f>IFERROR($C$8/F20,0)</f>
        <v>0</v>
      </c>
    </row>
    <row r="21" spans="2:14" ht="11.45" customHeight="1" x14ac:dyDescent="0.25">
      <c r="B21" s="113" t="s">
        <v>298</v>
      </c>
      <c r="C21" s="68">
        <f>J7</f>
        <v>7.7499999999999999E-2</v>
      </c>
      <c r="D21" s="114"/>
      <c r="E21" s="38">
        <v>0.7</v>
      </c>
      <c r="F21" s="308">
        <f>C8*(1-I29)*IF(C21=0,0,1/C21)*E21</f>
        <v>0</v>
      </c>
      <c r="G21" s="308"/>
      <c r="H21" s="36">
        <f>IFERROR(F21/$J$6,0)</f>
        <v>0</v>
      </c>
      <c r="I21" s="41">
        <f>IFERROR(C$7/(F21*$F$14),0)</f>
        <v>0</v>
      </c>
      <c r="J21" s="37">
        <f>IFERROR(C$8/(F21*$F$14),0)</f>
        <v>0</v>
      </c>
      <c r="K21" s="327">
        <f>IFERROR(F21/$C$9,0)</f>
        <v>0</v>
      </c>
      <c r="L21" s="327"/>
      <c r="M21" s="68">
        <f>IFERROR($C$7/F21,0)</f>
        <v>0</v>
      </c>
      <c r="N21" s="115">
        <f>IFERROR($C$8/F21,0)</f>
        <v>0</v>
      </c>
    </row>
    <row r="22" spans="2:14" ht="11.45" customHeight="1" x14ac:dyDescent="0.25">
      <c r="B22" s="113" t="s">
        <v>182</v>
      </c>
      <c r="C22" s="114"/>
      <c r="D22" s="114"/>
      <c r="E22" s="38">
        <v>0.6</v>
      </c>
      <c r="F22" s="308">
        <f>E22*C9</f>
        <v>0</v>
      </c>
      <c r="G22" s="308"/>
      <c r="H22" s="36">
        <f>IFERROR(F22/$J$6,0)</f>
        <v>0</v>
      </c>
      <c r="I22" s="41">
        <f>IFERROR(C$7/(F22*$F$14),0)</f>
        <v>0</v>
      </c>
      <c r="J22" s="37">
        <f>IFERROR(C$8/(F22*$F$14),0)</f>
        <v>0</v>
      </c>
      <c r="K22" s="327">
        <f>IFERROR(F22/$C$9,0)</f>
        <v>0</v>
      </c>
      <c r="L22" s="327"/>
      <c r="M22" s="68">
        <f>IFERROR($C$7/F22,0)</f>
        <v>0</v>
      </c>
      <c r="N22" s="115">
        <f>IFERROR($C$8/F22,0)</f>
        <v>0</v>
      </c>
    </row>
    <row r="23" spans="2:14" ht="11.45" customHeight="1" x14ac:dyDescent="0.25">
      <c r="B23" s="113" t="s">
        <v>181</v>
      </c>
      <c r="C23" s="114"/>
      <c r="D23" s="114"/>
      <c r="E23" s="38">
        <v>9.5000000000000001E-2</v>
      </c>
      <c r="F23" s="308">
        <f>IFERROR(C8/E23,0)</f>
        <v>0</v>
      </c>
      <c r="G23" s="308"/>
      <c r="H23" s="36">
        <f>IFERROR(F23/$J$6,0)</f>
        <v>0</v>
      </c>
      <c r="I23" s="41">
        <f>IFERROR(C$7/(F23*$F$14),0)</f>
        <v>0</v>
      </c>
      <c r="J23" s="37">
        <f>IFERROR(C$8/(F23*$F$14),0)</f>
        <v>0</v>
      </c>
      <c r="K23" s="327">
        <f>IFERROR(F23/$C$9,0)</f>
        <v>0</v>
      </c>
      <c r="L23" s="327"/>
      <c r="M23" s="68">
        <f>IFERROR($C$7/F23,0)</f>
        <v>0</v>
      </c>
      <c r="N23" s="115">
        <f>IFERROR($C$8/F23,0)</f>
        <v>0</v>
      </c>
    </row>
    <row r="24" spans="2:14" ht="11.45" customHeight="1" x14ac:dyDescent="0.25">
      <c r="B24" s="116" t="s">
        <v>384</v>
      </c>
      <c r="C24" s="117"/>
      <c r="D24" s="117"/>
      <c r="E24" s="117"/>
      <c r="F24" s="318">
        <f>MIN(IF(F20=0,10000000000,F20),IF(F21=0,10000000000,F21),IF(F22=0,10000000000,F22),IF(F23=0,10000000000,F23))</f>
        <v>10000000000</v>
      </c>
      <c r="G24" s="318"/>
      <c r="H24" s="118">
        <f>IFERROR(F24/$J$6,0)</f>
        <v>0</v>
      </c>
      <c r="I24" s="119">
        <f>IFERROR(C$7/(F24*$F$14),0)</f>
        <v>0</v>
      </c>
      <c r="J24" s="120">
        <f>IFERROR(C$8/(F24*$F$14),0)</f>
        <v>0</v>
      </c>
      <c r="K24" s="319">
        <f>IFERROR(F24/$C$9,0)</f>
        <v>0</v>
      </c>
      <c r="L24" s="319"/>
      <c r="M24" s="121">
        <f>IFERROR($C$7/F24,0)</f>
        <v>0</v>
      </c>
      <c r="N24" s="122">
        <f>IFERROR($C$8/F24,0)</f>
        <v>0</v>
      </c>
    </row>
    <row r="25" spans="2:14" s="18" customFormat="1" ht="11.45" customHeight="1" x14ac:dyDescent="0.25"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</row>
    <row r="26" spans="2:14" ht="11.45" customHeight="1" x14ac:dyDescent="0.25">
      <c r="B26" s="320" t="s">
        <v>279</v>
      </c>
      <c r="C26" s="321"/>
      <c r="D26" s="321"/>
      <c r="E26" s="123"/>
      <c r="F26" s="32"/>
      <c r="G26" s="320" t="s">
        <v>280</v>
      </c>
      <c r="H26" s="321"/>
      <c r="I26" s="325"/>
      <c r="J26" s="326"/>
      <c r="K26" s="33"/>
      <c r="L26" s="322" t="s">
        <v>281</v>
      </c>
      <c r="M26" s="323"/>
      <c r="N26" s="324"/>
    </row>
    <row r="27" spans="2:14" ht="11.45" customHeight="1" x14ac:dyDescent="0.25">
      <c r="B27" s="314" t="s">
        <v>282</v>
      </c>
      <c r="C27" s="315"/>
      <c r="D27" s="315"/>
      <c r="E27" s="107">
        <f>IF(C15="Acquisition","NA",F24-E26)</f>
        <v>10000000000</v>
      </c>
      <c r="F27" s="32"/>
      <c r="G27" s="314" t="s">
        <v>283</v>
      </c>
      <c r="H27" s="315"/>
      <c r="I27" s="308">
        <f>IF(C15="Refinance","N/A",I26-F24)</f>
        <v>-10000000000</v>
      </c>
      <c r="J27" s="309"/>
      <c r="K27" s="40"/>
      <c r="L27" s="113" t="s">
        <v>180</v>
      </c>
      <c r="M27" s="30"/>
      <c r="N27" s="125">
        <f>'Amortization Schedule'!$F$21</f>
        <v>8983418563.8324795</v>
      </c>
    </row>
    <row r="28" spans="2:14" ht="11.45" customHeight="1" x14ac:dyDescent="0.25">
      <c r="B28" s="314" t="s">
        <v>284</v>
      </c>
      <c r="C28" s="315"/>
      <c r="D28" s="315"/>
      <c r="E28" s="107">
        <f>F24*F14</f>
        <v>701049928.52710736</v>
      </c>
      <c r="F28" s="32"/>
      <c r="G28" s="314" t="s">
        <v>247</v>
      </c>
      <c r="H28" s="315"/>
      <c r="I28" s="310">
        <f>IFERROR(IF((C8/C21)*(1-I29)=0,0,F24/(C8/C21)/(1-I29)),0)</f>
        <v>0</v>
      </c>
      <c r="J28" s="311"/>
      <c r="K28" s="40"/>
      <c r="L28" s="90" t="s">
        <v>179</v>
      </c>
      <c r="M28" s="30"/>
      <c r="N28" s="125">
        <f>IFERROR(N27/J6,0)</f>
        <v>0</v>
      </c>
    </row>
    <row r="29" spans="2:14" ht="11.45" customHeight="1" x14ac:dyDescent="0.25">
      <c r="B29" s="316" t="s">
        <v>285</v>
      </c>
      <c r="C29" s="317"/>
      <c r="D29" s="317"/>
      <c r="E29" s="124">
        <f>IF(F10=0,"N/A",IF(F15="Actual/Actual",F13*(DATE(YEAR(C16)+1,MONTH(C16),DAY(C16))-C16)/365,IF(F15="Actual/360",F13*(DATE(YEAR(C16)+1,MONTH(C16),DAY(C16))-C16)/360,F13))*F24)</f>
        <v>576000000</v>
      </c>
      <c r="F29" s="32"/>
      <c r="G29" s="316" t="s">
        <v>286</v>
      </c>
      <c r="H29" s="317"/>
      <c r="I29" s="312">
        <v>0</v>
      </c>
      <c r="J29" s="313"/>
      <c r="K29" s="33"/>
      <c r="L29" s="116" t="s">
        <v>178</v>
      </c>
      <c r="M29" s="126"/>
      <c r="N29" s="127">
        <f>IFERROR(N27/C11,0)</f>
        <v>0</v>
      </c>
    </row>
    <row r="30" spans="2:14" ht="11.45" customHeight="1" x14ac:dyDescent="0.25">
      <c r="F30" s="18"/>
      <c r="J30" s="18"/>
      <c r="K30" s="18"/>
    </row>
    <row r="37" ht="11.45" customHeight="1" x14ac:dyDescent="0.25"/>
    <row r="38" ht="11.45" customHeight="1" x14ac:dyDescent="0.25"/>
  </sheetData>
  <mergeCells count="31">
    <mergeCell ref="F19:G19"/>
    <mergeCell ref="K19:L19"/>
    <mergeCell ref="F20:G20"/>
    <mergeCell ref="K20:L20"/>
    <mergeCell ref="B5:C5"/>
    <mergeCell ref="E5:F5"/>
    <mergeCell ref="H5:J5"/>
    <mergeCell ref="L5:N5"/>
    <mergeCell ref="H15:I17"/>
    <mergeCell ref="J15:J17"/>
    <mergeCell ref="F21:G21"/>
    <mergeCell ref="K21:L21"/>
    <mergeCell ref="F22:G22"/>
    <mergeCell ref="K22:L22"/>
    <mergeCell ref="F23:G23"/>
    <mergeCell ref="K23:L23"/>
    <mergeCell ref="F24:G24"/>
    <mergeCell ref="K24:L24"/>
    <mergeCell ref="B26:D26"/>
    <mergeCell ref="G26:H26"/>
    <mergeCell ref="L26:N26"/>
    <mergeCell ref="I26:J26"/>
    <mergeCell ref="I27:J27"/>
    <mergeCell ref="I28:J28"/>
    <mergeCell ref="I29:J29"/>
    <mergeCell ref="B27:D27"/>
    <mergeCell ref="G27:H27"/>
    <mergeCell ref="B28:D28"/>
    <mergeCell ref="G28:H28"/>
    <mergeCell ref="B29:D29"/>
    <mergeCell ref="G29:H29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00000000-0002-0000-0100-000000000000}">
          <x14:formula1>
            <xm:f>Validation!$B$18:$B$20</xm:f>
          </x14:formula1>
          <xm:sqref>J15:J17</xm:sqref>
        </x14:dataValidation>
        <x14:dataValidation type="list" allowBlank="1" showInputMessage="1" showErrorMessage="1" xr:uid="{00000000-0002-0000-0100-000001000000}">
          <x14:formula1>
            <xm:f>Validation!$B$14:$B$15</xm:f>
          </x14:formula1>
          <xm:sqref>J14</xm:sqref>
        </x14:dataValidation>
        <x14:dataValidation type="list" allowBlank="1" showInputMessage="1" showErrorMessage="1" xr:uid="{00000000-0002-0000-0100-000002000000}">
          <x14:formula1>
            <xm:f>Validation!$D$5:$D$8</xm:f>
          </x14:formula1>
          <xm:sqref>C15</xm:sqref>
        </x14:dataValidation>
        <x14:dataValidation type="list" allowBlank="1" showInputMessage="1" showErrorMessage="1" xr:uid="{00000000-0002-0000-0100-000003000000}">
          <x14:formula1>
            <xm:f>Validation!$E$5:$E$7</xm:f>
          </x14:formula1>
          <xm:sqref>F15</xm:sqref>
        </x14:dataValidation>
        <x14:dataValidation type="list" allowBlank="1" showInputMessage="1" showErrorMessage="1" xr:uid="{00000000-0002-0000-0100-000004000000}">
          <x14:formula1>
            <xm:f>Validation!$M$5:$M$7</xm:f>
          </x14:formula1>
          <xm:sqref>F11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2" tint="-0.499984740745262"/>
  </sheetPr>
  <dimension ref="A1:AC499"/>
  <sheetViews>
    <sheetView showGridLines="0" zoomScaleNormal="100" workbookViewId="0"/>
  </sheetViews>
  <sheetFormatPr defaultColWidth="0" defaultRowHeight="11.45" customHeight="1" x14ac:dyDescent="0.25"/>
  <cols>
    <col min="1" max="1" width="2.28515625" style="2" customWidth="1"/>
    <col min="2" max="2" width="20.7109375" style="2" customWidth="1"/>
    <col min="3" max="3" width="18.5703125" style="2" customWidth="1"/>
    <col min="4" max="4" width="7.28515625" style="2" customWidth="1"/>
    <col min="5" max="5" width="20.7109375" style="2" customWidth="1"/>
    <col min="6" max="6" width="13" style="2" customWidth="1"/>
    <col min="7" max="7" width="19.7109375" style="2" customWidth="1"/>
    <col min="8" max="8" width="14.5703125" style="2" customWidth="1"/>
    <col min="9" max="10" width="20.7109375" style="2" customWidth="1"/>
    <col min="11" max="11" width="13.42578125" style="2" customWidth="1"/>
    <col min="12" max="12" width="14.5703125" style="2" customWidth="1"/>
    <col min="13" max="13" width="2.28515625" style="26" customWidth="1"/>
    <col min="14" max="16384" width="29.140625" style="2" hidden="1"/>
  </cols>
  <sheetData>
    <row r="1" spans="2:29" ht="11.45" customHeight="1" x14ac:dyDescent="0.25">
      <c r="N1" t="s">
        <v>294</v>
      </c>
      <c r="O1">
        <v>12</v>
      </c>
      <c r="P1">
        <v>24</v>
      </c>
      <c r="Q1" s="2">
        <f>P1+12</f>
        <v>36</v>
      </c>
      <c r="R1" s="2">
        <f t="shared" ref="R1:AC1" si="0">Q1+12</f>
        <v>48</v>
      </c>
      <c r="S1" s="2">
        <f t="shared" si="0"/>
        <v>60</v>
      </c>
      <c r="T1" s="2">
        <f t="shared" si="0"/>
        <v>72</v>
      </c>
      <c r="U1" s="2">
        <f t="shared" si="0"/>
        <v>84</v>
      </c>
      <c r="V1" s="2">
        <f t="shared" si="0"/>
        <v>96</v>
      </c>
      <c r="W1" s="2">
        <f t="shared" si="0"/>
        <v>108</v>
      </c>
      <c r="X1" s="2">
        <f t="shared" si="0"/>
        <v>120</v>
      </c>
      <c r="Y1" s="2">
        <f t="shared" si="0"/>
        <v>132</v>
      </c>
      <c r="Z1" s="2">
        <f t="shared" si="0"/>
        <v>144</v>
      </c>
      <c r="AA1" s="2">
        <f t="shared" si="0"/>
        <v>156</v>
      </c>
      <c r="AB1" s="2">
        <f t="shared" si="0"/>
        <v>168</v>
      </c>
      <c r="AC1" s="2">
        <f t="shared" si="0"/>
        <v>180</v>
      </c>
    </row>
    <row r="2" spans="2:29" ht="11.45" customHeight="1" x14ac:dyDescent="0.25">
      <c r="N2" t="s">
        <v>248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1</v>
      </c>
      <c r="AA2">
        <v>1</v>
      </c>
      <c r="AB2">
        <v>1</v>
      </c>
      <c r="AC2">
        <v>1</v>
      </c>
    </row>
    <row r="3" spans="2:29" ht="11.45" customHeight="1" x14ac:dyDescent="0.25">
      <c r="N3" t="s">
        <v>249</v>
      </c>
      <c r="O3" s="2">
        <f t="shared" ref="O3:AC3" ca="1" si="1">+IF(O2&lt;=$C$19,SUM(I25:I36),$I$9)</f>
        <v>575999999.99999988</v>
      </c>
      <c r="P3" s="2">
        <f t="shared" ca="1" si="1"/>
        <v>120000000000</v>
      </c>
      <c r="Q3" s="2">
        <f t="shared" ca="1" si="1"/>
        <v>1362</v>
      </c>
      <c r="R3" s="2">
        <f t="shared" ca="1" si="1"/>
        <v>4320</v>
      </c>
      <c r="S3" s="2">
        <f t="shared" ca="1" si="1"/>
        <v>4383</v>
      </c>
      <c r="T3" s="2">
        <f t="shared" ca="1" si="1"/>
        <v>1.8924051201437229E-3</v>
      </c>
      <c r="U3" s="2">
        <f t="shared" ca="1" si="1"/>
        <v>0</v>
      </c>
      <c r="V3" s="2">
        <f t="shared" ca="1" si="1"/>
        <v>505600000</v>
      </c>
      <c r="W3" s="2">
        <f t="shared" ca="1" si="1"/>
        <v>575999999.99999988</v>
      </c>
      <c r="X3" s="2">
        <f t="shared" ca="1" si="1"/>
        <v>575999999.99999988</v>
      </c>
      <c r="Y3" s="2">
        <f t="shared" ca="1" si="1"/>
        <v>484800000</v>
      </c>
      <c r="Z3" s="2">
        <f t="shared" ca="1" si="1"/>
        <v>575603323.60206592</v>
      </c>
      <c r="AA3" s="2">
        <f t="shared" ca="1" si="1"/>
        <v>0</v>
      </c>
      <c r="AB3" s="2">
        <f t="shared" ca="1" si="1"/>
        <v>0</v>
      </c>
      <c r="AC3" s="2">
        <f t="shared" ca="1" si="1"/>
        <v>0</v>
      </c>
    </row>
    <row r="4" spans="2:29" ht="11.45" customHeight="1" x14ac:dyDescent="0.25">
      <c r="N4" t="s">
        <v>250</v>
      </c>
      <c r="O4" s="2">
        <f t="shared" ref="O4:AC4" si="2">+IF(O1=$F$9,$F$21,VLOOKUP(O1,$B$24:$J$1224,9,0))</f>
        <v>10000000000</v>
      </c>
      <c r="P4" s="2">
        <f t="shared" si="2"/>
        <v>10000000000</v>
      </c>
      <c r="Q4" s="2">
        <f t="shared" si="2"/>
        <v>10000000000</v>
      </c>
      <c r="R4" s="2">
        <f t="shared" si="2"/>
        <v>9871595357.3963718</v>
      </c>
      <c r="S4" s="2">
        <f t="shared" si="2"/>
        <v>9735596192.0262375</v>
      </c>
      <c r="T4" s="2">
        <f t="shared" si="2"/>
        <v>9591553324.0555897</v>
      </c>
      <c r="U4" s="2">
        <f t="shared" si="2"/>
        <v>9438991006.8035583</v>
      </c>
      <c r="V4" s="2">
        <f t="shared" si="2"/>
        <v>9277405355.4400196</v>
      </c>
      <c r="W4" s="2">
        <f t="shared" si="2"/>
        <v>9106262682.748148</v>
      </c>
      <c r="X4" s="2">
        <f t="shared" si="2"/>
        <v>8983418563.8324795</v>
      </c>
      <c r="Y4" s="2" t="e">
        <f t="shared" si="2"/>
        <v>#N/A</v>
      </c>
      <c r="Z4" s="2" t="e">
        <f t="shared" si="2"/>
        <v>#N/A</v>
      </c>
      <c r="AA4" s="2" t="e">
        <f t="shared" si="2"/>
        <v>#N/A</v>
      </c>
      <c r="AB4" s="2" t="e">
        <f t="shared" si="2"/>
        <v>#N/A</v>
      </c>
      <c r="AC4" s="2" t="e">
        <f t="shared" si="2"/>
        <v>#N/A</v>
      </c>
    </row>
    <row r="5" spans="2:29" ht="11.45" customHeight="1" x14ac:dyDescent="0.25">
      <c r="B5" s="342" t="s">
        <v>147</v>
      </c>
      <c r="C5" s="344"/>
      <c r="D5" s="42"/>
      <c r="E5" s="342" t="s">
        <v>146</v>
      </c>
      <c r="F5" s="343"/>
      <c r="G5" s="344"/>
      <c r="H5" s="42"/>
      <c r="I5" s="322" t="s">
        <v>145</v>
      </c>
      <c r="J5" s="323"/>
      <c r="K5" s="323"/>
      <c r="L5" s="324"/>
    </row>
    <row r="6" spans="2:29" ht="11.45" customHeight="1" x14ac:dyDescent="0.25">
      <c r="B6" s="90" t="s">
        <v>144</v>
      </c>
      <c r="C6" s="128" t="str">
        <f>IF('Property Information'!C6="","",'Property Information'!C6)</f>
        <v/>
      </c>
      <c r="D6" s="42"/>
      <c r="E6" s="90" t="s">
        <v>143</v>
      </c>
      <c r="F6" s="336">
        <f ca="1">'Loan Analysis'!C16</f>
        <v>44154</v>
      </c>
      <c r="G6" s="335"/>
      <c r="H6" s="42"/>
      <c r="I6" s="113" t="s">
        <v>142</v>
      </c>
      <c r="J6" s="39" t="s">
        <v>141</v>
      </c>
      <c r="K6" s="39"/>
      <c r="L6" s="130" t="s">
        <v>140</v>
      </c>
    </row>
    <row r="7" spans="2:29" ht="11.45" customHeight="1" x14ac:dyDescent="0.25">
      <c r="B7" s="90" t="s">
        <v>393</v>
      </c>
      <c r="C7" s="128"/>
      <c r="D7" s="42"/>
      <c r="E7" s="90" t="s">
        <v>138</v>
      </c>
      <c r="F7" s="336">
        <f ca="1">'Loan Analysis'!C17</f>
        <v>44166</v>
      </c>
      <c r="G7" s="335"/>
      <c r="H7" s="42"/>
      <c r="I7" s="131">
        <v>12</v>
      </c>
      <c r="J7" s="45">
        <f>+IFERROR(IF(I7&lt;&gt;$F$9,VLOOKUP(I7,$B$24:$J$1224,9,0),VLOOKUP($F$9,$B$24:$G$1224,6,0)),"")</f>
        <v>10000000000</v>
      </c>
      <c r="K7" s="45"/>
      <c r="L7" s="132"/>
    </row>
    <row r="8" spans="2:29" ht="11.45" customHeight="1" x14ac:dyDescent="0.25">
      <c r="B8" s="105" t="s">
        <v>136</v>
      </c>
      <c r="C8" s="129">
        <f>'Loan Analysis'!F24</f>
        <v>10000000000</v>
      </c>
      <c r="D8" s="42"/>
      <c r="E8" s="90" t="s">
        <v>137</v>
      </c>
      <c r="F8" s="336">
        <f ca="1">EDATE(F7,1)</f>
        <v>44197</v>
      </c>
      <c r="G8" s="335"/>
      <c r="H8" s="42"/>
      <c r="I8" s="131">
        <f>+IF(I7="","",IF(12+I7&gt;$F$9,"",12+I7))</f>
        <v>24</v>
      </c>
      <c r="J8" s="45">
        <f t="shared" ref="J8:J21" si="3">+IFERROR(IF(I8&lt;&gt;$F$9,VLOOKUP(I8,$B$24:$J$1224,9,0),VLOOKUP($F$9,$B$24:$G$1224,6,0)),"")</f>
        <v>10000000000</v>
      </c>
      <c r="K8" s="45"/>
      <c r="L8" s="132"/>
    </row>
    <row r="9" spans="2:29" ht="11.45" customHeight="1" x14ac:dyDescent="0.25">
      <c r="D9" s="42"/>
      <c r="E9" s="90" t="s">
        <v>135</v>
      </c>
      <c r="F9" s="345">
        <f>'Loan Analysis'!F7</f>
        <v>120</v>
      </c>
      <c r="G9" s="335"/>
      <c r="H9" s="42"/>
      <c r="I9" s="131">
        <f t="shared" ref="I9:I21" si="4">+IF(I8="","",IF(12+I8&gt;$F$9,"",12+I8))</f>
        <v>36</v>
      </c>
      <c r="J9" s="45">
        <f t="shared" si="3"/>
        <v>10000000000</v>
      </c>
      <c r="K9" s="45"/>
      <c r="L9" s="132"/>
    </row>
    <row r="10" spans="2:29" ht="11.45" customHeight="1" x14ac:dyDescent="0.25">
      <c r="B10" s="42"/>
      <c r="C10" s="42"/>
      <c r="D10" s="42"/>
      <c r="E10" s="90" t="s">
        <v>134</v>
      </c>
      <c r="F10" s="345">
        <f>'Loan Analysis'!F8</f>
        <v>360</v>
      </c>
      <c r="G10" s="335"/>
      <c r="H10" s="42"/>
      <c r="I10" s="131">
        <f t="shared" si="4"/>
        <v>48</v>
      </c>
      <c r="J10" s="45">
        <f t="shared" si="3"/>
        <v>9871595357.3963718</v>
      </c>
      <c r="K10" s="45"/>
      <c r="L10" s="132"/>
    </row>
    <row r="11" spans="2:29" ht="11.45" customHeight="1" x14ac:dyDescent="0.25">
      <c r="B11" s="322" t="s">
        <v>133</v>
      </c>
      <c r="C11" s="324"/>
      <c r="D11" s="42"/>
      <c r="E11" s="90" t="s">
        <v>132</v>
      </c>
      <c r="F11" s="345">
        <f>'Loan Analysis'!F9</f>
        <v>36</v>
      </c>
      <c r="G11" s="335"/>
      <c r="H11" s="42"/>
      <c r="I11" s="131">
        <f t="shared" si="4"/>
        <v>60</v>
      </c>
      <c r="J11" s="45">
        <f t="shared" si="3"/>
        <v>9735596192.0262375</v>
      </c>
      <c r="K11" s="45"/>
      <c r="L11" s="132"/>
    </row>
    <row r="12" spans="2:29" ht="11.45" customHeight="1" x14ac:dyDescent="0.25">
      <c r="B12" s="90" t="s">
        <v>131</v>
      </c>
      <c r="C12" s="135" t="str">
        <f>'Loan Analysis'!F11</f>
        <v>ARM</v>
      </c>
      <c r="D12" s="42"/>
      <c r="E12" s="105" t="s">
        <v>129</v>
      </c>
      <c r="F12" s="332" t="s">
        <v>128</v>
      </c>
      <c r="G12" s="333"/>
      <c r="H12" s="42"/>
      <c r="I12" s="131">
        <f t="shared" si="4"/>
        <v>72</v>
      </c>
      <c r="J12" s="45">
        <f t="shared" si="3"/>
        <v>9591553324.0555897</v>
      </c>
      <c r="K12" s="45"/>
      <c r="L12" s="132"/>
    </row>
    <row r="13" spans="2:29" ht="11.45" customHeight="1" x14ac:dyDescent="0.25">
      <c r="B13" s="90" t="s">
        <v>127</v>
      </c>
      <c r="C13" s="135" t="str">
        <f>'Loan Analysis'!F15</f>
        <v>30/360</v>
      </c>
      <c r="D13" s="42"/>
      <c r="E13" s="42"/>
      <c r="F13" s="42"/>
      <c r="G13" s="42"/>
      <c r="H13" s="42"/>
      <c r="I13" s="131">
        <f t="shared" si="4"/>
        <v>84</v>
      </c>
      <c r="J13" s="45">
        <f t="shared" si="3"/>
        <v>9438991006.8035583</v>
      </c>
      <c r="K13" s="45"/>
      <c r="L13" s="132"/>
    </row>
    <row r="14" spans="2:29" ht="11.45" customHeight="1" x14ac:dyDescent="0.25">
      <c r="B14" s="90" t="s">
        <v>125</v>
      </c>
      <c r="C14" s="136">
        <f>'Loan Analysis'!F13</f>
        <v>5.7599999999999998E-2</v>
      </c>
      <c r="D14" s="42"/>
      <c r="E14" s="322" t="s">
        <v>124</v>
      </c>
      <c r="F14" s="323"/>
      <c r="G14" s="324"/>
      <c r="H14" s="42"/>
      <c r="I14" s="131">
        <f t="shared" si="4"/>
        <v>96</v>
      </c>
      <c r="J14" s="45">
        <f t="shared" si="3"/>
        <v>9277405355.4400196</v>
      </c>
      <c r="K14" s="45"/>
      <c r="L14" s="132"/>
    </row>
    <row r="15" spans="2:29" ht="11.45" customHeight="1" x14ac:dyDescent="0.25">
      <c r="B15" s="105" t="s">
        <v>123</v>
      </c>
      <c r="C15" s="137">
        <f ca="1">IF($F$9="","",$C$14/(DATEDIF(DATE(YEAR(TODAY()),1,1),DATE(YEAR(TODAY()),12,31),"d")+1))</f>
        <v>1.5737704918032785E-4</v>
      </c>
      <c r="D15" s="42"/>
      <c r="E15" s="90" t="s">
        <v>122</v>
      </c>
      <c r="F15" s="336">
        <f ca="1">IFERROR(IF($F$9="","",DATE(YEAR(F7),MONTH(F7)+F9-1,DAY(F7))),"")</f>
        <v>47788</v>
      </c>
      <c r="G15" s="335"/>
      <c r="H15" s="42"/>
      <c r="I15" s="131">
        <f t="shared" si="4"/>
        <v>108</v>
      </c>
      <c r="J15" s="45">
        <f t="shared" si="3"/>
        <v>9106262682.748148</v>
      </c>
      <c r="K15" s="45"/>
      <c r="L15" s="132"/>
      <c r="T15" s="24"/>
    </row>
    <row r="16" spans="2:29" ht="11.45" customHeight="1" x14ac:dyDescent="0.25">
      <c r="B16" s="42"/>
      <c r="C16" s="42"/>
      <c r="D16" s="42"/>
      <c r="E16" s="90" t="s">
        <v>121</v>
      </c>
      <c r="F16" s="334">
        <f ca="1">DATEDIF(TODAY(),F15,"M")</f>
        <v>119</v>
      </c>
      <c r="G16" s="335"/>
      <c r="H16" s="42"/>
      <c r="I16" s="133">
        <f t="shared" si="4"/>
        <v>120</v>
      </c>
      <c r="J16" s="134">
        <f t="shared" si="3"/>
        <v>8940504143.9415607</v>
      </c>
      <c r="K16" s="134"/>
      <c r="L16" s="129"/>
      <c r="T16" s="24"/>
    </row>
    <row r="17" spans="2:20" ht="11.45" customHeight="1" x14ac:dyDescent="0.25">
      <c r="B17" s="322" t="s">
        <v>120</v>
      </c>
      <c r="C17" s="324"/>
      <c r="D17" s="42"/>
      <c r="E17" s="105" t="s">
        <v>119</v>
      </c>
      <c r="F17" s="332">
        <f ca="1">MIN(DATEDIF(TODAY(),EDATE(F7,F9+F10),"m"),360)</f>
        <v>360</v>
      </c>
      <c r="G17" s="333"/>
      <c r="H17" s="42"/>
      <c r="I17" s="43" t="str">
        <f t="shared" si="4"/>
        <v/>
      </c>
      <c r="J17" s="44" t="str">
        <f t="shared" si="3"/>
        <v/>
      </c>
      <c r="K17" s="46"/>
      <c r="L17" s="46"/>
    </row>
    <row r="18" spans="2:20" ht="11.45" customHeight="1" x14ac:dyDescent="0.25">
      <c r="B18" s="90" t="s">
        <v>118</v>
      </c>
      <c r="C18" s="132">
        <f ca="1">IFERROR(IF(F17="","",IF($F$9="","",IF(F11=F9,HLOOKUP(C13,P22:T25,3,FALSE),-1*PMT($C$14/12,$F$10,$C$8)))),0)</f>
        <v>58420827.377258949</v>
      </c>
      <c r="D18" s="42"/>
      <c r="E18" s="42"/>
      <c r="F18" s="42"/>
      <c r="G18" s="42"/>
      <c r="H18" s="42"/>
      <c r="I18" s="43" t="str">
        <f t="shared" si="4"/>
        <v/>
      </c>
      <c r="J18" s="44" t="str">
        <f t="shared" si="3"/>
        <v/>
      </c>
      <c r="K18" s="46"/>
      <c r="L18" s="46"/>
      <c r="T18" s="24"/>
    </row>
    <row r="19" spans="2:20" ht="11.45" customHeight="1" x14ac:dyDescent="0.25">
      <c r="B19" s="90" t="s">
        <v>117</v>
      </c>
      <c r="C19" s="132">
        <f ca="1">IF($F$9=0,"",C18*12)</f>
        <v>701049928.52710736</v>
      </c>
      <c r="D19" s="42"/>
      <c r="E19" s="337" t="s">
        <v>116</v>
      </c>
      <c r="F19" s="338"/>
      <c r="G19" s="339"/>
      <c r="H19" s="42"/>
      <c r="I19" s="43" t="str">
        <f t="shared" si="4"/>
        <v/>
      </c>
      <c r="J19" s="44" t="str">
        <f t="shared" si="3"/>
        <v/>
      </c>
      <c r="K19" s="46"/>
      <c r="L19" s="46"/>
    </row>
    <row r="20" spans="2:20" ht="11.45" customHeight="1" x14ac:dyDescent="0.25">
      <c r="B20" s="90" t="s">
        <v>115</v>
      </c>
      <c r="C20" s="138">
        <f ca="1">IFERROR(IF($F$9=0,"",C19/C8),0)</f>
        <v>7.010499285271074E-2</v>
      </c>
      <c r="D20" s="42"/>
      <c r="E20" s="90" t="s">
        <v>136</v>
      </c>
      <c r="F20" s="340">
        <f>C8</f>
        <v>10000000000</v>
      </c>
      <c r="G20" s="341"/>
      <c r="H20" s="42"/>
      <c r="I20" s="43" t="str">
        <f t="shared" si="4"/>
        <v/>
      </c>
      <c r="J20" s="44" t="str">
        <f t="shared" si="3"/>
        <v/>
      </c>
      <c r="K20" s="46"/>
      <c r="L20" s="46"/>
      <c r="P20" t="s">
        <v>252</v>
      </c>
      <c r="S20" s="25"/>
    </row>
    <row r="21" spans="2:20" ht="11.45" customHeight="1" x14ac:dyDescent="0.25">
      <c r="B21" s="105"/>
      <c r="C21" s="139"/>
      <c r="D21" s="42"/>
      <c r="E21" s="105" t="s">
        <v>114</v>
      </c>
      <c r="F21" s="330">
        <f>IFERROR(VLOOKUP($F$9,$B$24:$I$439,8,FALSE),0)</f>
        <v>8983418563.8324795</v>
      </c>
      <c r="G21" s="331"/>
      <c r="H21" s="42"/>
      <c r="I21" s="43" t="str">
        <f t="shared" si="4"/>
        <v/>
      </c>
      <c r="J21" s="44" t="str">
        <f t="shared" si="3"/>
        <v/>
      </c>
      <c r="K21" s="46"/>
      <c r="L21" s="46"/>
      <c r="S21" s="25"/>
    </row>
    <row r="22" spans="2:20" ht="11.45" customHeight="1" x14ac:dyDescent="0.25">
      <c r="B22" s="42"/>
      <c r="C22" s="42"/>
      <c r="D22" s="42"/>
      <c r="E22" s="42"/>
      <c r="F22" s="42"/>
      <c r="G22" s="42"/>
      <c r="H22" s="42"/>
      <c r="I22" s="42"/>
      <c r="J22" s="42"/>
      <c r="K22" s="42"/>
      <c r="L22" s="42"/>
      <c r="N22" t="s">
        <v>251</v>
      </c>
      <c r="P22" s="2" t="s">
        <v>234</v>
      </c>
      <c r="Q22" s="2" t="s">
        <v>126</v>
      </c>
      <c r="R22" s="2" t="s">
        <v>239</v>
      </c>
    </row>
    <row r="23" spans="2:20" ht="11.45" customHeight="1" x14ac:dyDescent="0.25">
      <c r="B23" s="84" t="s">
        <v>113</v>
      </c>
      <c r="C23" s="84" t="s">
        <v>112</v>
      </c>
      <c r="D23" s="84" t="s">
        <v>111</v>
      </c>
      <c r="E23" s="84" t="s">
        <v>110</v>
      </c>
      <c r="F23" s="84" t="s">
        <v>109</v>
      </c>
      <c r="G23" s="84" t="s">
        <v>108</v>
      </c>
      <c r="H23" s="84" t="s">
        <v>107</v>
      </c>
      <c r="I23" s="84" t="s">
        <v>106</v>
      </c>
      <c r="J23" s="84" t="s">
        <v>105</v>
      </c>
      <c r="K23" s="85" t="s">
        <v>104</v>
      </c>
      <c r="L23" s="85" t="s">
        <v>103</v>
      </c>
    </row>
    <row r="24" spans="2:20" ht="11.45" customHeight="1" x14ac:dyDescent="0.25">
      <c r="B24" s="86">
        <f>IF($F$9=0,"",0)</f>
        <v>0</v>
      </c>
      <c r="C24" s="86" t="s">
        <v>102</v>
      </c>
      <c r="D24" s="87">
        <f ca="1">EDATE(F7,-1)-F6</f>
        <v>-18</v>
      </c>
      <c r="E24" s="157">
        <f>E25</f>
        <v>10000000000</v>
      </c>
      <c r="F24" s="156">
        <f>F25</f>
        <v>5.7599999999999998E-2</v>
      </c>
      <c r="G24" s="46"/>
      <c r="H24" s="44">
        <f t="shared" ref="H24:H87" ca="1" si="5">IF(B24="","",IF($C$13=$P$22,P24,IF($C$13=$Q$22,Q24,IF($C$13=$R$22,R24,IF($C$13=$S$22,S24,"")))))</f>
        <v>-28800000</v>
      </c>
      <c r="I24" s="44">
        <f ca="1">H24</f>
        <v>-28800000</v>
      </c>
      <c r="J24" s="44">
        <f>IF($F$9="","",C8)</f>
        <v>10000000000</v>
      </c>
      <c r="K24" s="46">
        <f t="shared" ref="K24:K87" si="6">IF(B24="","",$F$9-B24)</f>
        <v>120</v>
      </c>
      <c r="L24" s="46">
        <f>IF(B24="","",$F$10-B24)</f>
        <v>360</v>
      </c>
      <c r="P24" s="2">
        <f ca="1">IF(B25="","",F24*(D24/360)*J24)</f>
        <v>-28800000</v>
      </c>
      <c r="Q24" s="2">
        <f ca="1">IF(B24="","",F24*(D24/360)*J24)</f>
        <v>-28800000</v>
      </c>
      <c r="R24" s="2">
        <f ca="1">IF(B24="","",F24*(D24/(DATE(YEAR(C25),12,31)-DATE(YEAR(C25),1,1)+1))*J24)</f>
        <v>-28327868.852459017</v>
      </c>
    </row>
    <row r="25" spans="2:20" ht="11.45" customHeight="1" x14ac:dyDescent="0.25">
      <c r="B25" s="86">
        <f>IF(OR(B24=$F$9,B24&gt;$F$9),"",B24+1)</f>
        <v>1</v>
      </c>
      <c r="C25" s="88">
        <f ca="1">IF($F$9="","",$F$7)</f>
        <v>44166</v>
      </c>
      <c r="D25" s="87">
        <f ca="1">IF(B25="","",C25-EDATE(C25,-1))</f>
        <v>30</v>
      </c>
      <c r="E25" s="157">
        <f t="shared" ref="E25:E88" si="7">IF(B25="","",J24)</f>
        <v>10000000000</v>
      </c>
      <c r="F25" s="156">
        <f t="shared" ref="F25:F88" si="8">IF(B25="","",$C$14)</f>
        <v>5.7599999999999998E-2</v>
      </c>
      <c r="G25" s="78">
        <f t="shared" ref="G25:G88" si="9">IF(B25&lt;$F$9,I25-H25,IF(B25=$F$9,J24,""))</f>
        <v>0</v>
      </c>
      <c r="H25" s="44">
        <f t="shared" si="5"/>
        <v>47999999.999999993</v>
      </c>
      <c r="I25" s="44">
        <f t="shared" ref="I25:I88" si="10">IF(B25="","",IF(OR(B25&lt;$F$11,B25=$F$11),H25,IF(B25=$F$9,J24+H25,IF($F$12="Monthly",-1*PMT($C$14/12,$F$10,$C$8),IF($F$12="Quarterly",-1*PMT($C$14/4,$F$10,$C$8),IF($F$12="Semi-Annually",-1*PMT($C$14/2,$F$10,$C$8),IF($F$12="Annually",-1*PMT($C$14,$F$10,$C$8))))))))</f>
        <v>47999999.999999993</v>
      </c>
      <c r="J25" s="44">
        <f t="shared" ref="J25:J88" si="11">IF(B25="","",IF(B25=$F$9,0,J24-G25))</f>
        <v>10000000000</v>
      </c>
      <c r="K25" s="46">
        <f t="shared" si="6"/>
        <v>119</v>
      </c>
      <c r="L25" s="46">
        <f t="shared" ref="L25:L88" si="12">IF(B25="","",IF(G25=0,L24,IF(G25&gt;0,L24-1,$F$139-B25)))</f>
        <v>360</v>
      </c>
      <c r="M25" s="26">
        <f t="shared" ref="M25:M88" ca="1" si="13">IF($F$9="","",IF(OR(B26&gt;$F$9,B26=""),"",DATE(YEAR(C25),MONTH(C25),DAY(C25))-DATE(YEAR(C25)-1,MONTH(C25),DAY(C25))))</f>
        <v>366</v>
      </c>
      <c r="N25" s="2">
        <f t="shared" ref="N25:N88" ca="1" si="14">IF($F$9="","",IF(OR(B26&gt;$F$9,B26=""),"",F25/M25))</f>
        <v>1.5737704918032785E-4</v>
      </c>
      <c r="P25" s="2">
        <f t="shared" ref="P25:P88" ca="1" si="15">IF(B25="","",IF($F$12="Monthly",F24*(D24/360)*J24,IF($F$12="Quarterly",F24*(D24/360)*3*J24,IF($F$12="Semi-Annually",F24*(D24/360)*6*J24,IF($F$12="Annually",F24*(D24/360)*12*J24)))))</f>
        <v>-28800000</v>
      </c>
      <c r="Q25" s="2">
        <f t="shared" ref="Q25:Q88" si="16">IF(B25="","",IF($F$12="Monthly",F25*(30/360)*J24,IF($F$12="Quarterly",F25*(30/360)*3*J24,IF($F$12="Semi-Annually",F25*(30/360)*6*J24,IF($F$12="Annually",F25*(30/360)*12*J24)))))</f>
        <v>47999999.999999993</v>
      </c>
      <c r="R25" s="2">
        <f t="shared" ref="R25:R88" ca="1" si="17">IF(B25="","",IF($F$12="Monthly",F25*(D25/365)*J24,IF($F$12="Quarterly",F25*(D25/365)*J24,IF($F$12="Semi-Annually",F25*(D25/365)*J24,IF($F$12="Annually",F25*(D25/365)*J24)))))</f>
        <v>47342465.753424659</v>
      </c>
      <c r="S25" s="2">
        <f t="shared" ref="S25:S88" ca="1" si="18">IF(B20="","",IF($F$12="Monthly",F25*(D25/360)*J24,IF($F$12="Quarterly",F25*(D25/360)*J24,IF($F$12="Semi-Annually",F25*(D25/360)*J24,IF($F$12="Annually",F25*(D25/360)*J24)))))</f>
        <v>47999999.999999993</v>
      </c>
      <c r="T25" s="2">
        <f t="shared" ref="T25:T88" ca="1" si="19">IF(B25="","",IF($F$12="Monthly",F25*(D25/M25)*J24,IF($F$12="Quarterly",F25*(D25/M25)*J24,IF($F$12="Semi-Annually",F25*(D25/M25)*J24,IF($F$12="Annually",F25*(D25/M25)*J24)))))</f>
        <v>47213114.754098356</v>
      </c>
    </row>
    <row r="26" spans="2:20" ht="11.45" customHeight="1" x14ac:dyDescent="0.25">
      <c r="B26" s="86">
        <f t="shared" ref="B26:B89" si="20">IF(OR(B25=$F$9,B25&gt;$F$9),"",B25+1)</f>
        <v>2</v>
      </c>
      <c r="C26" s="88">
        <f ca="1">IF($F$9="","",IF(B26&gt;$F$9,"",IF($F$12="Monthly",DATE(YEAR(C25),MONTH(C25)+1,DAY(C25)),IF($F$12="Quarterly",DATE(YEAR(C25),MONTH(C25)+3,DAY(C25)),IF($F$12="Semi-Annually",DATE(YEAR(C25),MONTH(C25)+6,DAY(C25)),IF($F$12="Annually",DATE(YEAR(C25)+1,MONTH(C25),DAY(C25))))))))</f>
        <v>44197</v>
      </c>
      <c r="D26" s="87">
        <f t="shared" ref="D26:D89" ca="1" si="21">IF(B26="","",C26-C25)</f>
        <v>31</v>
      </c>
      <c r="E26" s="157">
        <f t="shared" si="7"/>
        <v>10000000000</v>
      </c>
      <c r="F26" s="156">
        <f t="shared" si="8"/>
        <v>5.7599999999999998E-2</v>
      </c>
      <c r="G26" s="78">
        <f t="shared" si="9"/>
        <v>0</v>
      </c>
      <c r="H26" s="44">
        <f t="shared" si="5"/>
        <v>47999999.999999993</v>
      </c>
      <c r="I26" s="44">
        <f t="shared" si="10"/>
        <v>47999999.999999993</v>
      </c>
      <c r="J26" s="44">
        <f t="shared" si="11"/>
        <v>10000000000</v>
      </c>
      <c r="K26" s="46">
        <f t="shared" si="6"/>
        <v>118</v>
      </c>
      <c r="L26" s="46">
        <f t="shared" si="12"/>
        <v>360</v>
      </c>
      <c r="M26" s="26">
        <f t="shared" ca="1" si="13"/>
        <v>366</v>
      </c>
      <c r="N26" s="2">
        <f t="shared" ca="1" si="14"/>
        <v>1.5737704918032785E-4</v>
      </c>
      <c r="P26" s="2">
        <f t="shared" ca="1" si="15"/>
        <v>47999999.999999993</v>
      </c>
      <c r="Q26" s="2">
        <f t="shared" si="16"/>
        <v>47999999.999999993</v>
      </c>
      <c r="R26" s="2">
        <f t="shared" ca="1" si="17"/>
        <v>48920547.945205472</v>
      </c>
      <c r="S26" s="2" t="str">
        <f t="shared" si="18"/>
        <v/>
      </c>
      <c r="T26" s="2">
        <f t="shared" ca="1" si="19"/>
        <v>48786885.245901637</v>
      </c>
    </row>
    <row r="27" spans="2:20" ht="11.45" customHeight="1" x14ac:dyDescent="0.25">
      <c r="B27" s="86">
        <f t="shared" si="20"/>
        <v>3</v>
      </c>
      <c r="C27" s="88">
        <f t="shared" ref="C27:C90" ca="1" si="22">IF($F$9="","",IF(B27&gt;$F$9,"",IF($F$12="Monthly",DATE(YEAR(C26),MONTH(C26)+1,DAY(C26)),IF($F$12="Quarterly",DATE(YEAR(C26),MONTH(C26)+3,DAY(C26)),IF($F$12="Semi-Annually",DATE(YEAR(C26),MONTH(C26)+6,DAY(C26)),IF($F$12="Annually",DATE(YEAR(C26)+1,MONTH(C26),DAY(C26))))))))</f>
        <v>44228</v>
      </c>
      <c r="D27" s="87">
        <f t="shared" ca="1" si="21"/>
        <v>31</v>
      </c>
      <c r="E27" s="157">
        <f t="shared" si="7"/>
        <v>10000000000</v>
      </c>
      <c r="F27" s="156">
        <f t="shared" si="8"/>
        <v>5.7599999999999998E-2</v>
      </c>
      <c r="G27" s="78">
        <f t="shared" si="9"/>
        <v>0</v>
      </c>
      <c r="H27" s="44">
        <f t="shared" si="5"/>
        <v>47999999.999999993</v>
      </c>
      <c r="I27" s="44">
        <f t="shared" si="10"/>
        <v>47999999.999999993</v>
      </c>
      <c r="J27" s="44">
        <f t="shared" si="11"/>
        <v>10000000000</v>
      </c>
      <c r="K27" s="46">
        <f t="shared" si="6"/>
        <v>117</v>
      </c>
      <c r="L27" s="46">
        <f t="shared" si="12"/>
        <v>360</v>
      </c>
      <c r="M27" s="26">
        <f t="shared" ca="1" si="13"/>
        <v>366</v>
      </c>
      <c r="N27" s="2">
        <f t="shared" ca="1" si="14"/>
        <v>1.5737704918032785E-4</v>
      </c>
      <c r="P27" s="2">
        <f t="shared" ca="1" si="15"/>
        <v>49600000</v>
      </c>
      <c r="Q27" s="2">
        <f t="shared" si="16"/>
        <v>47999999.999999993</v>
      </c>
      <c r="R27" s="2">
        <f t="shared" ca="1" si="17"/>
        <v>48920547.945205472</v>
      </c>
      <c r="S27" s="2" t="str">
        <f t="shared" si="18"/>
        <v/>
      </c>
      <c r="T27" s="2">
        <f t="shared" ca="1" si="19"/>
        <v>48786885.245901637</v>
      </c>
    </row>
    <row r="28" spans="2:20" ht="11.45" customHeight="1" x14ac:dyDescent="0.25">
      <c r="B28" s="86">
        <f t="shared" si="20"/>
        <v>4</v>
      </c>
      <c r="C28" s="88">
        <f t="shared" ca="1" si="22"/>
        <v>44256</v>
      </c>
      <c r="D28" s="87">
        <f t="shared" ca="1" si="21"/>
        <v>28</v>
      </c>
      <c r="E28" s="157">
        <f t="shared" si="7"/>
        <v>10000000000</v>
      </c>
      <c r="F28" s="156">
        <f t="shared" si="8"/>
        <v>5.7599999999999998E-2</v>
      </c>
      <c r="G28" s="78">
        <f t="shared" si="9"/>
        <v>0</v>
      </c>
      <c r="H28" s="44">
        <f t="shared" si="5"/>
        <v>47999999.999999993</v>
      </c>
      <c r="I28" s="44">
        <f t="shared" si="10"/>
        <v>47999999.999999993</v>
      </c>
      <c r="J28" s="44">
        <f t="shared" si="11"/>
        <v>10000000000</v>
      </c>
      <c r="K28" s="46">
        <f t="shared" si="6"/>
        <v>116</v>
      </c>
      <c r="L28" s="46">
        <f t="shared" si="12"/>
        <v>360</v>
      </c>
      <c r="M28" s="26">
        <f t="shared" ca="1" si="13"/>
        <v>365</v>
      </c>
      <c r="N28" s="2">
        <f t="shared" ca="1" si="14"/>
        <v>1.5780821917808218E-4</v>
      </c>
      <c r="P28" s="2">
        <f t="shared" ca="1" si="15"/>
        <v>49600000</v>
      </c>
      <c r="Q28" s="2">
        <f t="shared" si="16"/>
        <v>47999999.999999993</v>
      </c>
      <c r="R28" s="2">
        <f t="shared" ca="1" si="17"/>
        <v>44186301.369863011</v>
      </c>
      <c r="S28" s="2">
        <f t="shared" ca="1" si="18"/>
        <v>44799999.999999993</v>
      </c>
      <c r="T28" s="2">
        <f t="shared" ca="1" si="19"/>
        <v>44186301.369863011</v>
      </c>
    </row>
    <row r="29" spans="2:20" ht="11.45" customHeight="1" x14ac:dyDescent="0.25">
      <c r="B29" s="86">
        <f t="shared" si="20"/>
        <v>5</v>
      </c>
      <c r="C29" s="88">
        <f t="shared" ca="1" si="22"/>
        <v>44287</v>
      </c>
      <c r="D29" s="87">
        <f t="shared" ca="1" si="21"/>
        <v>31</v>
      </c>
      <c r="E29" s="157">
        <f t="shared" si="7"/>
        <v>10000000000</v>
      </c>
      <c r="F29" s="156">
        <f t="shared" si="8"/>
        <v>5.7599999999999998E-2</v>
      </c>
      <c r="G29" s="78">
        <f t="shared" si="9"/>
        <v>0</v>
      </c>
      <c r="H29" s="44">
        <f t="shared" si="5"/>
        <v>47999999.999999993</v>
      </c>
      <c r="I29" s="44">
        <f t="shared" si="10"/>
        <v>47999999.999999993</v>
      </c>
      <c r="J29" s="44">
        <f t="shared" si="11"/>
        <v>10000000000</v>
      </c>
      <c r="K29" s="46">
        <f t="shared" si="6"/>
        <v>115</v>
      </c>
      <c r="L29" s="46">
        <f t="shared" si="12"/>
        <v>360</v>
      </c>
      <c r="M29" s="26">
        <f t="shared" ca="1" si="13"/>
        <v>365</v>
      </c>
      <c r="N29" s="2">
        <f t="shared" ca="1" si="14"/>
        <v>1.5780821917808218E-4</v>
      </c>
      <c r="P29" s="2">
        <f t="shared" ca="1" si="15"/>
        <v>44799999.999999993</v>
      </c>
      <c r="Q29" s="2">
        <f t="shared" si="16"/>
        <v>47999999.999999993</v>
      </c>
      <c r="R29" s="2">
        <f t="shared" ca="1" si="17"/>
        <v>48920547.945205472</v>
      </c>
      <c r="S29" s="2">
        <f t="shared" ca="1" si="18"/>
        <v>49600000</v>
      </c>
      <c r="T29" s="2">
        <f t="shared" ca="1" si="19"/>
        <v>48920547.945205472</v>
      </c>
    </row>
    <row r="30" spans="2:20" ht="11.45" customHeight="1" x14ac:dyDescent="0.25">
      <c r="B30" s="86">
        <f t="shared" si="20"/>
        <v>6</v>
      </c>
      <c r="C30" s="88">
        <f t="shared" ca="1" si="22"/>
        <v>44317</v>
      </c>
      <c r="D30" s="87">
        <f t="shared" ca="1" si="21"/>
        <v>30</v>
      </c>
      <c r="E30" s="157">
        <f t="shared" si="7"/>
        <v>10000000000</v>
      </c>
      <c r="F30" s="156">
        <f t="shared" si="8"/>
        <v>5.7599999999999998E-2</v>
      </c>
      <c r="G30" s="78">
        <f t="shared" si="9"/>
        <v>0</v>
      </c>
      <c r="H30" s="44">
        <f t="shared" si="5"/>
        <v>47999999.999999993</v>
      </c>
      <c r="I30" s="44">
        <f t="shared" si="10"/>
        <v>47999999.999999993</v>
      </c>
      <c r="J30" s="44">
        <f t="shared" si="11"/>
        <v>10000000000</v>
      </c>
      <c r="K30" s="46">
        <f t="shared" si="6"/>
        <v>114</v>
      </c>
      <c r="L30" s="46">
        <f t="shared" si="12"/>
        <v>360</v>
      </c>
      <c r="M30" s="26">
        <f t="shared" ca="1" si="13"/>
        <v>365</v>
      </c>
      <c r="N30" s="2">
        <f t="shared" ca="1" si="14"/>
        <v>1.5780821917808218E-4</v>
      </c>
      <c r="P30" s="2">
        <f t="shared" ca="1" si="15"/>
        <v>49600000</v>
      </c>
      <c r="Q30" s="2">
        <f t="shared" si="16"/>
        <v>47999999.999999993</v>
      </c>
      <c r="R30" s="2">
        <f t="shared" ca="1" si="17"/>
        <v>47342465.753424659</v>
      </c>
      <c r="S30" s="2">
        <f t="shared" ca="1" si="18"/>
        <v>47999999.999999993</v>
      </c>
      <c r="T30" s="2">
        <f t="shared" ca="1" si="19"/>
        <v>47342465.753424659</v>
      </c>
    </row>
    <row r="31" spans="2:20" ht="11.45" customHeight="1" x14ac:dyDescent="0.25">
      <c r="B31" s="86">
        <f t="shared" si="20"/>
        <v>7</v>
      </c>
      <c r="C31" s="88">
        <f t="shared" ca="1" si="22"/>
        <v>44348</v>
      </c>
      <c r="D31" s="87">
        <f t="shared" ca="1" si="21"/>
        <v>31</v>
      </c>
      <c r="E31" s="157">
        <f t="shared" si="7"/>
        <v>10000000000</v>
      </c>
      <c r="F31" s="156">
        <f t="shared" si="8"/>
        <v>5.7599999999999998E-2</v>
      </c>
      <c r="G31" s="78">
        <f t="shared" si="9"/>
        <v>0</v>
      </c>
      <c r="H31" s="44">
        <f t="shared" si="5"/>
        <v>47999999.999999993</v>
      </c>
      <c r="I31" s="44">
        <f t="shared" si="10"/>
        <v>47999999.999999993</v>
      </c>
      <c r="J31" s="44">
        <f t="shared" si="11"/>
        <v>10000000000</v>
      </c>
      <c r="K31" s="46">
        <f t="shared" si="6"/>
        <v>113</v>
      </c>
      <c r="L31" s="46">
        <f t="shared" si="12"/>
        <v>360</v>
      </c>
      <c r="M31" s="26">
        <f t="shared" ca="1" si="13"/>
        <v>365</v>
      </c>
      <c r="N31" s="2">
        <f t="shared" ca="1" si="14"/>
        <v>1.5780821917808218E-4</v>
      </c>
      <c r="P31" s="2">
        <f t="shared" ca="1" si="15"/>
        <v>47999999.999999993</v>
      </c>
      <c r="Q31" s="2">
        <f t="shared" si="16"/>
        <v>47999999.999999993</v>
      </c>
      <c r="R31" s="2">
        <f t="shared" ca="1" si="17"/>
        <v>48920547.945205472</v>
      </c>
      <c r="S31" s="2">
        <f t="shared" ca="1" si="18"/>
        <v>49600000</v>
      </c>
      <c r="T31" s="2">
        <f t="shared" ca="1" si="19"/>
        <v>48920547.945205472</v>
      </c>
    </row>
    <row r="32" spans="2:20" ht="11.45" customHeight="1" x14ac:dyDescent="0.25">
      <c r="B32" s="86">
        <f t="shared" si="20"/>
        <v>8</v>
      </c>
      <c r="C32" s="88">
        <f t="shared" ca="1" si="22"/>
        <v>44378</v>
      </c>
      <c r="D32" s="87">
        <f t="shared" ca="1" si="21"/>
        <v>30</v>
      </c>
      <c r="E32" s="157">
        <f t="shared" si="7"/>
        <v>10000000000</v>
      </c>
      <c r="F32" s="156">
        <f t="shared" si="8"/>
        <v>5.7599999999999998E-2</v>
      </c>
      <c r="G32" s="78">
        <f t="shared" si="9"/>
        <v>0</v>
      </c>
      <c r="H32" s="44">
        <f t="shared" si="5"/>
        <v>47999999.999999993</v>
      </c>
      <c r="I32" s="44">
        <f t="shared" si="10"/>
        <v>47999999.999999993</v>
      </c>
      <c r="J32" s="44">
        <f t="shared" si="11"/>
        <v>10000000000</v>
      </c>
      <c r="K32" s="46">
        <f t="shared" si="6"/>
        <v>112</v>
      </c>
      <c r="L32" s="46">
        <f t="shared" si="12"/>
        <v>360</v>
      </c>
      <c r="M32" s="26">
        <f t="shared" ca="1" si="13"/>
        <v>365</v>
      </c>
      <c r="N32" s="2">
        <f t="shared" ca="1" si="14"/>
        <v>1.5780821917808218E-4</v>
      </c>
      <c r="P32" s="2">
        <f t="shared" ca="1" si="15"/>
        <v>49600000</v>
      </c>
      <c r="Q32" s="2">
        <f t="shared" si="16"/>
        <v>47999999.999999993</v>
      </c>
      <c r="R32" s="2">
        <f t="shared" ca="1" si="17"/>
        <v>47342465.753424659</v>
      </c>
      <c r="S32" s="2">
        <f t="shared" ca="1" si="18"/>
        <v>47999999.999999993</v>
      </c>
      <c r="T32" s="2">
        <f t="shared" ca="1" si="19"/>
        <v>47342465.753424659</v>
      </c>
    </row>
    <row r="33" spans="2:20" ht="11.45" customHeight="1" x14ac:dyDescent="0.25">
      <c r="B33" s="86">
        <f t="shared" si="20"/>
        <v>9</v>
      </c>
      <c r="C33" s="88">
        <f t="shared" ca="1" si="22"/>
        <v>44409</v>
      </c>
      <c r="D33" s="87">
        <f t="shared" ca="1" si="21"/>
        <v>31</v>
      </c>
      <c r="E33" s="157">
        <f t="shared" si="7"/>
        <v>10000000000</v>
      </c>
      <c r="F33" s="156">
        <f t="shared" si="8"/>
        <v>5.7599999999999998E-2</v>
      </c>
      <c r="G33" s="78">
        <f t="shared" si="9"/>
        <v>0</v>
      </c>
      <c r="H33" s="44">
        <f t="shared" si="5"/>
        <v>47999999.999999993</v>
      </c>
      <c r="I33" s="44">
        <f t="shared" si="10"/>
        <v>47999999.999999993</v>
      </c>
      <c r="J33" s="44">
        <f t="shared" si="11"/>
        <v>10000000000</v>
      </c>
      <c r="K33" s="46">
        <f t="shared" si="6"/>
        <v>111</v>
      </c>
      <c r="L33" s="46">
        <f t="shared" si="12"/>
        <v>360</v>
      </c>
      <c r="M33" s="26">
        <f t="shared" ca="1" si="13"/>
        <v>365</v>
      </c>
      <c r="N33" s="2">
        <f t="shared" ca="1" si="14"/>
        <v>1.5780821917808218E-4</v>
      </c>
      <c r="P33" s="2">
        <f t="shared" ca="1" si="15"/>
        <v>47999999.999999993</v>
      </c>
      <c r="Q33" s="2">
        <f t="shared" si="16"/>
        <v>47999999.999999993</v>
      </c>
      <c r="R33" s="2">
        <f t="shared" ca="1" si="17"/>
        <v>48920547.945205472</v>
      </c>
      <c r="S33" s="2">
        <f t="shared" ca="1" si="18"/>
        <v>49600000</v>
      </c>
      <c r="T33" s="2">
        <f t="shared" ca="1" si="19"/>
        <v>48920547.945205472</v>
      </c>
    </row>
    <row r="34" spans="2:20" ht="11.45" customHeight="1" x14ac:dyDescent="0.25">
      <c r="B34" s="86">
        <f t="shared" si="20"/>
        <v>10</v>
      </c>
      <c r="C34" s="88">
        <f t="shared" ca="1" si="22"/>
        <v>44440</v>
      </c>
      <c r="D34" s="87">
        <f t="shared" ca="1" si="21"/>
        <v>31</v>
      </c>
      <c r="E34" s="157">
        <f t="shared" si="7"/>
        <v>10000000000</v>
      </c>
      <c r="F34" s="156">
        <f t="shared" si="8"/>
        <v>5.7599999999999998E-2</v>
      </c>
      <c r="G34" s="78">
        <f t="shared" si="9"/>
        <v>0</v>
      </c>
      <c r="H34" s="44">
        <f t="shared" si="5"/>
        <v>47999999.999999993</v>
      </c>
      <c r="I34" s="44">
        <f t="shared" si="10"/>
        <v>47999999.999999993</v>
      </c>
      <c r="J34" s="44">
        <f t="shared" si="11"/>
        <v>10000000000</v>
      </c>
      <c r="K34" s="46">
        <f t="shared" si="6"/>
        <v>110</v>
      </c>
      <c r="L34" s="46">
        <f t="shared" si="12"/>
        <v>360</v>
      </c>
      <c r="M34" s="26">
        <f t="shared" ca="1" si="13"/>
        <v>365</v>
      </c>
      <c r="N34" s="2">
        <f t="shared" ca="1" si="14"/>
        <v>1.5780821917808218E-4</v>
      </c>
      <c r="P34" s="2">
        <f t="shared" ca="1" si="15"/>
        <v>49600000</v>
      </c>
      <c r="Q34" s="2">
        <f t="shared" si="16"/>
        <v>47999999.999999993</v>
      </c>
      <c r="R34" s="2">
        <f t="shared" ca="1" si="17"/>
        <v>48920547.945205472</v>
      </c>
      <c r="S34" s="2">
        <f t="shared" ca="1" si="18"/>
        <v>49600000</v>
      </c>
      <c r="T34" s="2">
        <f t="shared" ca="1" si="19"/>
        <v>48920547.945205472</v>
      </c>
    </row>
    <row r="35" spans="2:20" ht="11.45" customHeight="1" x14ac:dyDescent="0.25">
      <c r="B35" s="86">
        <f t="shared" si="20"/>
        <v>11</v>
      </c>
      <c r="C35" s="88">
        <f t="shared" ca="1" si="22"/>
        <v>44470</v>
      </c>
      <c r="D35" s="87">
        <f t="shared" ca="1" si="21"/>
        <v>30</v>
      </c>
      <c r="E35" s="157">
        <f t="shared" si="7"/>
        <v>10000000000</v>
      </c>
      <c r="F35" s="156">
        <f t="shared" si="8"/>
        <v>5.7599999999999998E-2</v>
      </c>
      <c r="G35" s="78">
        <f t="shared" si="9"/>
        <v>0</v>
      </c>
      <c r="H35" s="44">
        <f t="shared" si="5"/>
        <v>47999999.999999993</v>
      </c>
      <c r="I35" s="44">
        <f t="shared" si="10"/>
        <v>47999999.999999993</v>
      </c>
      <c r="J35" s="44">
        <f t="shared" si="11"/>
        <v>10000000000</v>
      </c>
      <c r="K35" s="46">
        <f t="shared" si="6"/>
        <v>109</v>
      </c>
      <c r="L35" s="46">
        <f t="shared" si="12"/>
        <v>360</v>
      </c>
      <c r="M35" s="26">
        <f t="shared" ca="1" si="13"/>
        <v>365</v>
      </c>
      <c r="N35" s="2">
        <f t="shared" ca="1" si="14"/>
        <v>1.5780821917808218E-4</v>
      </c>
      <c r="P35" s="2">
        <f t="shared" ca="1" si="15"/>
        <v>49600000</v>
      </c>
      <c r="Q35" s="2">
        <f t="shared" si="16"/>
        <v>47999999.999999993</v>
      </c>
      <c r="R35" s="2">
        <f t="shared" ca="1" si="17"/>
        <v>47342465.753424659</v>
      </c>
      <c r="S35" s="2">
        <f t="shared" ca="1" si="18"/>
        <v>47999999.999999993</v>
      </c>
      <c r="T35" s="2">
        <f t="shared" ca="1" si="19"/>
        <v>47342465.753424659</v>
      </c>
    </row>
    <row r="36" spans="2:20" ht="11.45" customHeight="1" x14ac:dyDescent="0.25">
      <c r="B36" s="86">
        <f t="shared" si="20"/>
        <v>12</v>
      </c>
      <c r="C36" s="88">
        <f t="shared" ca="1" si="22"/>
        <v>44501</v>
      </c>
      <c r="D36" s="87">
        <f t="shared" ca="1" si="21"/>
        <v>31</v>
      </c>
      <c r="E36" s="157">
        <f t="shared" si="7"/>
        <v>10000000000</v>
      </c>
      <c r="F36" s="156">
        <f t="shared" si="8"/>
        <v>5.7599999999999998E-2</v>
      </c>
      <c r="G36" s="78">
        <f t="shared" si="9"/>
        <v>0</v>
      </c>
      <c r="H36" s="44">
        <f t="shared" si="5"/>
        <v>47999999.999999993</v>
      </c>
      <c r="I36" s="44">
        <f t="shared" si="10"/>
        <v>47999999.999999993</v>
      </c>
      <c r="J36" s="44">
        <f t="shared" si="11"/>
        <v>10000000000</v>
      </c>
      <c r="K36" s="46">
        <f t="shared" si="6"/>
        <v>108</v>
      </c>
      <c r="L36" s="46">
        <f t="shared" si="12"/>
        <v>360</v>
      </c>
      <c r="M36" s="26">
        <f t="shared" ca="1" si="13"/>
        <v>365</v>
      </c>
      <c r="N36" s="2">
        <f t="shared" ca="1" si="14"/>
        <v>1.5780821917808218E-4</v>
      </c>
      <c r="P36" s="2">
        <f t="shared" ca="1" si="15"/>
        <v>47999999.999999993</v>
      </c>
      <c r="Q36" s="2">
        <f t="shared" si="16"/>
        <v>47999999.999999993</v>
      </c>
      <c r="R36" s="2">
        <f t="shared" ca="1" si="17"/>
        <v>48920547.945205472</v>
      </c>
      <c r="S36" s="2">
        <f t="shared" ca="1" si="18"/>
        <v>49600000</v>
      </c>
      <c r="T36" s="2">
        <f t="shared" ca="1" si="19"/>
        <v>48920547.945205472</v>
      </c>
    </row>
    <row r="37" spans="2:20" ht="11.45" customHeight="1" x14ac:dyDescent="0.25">
      <c r="B37" s="86">
        <f t="shared" si="20"/>
        <v>13</v>
      </c>
      <c r="C37" s="88">
        <f t="shared" ca="1" si="22"/>
        <v>44531</v>
      </c>
      <c r="D37" s="87">
        <f t="shared" ca="1" si="21"/>
        <v>30</v>
      </c>
      <c r="E37" s="157">
        <f t="shared" si="7"/>
        <v>10000000000</v>
      </c>
      <c r="F37" s="156">
        <f t="shared" si="8"/>
        <v>5.7599999999999998E-2</v>
      </c>
      <c r="G37" s="78">
        <f t="shared" si="9"/>
        <v>0</v>
      </c>
      <c r="H37" s="44">
        <f t="shared" si="5"/>
        <v>47999999.999999993</v>
      </c>
      <c r="I37" s="44">
        <f t="shared" si="10"/>
        <v>47999999.999999993</v>
      </c>
      <c r="J37" s="44">
        <f t="shared" si="11"/>
        <v>10000000000</v>
      </c>
      <c r="K37" s="46">
        <f t="shared" si="6"/>
        <v>107</v>
      </c>
      <c r="L37" s="46">
        <f t="shared" si="12"/>
        <v>360</v>
      </c>
      <c r="M37" s="26">
        <f t="shared" ca="1" si="13"/>
        <v>365</v>
      </c>
      <c r="N37" s="2">
        <f t="shared" ca="1" si="14"/>
        <v>1.5780821917808218E-4</v>
      </c>
      <c r="P37" s="2">
        <f t="shared" ca="1" si="15"/>
        <v>49600000</v>
      </c>
      <c r="Q37" s="2">
        <f t="shared" si="16"/>
        <v>47999999.999999993</v>
      </c>
      <c r="R37" s="2">
        <f t="shared" ca="1" si="17"/>
        <v>47342465.753424659</v>
      </c>
      <c r="S37" s="2">
        <f t="shared" ca="1" si="18"/>
        <v>47999999.999999993</v>
      </c>
      <c r="T37" s="2">
        <f t="shared" ca="1" si="19"/>
        <v>47342465.753424659</v>
      </c>
    </row>
    <row r="38" spans="2:20" ht="11.45" customHeight="1" x14ac:dyDescent="0.25">
      <c r="B38" s="86">
        <f t="shared" si="20"/>
        <v>14</v>
      </c>
      <c r="C38" s="88">
        <f t="shared" ca="1" si="22"/>
        <v>44562</v>
      </c>
      <c r="D38" s="87">
        <f t="shared" ca="1" si="21"/>
        <v>31</v>
      </c>
      <c r="E38" s="157">
        <f t="shared" si="7"/>
        <v>10000000000</v>
      </c>
      <c r="F38" s="156">
        <f t="shared" si="8"/>
        <v>5.7599999999999998E-2</v>
      </c>
      <c r="G38" s="78">
        <f t="shared" si="9"/>
        <v>0</v>
      </c>
      <c r="H38" s="44">
        <f t="shared" si="5"/>
        <v>47999999.999999993</v>
      </c>
      <c r="I38" s="44">
        <f t="shared" si="10"/>
        <v>47999999.999999993</v>
      </c>
      <c r="J38" s="44">
        <f t="shared" si="11"/>
        <v>10000000000</v>
      </c>
      <c r="K38" s="46">
        <f t="shared" si="6"/>
        <v>106</v>
      </c>
      <c r="L38" s="46">
        <f t="shared" si="12"/>
        <v>360</v>
      </c>
      <c r="M38" s="26">
        <f t="shared" ca="1" si="13"/>
        <v>365</v>
      </c>
      <c r="N38" s="2">
        <f t="shared" ca="1" si="14"/>
        <v>1.5780821917808218E-4</v>
      </c>
      <c r="P38" s="2">
        <f t="shared" ca="1" si="15"/>
        <v>47999999.999999993</v>
      </c>
      <c r="Q38" s="2">
        <f t="shared" si="16"/>
        <v>47999999.999999993</v>
      </c>
      <c r="R38" s="2">
        <f t="shared" ca="1" si="17"/>
        <v>48920547.945205472</v>
      </c>
      <c r="S38" s="2">
        <f t="shared" ca="1" si="18"/>
        <v>49600000</v>
      </c>
      <c r="T38" s="2">
        <f t="shared" ca="1" si="19"/>
        <v>48920547.945205472</v>
      </c>
    </row>
    <row r="39" spans="2:20" ht="11.45" customHeight="1" x14ac:dyDescent="0.25">
      <c r="B39" s="86">
        <f t="shared" si="20"/>
        <v>15</v>
      </c>
      <c r="C39" s="88">
        <f t="shared" ca="1" si="22"/>
        <v>44593</v>
      </c>
      <c r="D39" s="87">
        <f t="shared" ca="1" si="21"/>
        <v>31</v>
      </c>
      <c r="E39" s="157">
        <f t="shared" si="7"/>
        <v>10000000000</v>
      </c>
      <c r="F39" s="156">
        <f t="shared" si="8"/>
        <v>5.7599999999999998E-2</v>
      </c>
      <c r="G39" s="78">
        <f t="shared" si="9"/>
        <v>0</v>
      </c>
      <c r="H39" s="44">
        <f t="shared" si="5"/>
        <v>47999999.999999993</v>
      </c>
      <c r="I39" s="44">
        <f t="shared" si="10"/>
        <v>47999999.999999993</v>
      </c>
      <c r="J39" s="44">
        <f t="shared" si="11"/>
        <v>10000000000</v>
      </c>
      <c r="K39" s="46">
        <f t="shared" si="6"/>
        <v>105</v>
      </c>
      <c r="L39" s="46">
        <f t="shared" si="12"/>
        <v>360</v>
      </c>
      <c r="M39" s="26">
        <f t="shared" ca="1" si="13"/>
        <v>365</v>
      </c>
      <c r="N39" s="2">
        <f t="shared" ca="1" si="14"/>
        <v>1.5780821917808218E-4</v>
      </c>
      <c r="P39" s="2">
        <f t="shared" ca="1" si="15"/>
        <v>49600000</v>
      </c>
      <c r="Q39" s="2">
        <f t="shared" si="16"/>
        <v>47999999.999999993</v>
      </c>
      <c r="R39" s="2">
        <f t="shared" ca="1" si="17"/>
        <v>48920547.945205472</v>
      </c>
      <c r="S39" s="2">
        <f t="shared" ca="1" si="18"/>
        <v>49600000</v>
      </c>
      <c r="T39" s="2">
        <f t="shared" ca="1" si="19"/>
        <v>48920547.945205472</v>
      </c>
    </row>
    <row r="40" spans="2:20" ht="11.45" customHeight="1" x14ac:dyDescent="0.25">
      <c r="B40" s="86">
        <f t="shared" si="20"/>
        <v>16</v>
      </c>
      <c r="C40" s="88">
        <f t="shared" ca="1" si="22"/>
        <v>44621</v>
      </c>
      <c r="D40" s="87">
        <f t="shared" ca="1" si="21"/>
        <v>28</v>
      </c>
      <c r="E40" s="157">
        <f t="shared" si="7"/>
        <v>10000000000</v>
      </c>
      <c r="F40" s="156">
        <f t="shared" si="8"/>
        <v>5.7599999999999998E-2</v>
      </c>
      <c r="G40" s="78">
        <f t="shared" si="9"/>
        <v>0</v>
      </c>
      <c r="H40" s="44">
        <f t="shared" si="5"/>
        <v>47999999.999999993</v>
      </c>
      <c r="I40" s="44">
        <f t="shared" si="10"/>
        <v>47999999.999999993</v>
      </c>
      <c r="J40" s="44">
        <f t="shared" si="11"/>
        <v>10000000000</v>
      </c>
      <c r="K40" s="46">
        <f t="shared" si="6"/>
        <v>104</v>
      </c>
      <c r="L40" s="46">
        <f t="shared" si="12"/>
        <v>360</v>
      </c>
      <c r="M40" s="26">
        <f t="shared" ca="1" si="13"/>
        <v>365</v>
      </c>
      <c r="N40" s="2">
        <f t="shared" ca="1" si="14"/>
        <v>1.5780821917808218E-4</v>
      </c>
      <c r="P40" s="2">
        <f t="shared" ca="1" si="15"/>
        <v>49600000</v>
      </c>
      <c r="Q40" s="2">
        <f t="shared" si="16"/>
        <v>47999999.999999993</v>
      </c>
      <c r="R40" s="2">
        <f t="shared" ca="1" si="17"/>
        <v>44186301.369863011</v>
      </c>
      <c r="S40" s="2">
        <f t="shared" ca="1" si="18"/>
        <v>44799999.999999993</v>
      </c>
      <c r="T40" s="2">
        <f t="shared" ca="1" si="19"/>
        <v>44186301.369863011</v>
      </c>
    </row>
    <row r="41" spans="2:20" ht="11.45" customHeight="1" x14ac:dyDescent="0.25">
      <c r="B41" s="86">
        <f t="shared" si="20"/>
        <v>17</v>
      </c>
      <c r="C41" s="88">
        <f t="shared" ca="1" si="22"/>
        <v>44652</v>
      </c>
      <c r="D41" s="87">
        <f t="shared" ca="1" si="21"/>
        <v>31</v>
      </c>
      <c r="E41" s="157">
        <f t="shared" si="7"/>
        <v>10000000000</v>
      </c>
      <c r="F41" s="156">
        <f t="shared" si="8"/>
        <v>5.7599999999999998E-2</v>
      </c>
      <c r="G41" s="78">
        <f t="shared" si="9"/>
        <v>0</v>
      </c>
      <c r="H41" s="44">
        <f t="shared" si="5"/>
        <v>47999999.999999993</v>
      </c>
      <c r="I41" s="44">
        <f t="shared" si="10"/>
        <v>47999999.999999993</v>
      </c>
      <c r="J41" s="44">
        <f t="shared" si="11"/>
        <v>10000000000</v>
      </c>
      <c r="K41" s="46">
        <f t="shared" si="6"/>
        <v>103</v>
      </c>
      <c r="L41" s="46">
        <f t="shared" si="12"/>
        <v>360</v>
      </c>
      <c r="M41" s="26">
        <f t="shared" ca="1" si="13"/>
        <v>365</v>
      </c>
      <c r="N41" s="2">
        <f t="shared" ca="1" si="14"/>
        <v>1.5780821917808218E-4</v>
      </c>
      <c r="P41" s="2">
        <f t="shared" ca="1" si="15"/>
        <v>44799999.999999993</v>
      </c>
      <c r="Q41" s="2">
        <f t="shared" si="16"/>
        <v>47999999.999999993</v>
      </c>
      <c r="R41" s="2">
        <f t="shared" ca="1" si="17"/>
        <v>48920547.945205472</v>
      </c>
      <c r="S41" s="2">
        <f t="shared" ca="1" si="18"/>
        <v>49600000</v>
      </c>
      <c r="T41" s="2">
        <f t="shared" ca="1" si="19"/>
        <v>48920547.945205472</v>
      </c>
    </row>
    <row r="42" spans="2:20" ht="11.45" customHeight="1" x14ac:dyDescent="0.25">
      <c r="B42" s="86">
        <f t="shared" si="20"/>
        <v>18</v>
      </c>
      <c r="C42" s="88">
        <f t="shared" ca="1" si="22"/>
        <v>44682</v>
      </c>
      <c r="D42" s="87">
        <f t="shared" ca="1" si="21"/>
        <v>30</v>
      </c>
      <c r="E42" s="157">
        <f t="shared" si="7"/>
        <v>10000000000</v>
      </c>
      <c r="F42" s="156">
        <f t="shared" si="8"/>
        <v>5.7599999999999998E-2</v>
      </c>
      <c r="G42" s="78">
        <f t="shared" si="9"/>
        <v>0</v>
      </c>
      <c r="H42" s="44">
        <f t="shared" si="5"/>
        <v>47999999.999999993</v>
      </c>
      <c r="I42" s="44">
        <f t="shared" si="10"/>
        <v>47999999.999999993</v>
      </c>
      <c r="J42" s="44">
        <f t="shared" si="11"/>
        <v>10000000000</v>
      </c>
      <c r="K42" s="46">
        <f t="shared" si="6"/>
        <v>102</v>
      </c>
      <c r="L42" s="46">
        <f t="shared" si="12"/>
        <v>360</v>
      </c>
      <c r="M42" s="26">
        <f t="shared" ca="1" si="13"/>
        <v>365</v>
      </c>
      <c r="N42" s="2">
        <f t="shared" ca="1" si="14"/>
        <v>1.5780821917808218E-4</v>
      </c>
      <c r="P42" s="2">
        <f t="shared" ca="1" si="15"/>
        <v>49600000</v>
      </c>
      <c r="Q42" s="2">
        <f t="shared" si="16"/>
        <v>47999999.999999993</v>
      </c>
      <c r="R42" s="2">
        <f t="shared" ca="1" si="17"/>
        <v>47342465.753424659</v>
      </c>
      <c r="S42" s="2">
        <f t="shared" ca="1" si="18"/>
        <v>47999999.999999993</v>
      </c>
      <c r="T42" s="2">
        <f t="shared" ca="1" si="19"/>
        <v>47342465.753424659</v>
      </c>
    </row>
    <row r="43" spans="2:20" ht="11.45" customHeight="1" x14ac:dyDescent="0.25">
      <c r="B43" s="86">
        <f t="shared" si="20"/>
        <v>19</v>
      </c>
      <c r="C43" s="88">
        <f t="shared" ca="1" si="22"/>
        <v>44713</v>
      </c>
      <c r="D43" s="87">
        <f t="shared" ca="1" si="21"/>
        <v>31</v>
      </c>
      <c r="E43" s="157">
        <f t="shared" si="7"/>
        <v>10000000000</v>
      </c>
      <c r="F43" s="156">
        <f t="shared" si="8"/>
        <v>5.7599999999999998E-2</v>
      </c>
      <c r="G43" s="78">
        <f t="shared" si="9"/>
        <v>0</v>
      </c>
      <c r="H43" s="44">
        <f t="shared" si="5"/>
        <v>47999999.999999993</v>
      </c>
      <c r="I43" s="44">
        <f t="shared" si="10"/>
        <v>47999999.999999993</v>
      </c>
      <c r="J43" s="44">
        <f t="shared" si="11"/>
        <v>10000000000</v>
      </c>
      <c r="K43" s="46">
        <f t="shared" si="6"/>
        <v>101</v>
      </c>
      <c r="L43" s="46">
        <f t="shared" si="12"/>
        <v>360</v>
      </c>
      <c r="M43" s="26">
        <f t="shared" ca="1" si="13"/>
        <v>365</v>
      </c>
      <c r="N43" s="2">
        <f t="shared" ca="1" si="14"/>
        <v>1.5780821917808218E-4</v>
      </c>
      <c r="P43" s="2">
        <f t="shared" ca="1" si="15"/>
        <v>47999999.999999993</v>
      </c>
      <c r="Q43" s="2">
        <f t="shared" si="16"/>
        <v>47999999.999999993</v>
      </c>
      <c r="R43" s="2">
        <f t="shared" ca="1" si="17"/>
        <v>48920547.945205472</v>
      </c>
      <c r="S43" s="2">
        <f t="shared" ca="1" si="18"/>
        <v>49600000</v>
      </c>
      <c r="T43" s="2">
        <f t="shared" ca="1" si="19"/>
        <v>48920547.945205472</v>
      </c>
    </row>
    <row r="44" spans="2:20" ht="11.45" customHeight="1" x14ac:dyDescent="0.25">
      <c r="B44" s="86">
        <f t="shared" si="20"/>
        <v>20</v>
      </c>
      <c r="C44" s="88">
        <f t="shared" ca="1" si="22"/>
        <v>44743</v>
      </c>
      <c r="D44" s="87">
        <f t="shared" ca="1" si="21"/>
        <v>30</v>
      </c>
      <c r="E44" s="157">
        <f t="shared" si="7"/>
        <v>10000000000</v>
      </c>
      <c r="F44" s="156">
        <f t="shared" si="8"/>
        <v>5.7599999999999998E-2</v>
      </c>
      <c r="G44" s="78">
        <f t="shared" si="9"/>
        <v>0</v>
      </c>
      <c r="H44" s="44">
        <f t="shared" si="5"/>
        <v>47999999.999999993</v>
      </c>
      <c r="I44" s="44">
        <f t="shared" si="10"/>
        <v>47999999.999999993</v>
      </c>
      <c r="J44" s="44">
        <f t="shared" si="11"/>
        <v>10000000000</v>
      </c>
      <c r="K44" s="46">
        <f t="shared" si="6"/>
        <v>100</v>
      </c>
      <c r="L44" s="46">
        <f t="shared" si="12"/>
        <v>360</v>
      </c>
      <c r="M44" s="26">
        <f t="shared" ca="1" si="13"/>
        <v>365</v>
      </c>
      <c r="N44" s="2">
        <f t="shared" ca="1" si="14"/>
        <v>1.5780821917808218E-4</v>
      </c>
      <c r="P44" s="2">
        <f t="shared" ca="1" si="15"/>
        <v>49600000</v>
      </c>
      <c r="Q44" s="2">
        <f t="shared" si="16"/>
        <v>47999999.999999993</v>
      </c>
      <c r="R44" s="2">
        <f t="shared" ca="1" si="17"/>
        <v>47342465.753424659</v>
      </c>
      <c r="S44" s="2">
        <f t="shared" ca="1" si="18"/>
        <v>47999999.999999993</v>
      </c>
      <c r="T44" s="2">
        <f t="shared" ca="1" si="19"/>
        <v>47342465.753424659</v>
      </c>
    </row>
    <row r="45" spans="2:20" ht="11.45" customHeight="1" x14ac:dyDescent="0.25">
      <c r="B45" s="86">
        <f t="shared" si="20"/>
        <v>21</v>
      </c>
      <c r="C45" s="88">
        <f t="shared" ca="1" si="22"/>
        <v>44774</v>
      </c>
      <c r="D45" s="87">
        <f t="shared" ca="1" si="21"/>
        <v>31</v>
      </c>
      <c r="E45" s="157">
        <f t="shared" si="7"/>
        <v>10000000000</v>
      </c>
      <c r="F45" s="156">
        <f t="shared" si="8"/>
        <v>5.7599999999999998E-2</v>
      </c>
      <c r="G45" s="78">
        <f t="shared" si="9"/>
        <v>0</v>
      </c>
      <c r="H45" s="44">
        <f t="shared" si="5"/>
        <v>47999999.999999993</v>
      </c>
      <c r="I45" s="44">
        <f t="shared" si="10"/>
        <v>47999999.999999993</v>
      </c>
      <c r="J45" s="44">
        <f t="shared" si="11"/>
        <v>10000000000</v>
      </c>
      <c r="K45" s="46">
        <f t="shared" si="6"/>
        <v>99</v>
      </c>
      <c r="L45" s="46">
        <f t="shared" si="12"/>
        <v>360</v>
      </c>
      <c r="M45" s="26">
        <f t="shared" ca="1" si="13"/>
        <v>365</v>
      </c>
      <c r="N45" s="2">
        <f t="shared" ca="1" si="14"/>
        <v>1.5780821917808218E-4</v>
      </c>
      <c r="P45" s="2">
        <f t="shared" ca="1" si="15"/>
        <v>47999999.999999993</v>
      </c>
      <c r="Q45" s="2">
        <f t="shared" si="16"/>
        <v>47999999.999999993</v>
      </c>
      <c r="R45" s="2">
        <f t="shared" ca="1" si="17"/>
        <v>48920547.945205472</v>
      </c>
      <c r="S45" s="2">
        <f t="shared" ca="1" si="18"/>
        <v>49600000</v>
      </c>
      <c r="T45" s="2">
        <f t="shared" ca="1" si="19"/>
        <v>48920547.945205472</v>
      </c>
    </row>
    <row r="46" spans="2:20" ht="11.45" customHeight="1" x14ac:dyDescent="0.25">
      <c r="B46" s="86">
        <f t="shared" si="20"/>
        <v>22</v>
      </c>
      <c r="C46" s="88">
        <f t="shared" ca="1" si="22"/>
        <v>44805</v>
      </c>
      <c r="D46" s="87">
        <f t="shared" ca="1" si="21"/>
        <v>31</v>
      </c>
      <c r="E46" s="157">
        <f t="shared" si="7"/>
        <v>10000000000</v>
      </c>
      <c r="F46" s="156">
        <f t="shared" si="8"/>
        <v>5.7599999999999998E-2</v>
      </c>
      <c r="G46" s="78">
        <f t="shared" si="9"/>
        <v>0</v>
      </c>
      <c r="H46" s="44">
        <f t="shared" si="5"/>
        <v>47999999.999999993</v>
      </c>
      <c r="I46" s="44">
        <f t="shared" si="10"/>
        <v>47999999.999999993</v>
      </c>
      <c r="J46" s="44">
        <f t="shared" si="11"/>
        <v>10000000000</v>
      </c>
      <c r="K46" s="46">
        <f t="shared" si="6"/>
        <v>98</v>
      </c>
      <c r="L46" s="46">
        <f t="shared" si="12"/>
        <v>360</v>
      </c>
      <c r="M46" s="26">
        <f t="shared" ca="1" si="13"/>
        <v>365</v>
      </c>
      <c r="N46" s="2">
        <f t="shared" ca="1" si="14"/>
        <v>1.5780821917808218E-4</v>
      </c>
      <c r="P46" s="2">
        <f t="shared" ca="1" si="15"/>
        <v>49600000</v>
      </c>
      <c r="Q46" s="2">
        <f t="shared" si="16"/>
        <v>47999999.999999993</v>
      </c>
      <c r="R46" s="2">
        <f t="shared" ca="1" si="17"/>
        <v>48920547.945205472</v>
      </c>
      <c r="S46" s="2">
        <f t="shared" ca="1" si="18"/>
        <v>49600000</v>
      </c>
      <c r="T46" s="2">
        <f t="shared" ca="1" si="19"/>
        <v>48920547.945205472</v>
      </c>
    </row>
    <row r="47" spans="2:20" ht="11.45" customHeight="1" x14ac:dyDescent="0.25">
      <c r="B47" s="86">
        <f t="shared" si="20"/>
        <v>23</v>
      </c>
      <c r="C47" s="88">
        <f t="shared" ca="1" si="22"/>
        <v>44835</v>
      </c>
      <c r="D47" s="87">
        <f t="shared" ca="1" si="21"/>
        <v>30</v>
      </c>
      <c r="E47" s="157">
        <f t="shared" si="7"/>
        <v>10000000000</v>
      </c>
      <c r="F47" s="156">
        <f t="shared" si="8"/>
        <v>5.7599999999999998E-2</v>
      </c>
      <c r="G47" s="78">
        <f t="shared" si="9"/>
        <v>0</v>
      </c>
      <c r="H47" s="44">
        <f t="shared" si="5"/>
        <v>47999999.999999993</v>
      </c>
      <c r="I47" s="44">
        <f t="shared" si="10"/>
        <v>47999999.999999993</v>
      </c>
      <c r="J47" s="44">
        <f t="shared" si="11"/>
        <v>10000000000</v>
      </c>
      <c r="K47" s="46">
        <f t="shared" si="6"/>
        <v>97</v>
      </c>
      <c r="L47" s="46">
        <f t="shared" si="12"/>
        <v>360</v>
      </c>
      <c r="M47" s="26">
        <f t="shared" ca="1" si="13"/>
        <v>365</v>
      </c>
      <c r="N47" s="2">
        <f t="shared" ca="1" si="14"/>
        <v>1.5780821917808218E-4</v>
      </c>
      <c r="P47" s="2">
        <f t="shared" ca="1" si="15"/>
        <v>49600000</v>
      </c>
      <c r="Q47" s="2">
        <f t="shared" si="16"/>
        <v>47999999.999999993</v>
      </c>
      <c r="R47" s="2">
        <f t="shared" ca="1" si="17"/>
        <v>47342465.753424659</v>
      </c>
      <c r="S47" s="2">
        <f t="shared" ca="1" si="18"/>
        <v>47999999.999999993</v>
      </c>
      <c r="T47" s="2">
        <f t="shared" ca="1" si="19"/>
        <v>47342465.753424659</v>
      </c>
    </row>
    <row r="48" spans="2:20" ht="11.45" customHeight="1" x14ac:dyDescent="0.25">
      <c r="B48" s="86">
        <f t="shared" si="20"/>
        <v>24</v>
      </c>
      <c r="C48" s="88">
        <f t="shared" ca="1" si="22"/>
        <v>44866</v>
      </c>
      <c r="D48" s="87">
        <f t="shared" ca="1" si="21"/>
        <v>31</v>
      </c>
      <c r="E48" s="157">
        <f t="shared" si="7"/>
        <v>10000000000</v>
      </c>
      <c r="F48" s="156">
        <f t="shared" si="8"/>
        <v>5.7599999999999998E-2</v>
      </c>
      <c r="G48" s="78">
        <f t="shared" si="9"/>
        <v>0</v>
      </c>
      <c r="H48" s="44">
        <f t="shared" si="5"/>
        <v>47999999.999999993</v>
      </c>
      <c r="I48" s="44">
        <f t="shared" si="10"/>
        <v>47999999.999999993</v>
      </c>
      <c r="J48" s="44">
        <f t="shared" si="11"/>
        <v>10000000000</v>
      </c>
      <c r="K48" s="46">
        <f t="shared" si="6"/>
        <v>96</v>
      </c>
      <c r="L48" s="46">
        <f t="shared" si="12"/>
        <v>360</v>
      </c>
      <c r="M48" s="26">
        <f t="shared" ca="1" si="13"/>
        <v>365</v>
      </c>
      <c r="N48" s="2">
        <f t="shared" ca="1" si="14"/>
        <v>1.5780821917808218E-4</v>
      </c>
      <c r="P48" s="2">
        <f t="shared" ca="1" si="15"/>
        <v>47999999.999999993</v>
      </c>
      <c r="Q48" s="2">
        <f t="shared" si="16"/>
        <v>47999999.999999993</v>
      </c>
      <c r="R48" s="2">
        <f t="shared" ca="1" si="17"/>
        <v>48920547.945205472</v>
      </c>
      <c r="S48" s="2">
        <f t="shared" ca="1" si="18"/>
        <v>49600000</v>
      </c>
      <c r="T48" s="2">
        <f t="shared" ca="1" si="19"/>
        <v>48920547.945205472</v>
      </c>
    </row>
    <row r="49" spans="2:20" ht="11.45" customHeight="1" x14ac:dyDescent="0.25">
      <c r="B49" s="86">
        <f t="shared" si="20"/>
        <v>25</v>
      </c>
      <c r="C49" s="88">
        <f t="shared" ca="1" si="22"/>
        <v>44896</v>
      </c>
      <c r="D49" s="87">
        <f t="shared" ca="1" si="21"/>
        <v>30</v>
      </c>
      <c r="E49" s="157">
        <f t="shared" si="7"/>
        <v>10000000000</v>
      </c>
      <c r="F49" s="156">
        <f t="shared" si="8"/>
        <v>5.7599999999999998E-2</v>
      </c>
      <c r="G49" s="78">
        <f t="shared" si="9"/>
        <v>0</v>
      </c>
      <c r="H49" s="44">
        <f t="shared" si="5"/>
        <v>47999999.999999993</v>
      </c>
      <c r="I49" s="44">
        <f t="shared" si="10"/>
        <v>47999999.999999993</v>
      </c>
      <c r="J49" s="44">
        <f t="shared" si="11"/>
        <v>10000000000</v>
      </c>
      <c r="K49" s="46">
        <f t="shared" si="6"/>
        <v>95</v>
      </c>
      <c r="L49" s="46">
        <f t="shared" si="12"/>
        <v>360</v>
      </c>
      <c r="M49" s="26">
        <f t="shared" ca="1" si="13"/>
        <v>365</v>
      </c>
      <c r="N49" s="2">
        <f t="shared" ca="1" si="14"/>
        <v>1.5780821917808218E-4</v>
      </c>
      <c r="P49" s="2">
        <f t="shared" ca="1" si="15"/>
        <v>49600000</v>
      </c>
      <c r="Q49" s="2">
        <f t="shared" si="16"/>
        <v>47999999.999999993</v>
      </c>
      <c r="R49" s="2">
        <f t="shared" ca="1" si="17"/>
        <v>47342465.753424659</v>
      </c>
      <c r="S49" s="2">
        <f t="shared" ca="1" si="18"/>
        <v>47999999.999999993</v>
      </c>
      <c r="T49" s="2">
        <f t="shared" ca="1" si="19"/>
        <v>47342465.753424659</v>
      </c>
    </row>
    <row r="50" spans="2:20" ht="11.45" customHeight="1" x14ac:dyDescent="0.25">
      <c r="B50" s="86">
        <f t="shared" si="20"/>
        <v>26</v>
      </c>
      <c r="C50" s="88">
        <f t="shared" ca="1" si="22"/>
        <v>44927</v>
      </c>
      <c r="D50" s="87">
        <f t="shared" ca="1" si="21"/>
        <v>31</v>
      </c>
      <c r="E50" s="157">
        <f t="shared" si="7"/>
        <v>10000000000</v>
      </c>
      <c r="F50" s="156">
        <f t="shared" si="8"/>
        <v>5.7599999999999998E-2</v>
      </c>
      <c r="G50" s="78">
        <f t="shared" si="9"/>
        <v>0</v>
      </c>
      <c r="H50" s="44">
        <f t="shared" si="5"/>
        <v>47999999.999999993</v>
      </c>
      <c r="I50" s="44">
        <f t="shared" si="10"/>
        <v>47999999.999999993</v>
      </c>
      <c r="J50" s="44">
        <f t="shared" si="11"/>
        <v>10000000000</v>
      </c>
      <c r="K50" s="46">
        <f t="shared" si="6"/>
        <v>94</v>
      </c>
      <c r="L50" s="46">
        <f t="shared" si="12"/>
        <v>360</v>
      </c>
      <c r="M50" s="26">
        <f t="shared" ca="1" si="13"/>
        <v>365</v>
      </c>
      <c r="N50" s="2">
        <f t="shared" ca="1" si="14"/>
        <v>1.5780821917808218E-4</v>
      </c>
      <c r="P50" s="2">
        <f t="shared" ca="1" si="15"/>
        <v>47999999.999999993</v>
      </c>
      <c r="Q50" s="2">
        <f t="shared" si="16"/>
        <v>47999999.999999993</v>
      </c>
      <c r="R50" s="2">
        <f t="shared" ca="1" si="17"/>
        <v>48920547.945205472</v>
      </c>
      <c r="S50" s="2">
        <f t="shared" ca="1" si="18"/>
        <v>49600000</v>
      </c>
      <c r="T50" s="2">
        <f t="shared" ca="1" si="19"/>
        <v>48920547.945205472</v>
      </c>
    </row>
    <row r="51" spans="2:20" ht="11.45" customHeight="1" x14ac:dyDescent="0.25">
      <c r="B51" s="86">
        <f t="shared" si="20"/>
        <v>27</v>
      </c>
      <c r="C51" s="88">
        <f t="shared" ca="1" si="22"/>
        <v>44958</v>
      </c>
      <c r="D51" s="87">
        <f t="shared" ca="1" si="21"/>
        <v>31</v>
      </c>
      <c r="E51" s="157">
        <f t="shared" si="7"/>
        <v>10000000000</v>
      </c>
      <c r="F51" s="156">
        <f t="shared" si="8"/>
        <v>5.7599999999999998E-2</v>
      </c>
      <c r="G51" s="78">
        <f t="shared" si="9"/>
        <v>0</v>
      </c>
      <c r="H51" s="44">
        <f t="shared" si="5"/>
        <v>47999999.999999993</v>
      </c>
      <c r="I51" s="44">
        <f t="shared" si="10"/>
        <v>47999999.999999993</v>
      </c>
      <c r="J51" s="44">
        <f t="shared" si="11"/>
        <v>10000000000</v>
      </c>
      <c r="K51" s="46">
        <f t="shared" si="6"/>
        <v>93</v>
      </c>
      <c r="L51" s="46">
        <f t="shared" si="12"/>
        <v>360</v>
      </c>
      <c r="M51" s="26">
        <f t="shared" ca="1" si="13"/>
        <v>365</v>
      </c>
      <c r="N51" s="2">
        <f t="shared" ca="1" si="14"/>
        <v>1.5780821917808218E-4</v>
      </c>
      <c r="P51" s="2">
        <f t="shared" ca="1" si="15"/>
        <v>49600000</v>
      </c>
      <c r="Q51" s="2">
        <f t="shared" si="16"/>
        <v>47999999.999999993</v>
      </c>
      <c r="R51" s="2">
        <f t="shared" ca="1" si="17"/>
        <v>48920547.945205472</v>
      </c>
      <c r="S51" s="2">
        <f t="shared" ca="1" si="18"/>
        <v>49600000</v>
      </c>
      <c r="T51" s="2">
        <f t="shared" ca="1" si="19"/>
        <v>48920547.945205472</v>
      </c>
    </row>
    <row r="52" spans="2:20" ht="11.45" customHeight="1" x14ac:dyDescent="0.25">
      <c r="B52" s="86">
        <f t="shared" si="20"/>
        <v>28</v>
      </c>
      <c r="C52" s="88">
        <f t="shared" ca="1" si="22"/>
        <v>44986</v>
      </c>
      <c r="D52" s="87">
        <f t="shared" ca="1" si="21"/>
        <v>28</v>
      </c>
      <c r="E52" s="157">
        <f t="shared" si="7"/>
        <v>10000000000</v>
      </c>
      <c r="F52" s="156">
        <f t="shared" si="8"/>
        <v>5.7599999999999998E-2</v>
      </c>
      <c r="G52" s="78">
        <f t="shared" si="9"/>
        <v>0</v>
      </c>
      <c r="H52" s="44">
        <f t="shared" si="5"/>
        <v>47999999.999999993</v>
      </c>
      <c r="I52" s="44">
        <f t="shared" si="10"/>
        <v>47999999.999999993</v>
      </c>
      <c r="J52" s="44">
        <f t="shared" si="11"/>
        <v>10000000000</v>
      </c>
      <c r="K52" s="46">
        <f t="shared" si="6"/>
        <v>92</v>
      </c>
      <c r="L52" s="46">
        <f t="shared" si="12"/>
        <v>360</v>
      </c>
      <c r="M52" s="26">
        <f t="shared" ca="1" si="13"/>
        <v>365</v>
      </c>
      <c r="N52" s="2">
        <f t="shared" ca="1" si="14"/>
        <v>1.5780821917808218E-4</v>
      </c>
      <c r="P52" s="2">
        <f t="shared" ca="1" si="15"/>
        <v>49600000</v>
      </c>
      <c r="Q52" s="2">
        <f t="shared" si="16"/>
        <v>47999999.999999993</v>
      </c>
      <c r="R52" s="2">
        <f t="shared" ca="1" si="17"/>
        <v>44186301.369863011</v>
      </c>
      <c r="S52" s="2">
        <f t="shared" ca="1" si="18"/>
        <v>44799999.999999993</v>
      </c>
      <c r="T52" s="2">
        <f t="shared" ca="1" si="19"/>
        <v>44186301.369863011</v>
      </c>
    </row>
    <row r="53" spans="2:20" ht="11.45" customHeight="1" x14ac:dyDescent="0.25">
      <c r="B53" s="86">
        <f t="shared" si="20"/>
        <v>29</v>
      </c>
      <c r="C53" s="88">
        <f t="shared" ca="1" si="22"/>
        <v>45017</v>
      </c>
      <c r="D53" s="87">
        <f t="shared" ca="1" si="21"/>
        <v>31</v>
      </c>
      <c r="E53" s="157">
        <f t="shared" si="7"/>
        <v>10000000000</v>
      </c>
      <c r="F53" s="156">
        <f t="shared" si="8"/>
        <v>5.7599999999999998E-2</v>
      </c>
      <c r="G53" s="78">
        <f t="shared" si="9"/>
        <v>0</v>
      </c>
      <c r="H53" s="44">
        <f t="shared" si="5"/>
        <v>47999999.999999993</v>
      </c>
      <c r="I53" s="44">
        <f t="shared" si="10"/>
        <v>47999999.999999993</v>
      </c>
      <c r="J53" s="44">
        <f t="shared" si="11"/>
        <v>10000000000</v>
      </c>
      <c r="K53" s="46">
        <f t="shared" si="6"/>
        <v>91</v>
      </c>
      <c r="L53" s="46">
        <f t="shared" si="12"/>
        <v>360</v>
      </c>
      <c r="M53" s="26">
        <f t="shared" ca="1" si="13"/>
        <v>365</v>
      </c>
      <c r="N53" s="2">
        <f t="shared" ca="1" si="14"/>
        <v>1.5780821917808218E-4</v>
      </c>
      <c r="P53" s="2">
        <f t="shared" ca="1" si="15"/>
        <v>44799999.999999993</v>
      </c>
      <c r="Q53" s="2">
        <f t="shared" si="16"/>
        <v>47999999.999999993</v>
      </c>
      <c r="R53" s="2">
        <f t="shared" ca="1" si="17"/>
        <v>48920547.945205472</v>
      </c>
      <c r="S53" s="2">
        <f t="shared" ca="1" si="18"/>
        <v>49600000</v>
      </c>
      <c r="T53" s="2">
        <f t="shared" ca="1" si="19"/>
        <v>48920547.945205472</v>
      </c>
    </row>
    <row r="54" spans="2:20" ht="11.45" customHeight="1" x14ac:dyDescent="0.25">
      <c r="B54" s="86">
        <f t="shared" si="20"/>
        <v>30</v>
      </c>
      <c r="C54" s="88">
        <f t="shared" ca="1" si="22"/>
        <v>45047</v>
      </c>
      <c r="D54" s="87">
        <f t="shared" ca="1" si="21"/>
        <v>30</v>
      </c>
      <c r="E54" s="157">
        <f t="shared" si="7"/>
        <v>10000000000</v>
      </c>
      <c r="F54" s="156">
        <f t="shared" si="8"/>
        <v>5.7599999999999998E-2</v>
      </c>
      <c r="G54" s="78">
        <f t="shared" si="9"/>
        <v>0</v>
      </c>
      <c r="H54" s="44">
        <f t="shared" si="5"/>
        <v>47999999.999999993</v>
      </c>
      <c r="I54" s="44">
        <f t="shared" si="10"/>
        <v>47999999.999999993</v>
      </c>
      <c r="J54" s="44">
        <f t="shared" si="11"/>
        <v>10000000000</v>
      </c>
      <c r="K54" s="46">
        <f t="shared" si="6"/>
        <v>90</v>
      </c>
      <c r="L54" s="46">
        <f t="shared" si="12"/>
        <v>360</v>
      </c>
      <c r="M54" s="26">
        <f t="shared" ca="1" si="13"/>
        <v>365</v>
      </c>
      <c r="N54" s="2">
        <f t="shared" ca="1" si="14"/>
        <v>1.5780821917808218E-4</v>
      </c>
      <c r="P54" s="2">
        <f t="shared" ca="1" si="15"/>
        <v>49600000</v>
      </c>
      <c r="Q54" s="2">
        <f t="shared" si="16"/>
        <v>47999999.999999993</v>
      </c>
      <c r="R54" s="2">
        <f t="shared" ca="1" si="17"/>
        <v>47342465.753424659</v>
      </c>
      <c r="S54" s="2">
        <f t="shared" ca="1" si="18"/>
        <v>47999999.999999993</v>
      </c>
      <c r="T54" s="2">
        <f t="shared" ca="1" si="19"/>
        <v>47342465.753424659</v>
      </c>
    </row>
    <row r="55" spans="2:20" ht="11.45" customHeight="1" x14ac:dyDescent="0.25">
      <c r="B55" s="86">
        <f t="shared" si="20"/>
        <v>31</v>
      </c>
      <c r="C55" s="88">
        <f t="shared" ca="1" si="22"/>
        <v>45078</v>
      </c>
      <c r="D55" s="87">
        <f t="shared" ca="1" si="21"/>
        <v>31</v>
      </c>
      <c r="E55" s="157">
        <f t="shared" si="7"/>
        <v>10000000000</v>
      </c>
      <c r="F55" s="156">
        <f t="shared" si="8"/>
        <v>5.7599999999999998E-2</v>
      </c>
      <c r="G55" s="78">
        <f t="shared" si="9"/>
        <v>0</v>
      </c>
      <c r="H55" s="44">
        <f t="shared" si="5"/>
        <v>47999999.999999993</v>
      </c>
      <c r="I55" s="44">
        <f t="shared" si="10"/>
        <v>47999999.999999993</v>
      </c>
      <c r="J55" s="44">
        <f t="shared" si="11"/>
        <v>10000000000</v>
      </c>
      <c r="K55" s="46">
        <f t="shared" si="6"/>
        <v>89</v>
      </c>
      <c r="L55" s="46">
        <f t="shared" si="12"/>
        <v>360</v>
      </c>
      <c r="M55" s="26">
        <f t="shared" ca="1" si="13"/>
        <v>365</v>
      </c>
      <c r="N55" s="2">
        <f t="shared" ca="1" si="14"/>
        <v>1.5780821917808218E-4</v>
      </c>
      <c r="P55" s="2">
        <f t="shared" ca="1" si="15"/>
        <v>47999999.999999993</v>
      </c>
      <c r="Q55" s="2">
        <f t="shared" si="16"/>
        <v>47999999.999999993</v>
      </c>
      <c r="R55" s="2">
        <f t="shared" ca="1" si="17"/>
        <v>48920547.945205472</v>
      </c>
      <c r="S55" s="2">
        <f t="shared" ca="1" si="18"/>
        <v>49600000</v>
      </c>
      <c r="T55" s="2">
        <f t="shared" ca="1" si="19"/>
        <v>48920547.945205472</v>
      </c>
    </row>
    <row r="56" spans="2:20" ht="11.45" customHeight="1" x14ac:dyDescent="0.25">
      <c r="B56" s="86">
        <f t="shared" si="20"/>
        <v>32</v>
      </c>
      <c r="C56" s="88">
        <f t="shared" ca="1" si="22"/>
        <v>45108</v>
      </c>
      <c r="D56" s="87">
        <f t="shared" ca="1" si="21"/>
        <v>30</v>
      </c>
      <c r="E56" s="157">
        <f t="shared" si="7"/>
        <v>10000000000</v>
      </c>
      <c r="F56" s="156">
        <f t="shared" si="8"/>
        <v>5.7599999999999998E-2</v>
      </c>
      <c r="G56" s="78">
        <f t="shared" si="9"/>
        <v>0</v>
      </c>
      <c r="H56" s="44">
        <f t="shared" si="5"/>
        <v>47999999.999999993</v>
      </c>
      <c r="I56" s="44">
        <f t="shared" si="10"/>
        <v>47999999.999999993</v>
      </c>
      <c r="J56" s="44">
        <f t="shared" si="11"/>
        <v>10000000000</v>
      </c>
      <c r="K56" s="46">
        <f t="shared" si="6"/>
        <v>88</v>
      </c>
      <c r="L56" s="46">
        <f t="shared" si="12"/>
        <v>360</v>
      </c>
      <c r="M56" s="26">
        <f t="shared" ca="1" si="13"/>
        <v>365</v>
      </c>
      <c r="N56" s="2">
        <f t="shared" ca="1" si="14"/>
        <v>1.5780821917808218E-4</v>
      </c>
      <c r="P56" s="2">
        <f t="shared" ca="1" si="15"/>
        <v>49600000</v>
      </c>
      <c r="Q56" s="2">
        <f t="shared" si="16"/>
        <v>47999999.999999993</v>
      </c>
      <c r="R56" s="2">
        <f t="shared" ca="1" si="17"/>
        <v>47342465.753424659</v>
      </c>
      <c r="S56" s="2">
        <f t="shared" ca="1" si="18"/>
        <v>47999999.999999993</v>
      </c>
      <c r="T56" s="2">
        <f t="shared" ca="1" si="19"/>
        <v>47342465.753424659</v>
      </c>
    </row>
    <row r="57" spans="2:20" ht="11.45" customHeight="1" x14ac:dyDescent="0.25">
      <c r="B57" s="86">
        <f t="shared" si="20"/>
        <v>33</v>
      </c>
      <c r="C57" s="88">
        <f t="shared" ca="1" si="22"/>
        <v>45139</v>
      </c>
      <c r="D57" s="87">
        <f t="shared" ca="1" si="21"/>
        <v>31</v>
      </c>
      <c r="E57" s="157">
        <f t="shared" si="7"/>
        <v>10000000000</v>
      </c>
      <c r="F57" s="156">
        <f t="shared" si="8"/>
        <v>5.7599999999999998E-2</v>
      </c>
      <c r="G57" s="78">
        <f t="shared" si="9"/>
        <v>0</v>
      </c>
      <c r="H57" s="44">
        <f t="shared" si="5"/>
        <v>47999999.999999993</v>
      </c>
      <c r="I57" s="44">
        <f t="shared" si="10"/>
        <v>47999999.999999993</v>
      </c>
      <c r="J57" s="44">
        <f t="shared" si="11"/>
        <v>10000000000</v>
      </c>
      <c r="K57" s="46">
        <f t="shared" si="6"/>
        <v>87</v>
      </c>
      <c r="L57" s="46">
        <f t="shared" si="12"/>
        <v>360</v>
      </c>
      <c r="M57" s="26">
        <f t="shared" ca="1" si="13"/>
        <v>365</v>
      </c>
      <c r="N57" s="2">
        <f t="shared" ca="1" si="14"/>
        <v>1.5780821917808218E-4</v>
      </c>
      <c r="P57" s="2">
        <f t="shared" ca="1" si="15"/>
        <v>47999999.999999993</v>
      </c>
      <c r="Q57" s="2">
        <f t="shared" si="16"/>
        <v>47999999.999999993</v>
      </c>
      <c r="R57" s="2">
        <f t="shared" ca="1" si="17"/>
        <v>48920547.945205472</v>
      </c>
      <c r="S57" s="2">
        <f t="shared" ca="1" si="18"/>
        <v>49600000</v>
      </c>
      <c r="T57" s="2">
        <f t="shared" ca="1" si="19"/>
        <v>48920547.945205472</v>
      </c>
    </row>
    <row r="58" spans="2:20" ht="11.45" customHeight="1" x14ac:dyDescent="0.25">
      <c r="B58" s="86">
        <f t="shared" si="20"/>
        <v>34</v>
      </c>
      <c r="C58" s="88">
        <f t="shared" ca="1" si="22"/>
        <v>45170</v>
      </c>
      <c r="D58" s="87">
        <f t="shared" ca="1" si="21"/>
        <v>31</v>
      </c>
      <c r="E58" s="157">
        <f t="shared" si="7"/>
        <v>10000000000</v>
      </c>
      <c r="F58" s="156">
        <f t="shared" si="8"/>
        <v>5.7599999999999998E-2</v>
      </c>
      <c r="G58" s="78">
        <f t="shared" si="9"/>
        <v>0</v>
      </c>
      <c r="H58" s="44">
        <f t="shared" si="5"/>
        <v>47999999.999999993</v>
      </c>
      <c r="I58" s="44">
        <f t="shared" si="10"/>
        <v>47999999.999999993</v>
      </c>
      <c r="J58" s="44">
        <f t="shared" si="11"/>
        <v>10000000000</v>
      </c>
      <c r="K58" s="46">
        <f t="shared" si="6"/>
        <v>86</v>
      </c>
      <c r="L58" s="46">
        <f t="shared" si="12"/>
        <v>360</v>
      </c>
      <c r="M58" s="26">
        <f t="shared" ca="1" si="13"/>
        <v>365</v>
      </c>
      <c r="N58" s="2">
        <f t="shared" ca="1" si="14"/>
        <v>1.5780821917808218E-4</v>
      </c>
      <c r="P58" s="2">
        <f t="shared" ca="1" si="15"/>
        <v>49600000</v>
      </c>
      <c r="Q58" s="2">
        <f t="shared" si="16"/>
        <v>47999999.999999993</v>
      </c>
      <c r="R58" s="2">
        <f t="shared" ca="1" si="17"/>
        <v>48920547.945205472</v>
      </c>
      <c r="S58" s="2">
        <f t="shared" ca="1" si="18"/>
        <v>49600000</v>
      </c>
      <c r="T58" s="2">
        <f t="shared" ca="1" si="19"/>
        <v>48920547.945205472</v>
      </c>
    </row>
    <row r="59" spans="2:20" ht="11.45" customHeight="1" x14ac:dyDescent="0.25">
      <c r="B59" s="86">
        <f t="shared" si="20"/>
        <v>35</v>
      </c>
      <c r="C59" s="88">
        <f t="shared" ca="1" si="22"/>
        <v>45200</v>
      </c>
      <c r="D59" s="87">
        <f t="shared" ca="1" si="21"/>
        <v>30</v>
      </c>
      <c r="E59" s="157">
        <f t="shared" si="7"/>
        <v>10000000000</v>
      </c>
      <c r="F59" s="156">
        <f t="shared" si="8"/>
        <v>5.7599999999999998E-2</v>
      </c>
      <c r="G59" s="78">
        <f t="shared" si="9"/>
        <v>0</v>
      </c>
      <c r="H59" s="44">
        <f t="shared" si="5"/>
        <v>47999999.999999993</v>
      </c>
      <c r="I59" s="44">
        <f t="shared" si="10"/>
        <v>47999999.999999993</v>
      </c>
      <c r="J59" s="44">
        <f t="shared" si="11"/>
        <v>10000000000</v>
      </c>
      <c r="K59" s="46">
        <f t="shared" si="6"/>
        <v>85</v>
      </c>
      <c r="L59" s="46">
        <f t="shared" si="12"/>
        <v>360</v>
      </c>
      <c r="M59" s="26">
        <f t="shared" ca="1" si="13"/>
        <v>365</v>
      </c>
      <c r="N59" s="2">
        <f t="shared" ca="1" si="14"/>
        <v>1.5780821917808218E-4</v>
      </c>
      <c r="P59" s="2">
        <f t="shared" ca="1" si="15"/>
        <v>49600000</v>
      </c>
      <c r="Q59" s="2">
        <f t="shared" si="16"/>
        <v>47999999.999999993</v>
      </c>
      <c r="R59" s="2">
        <f t="shared" ca="1" si="17"/>
        <v>47342465.753424659</v>
      </c>
      <c r="S59" s="2">
        <f t="shared" ca="1" si="18"/>
        <v>47999999.999999993</v>
      </c>
      <c r="T59" s="2">
        <f t="shared" ca="1" si="19"/>
        <v>47342465.753424659</v>
      </c>
    </row>
    <row r="60" spans="2:20" ht="11.45" customHeight="1" x14ac:dyDescent="0.25">
      <c r="B60" s="86">
        <f t="shared" si="20"/>
        <v>36</v>
      </c>
      <c r="C60" s="88">
        <f t="shared" ca="1" si="22"/>
        <v>45231</v>
      </c>
      <c r="D60" s="87">
        <f t="shared" ca="1" si="21"/>
        <v>31</v>
      </c>
      <c r="E60" s="157">
        <f t="shared" si="7"/>
        <v>10000000000</v>
      </c>
      <c r="F60" s="156">
        <f t="shared" si="8"/>
        <v>5.7599999999999998E-2</v>
      </c>
      <c r="G60" s="78">
        <f t="shared" si="9"/>
        <v>0</v>
      </c>
      <c r="H60" s="44">
        <f t="shared" si="5"/>
        <v>47999999.999999993</v>
      </c>
      <c r="I60" s="44">
        <f t="shared" si="10"/>
        <v>47999999.999999993</v>
      </c>
      <c r="J60" s="44">
        <f t="shared" si="11"/>
        <v>10000000000</v>
      </c>
      <c r="K60" s="46">
        <f t="shared" si="6"/>
        <v>84</v>
      </c>
      <c r="L60" s="46">
        <f t="shared" si="12"/>
        <v>360</v>
      </c>
      <c r="M60" s="26">
        <f t="shared" ca="1" si="13"/>
        <v>365</v>
      </c>
      <c r="N60" s="2">
        <f t="shared" ca="1" si="14"/>
        <v>1.5780821917808218E-4</v>
      </c>
      <c r="P60" s="2">
        <f t="shared" ca="1" si="15"/>
        <v>47999999.999999993</v>
      </c>
      <c r="Q60" s="2">
        <f t="shared" si="16"/>
        <v>47999999.999999993</v>
      </c>
      <c r="R60" s="2">
        <f t="shared" ca="1" si="17"/>
        <v>48920547.945205472</v>
      </c>
      <c r="S60" s="2">
        <f t="shared" ca="1" si="18"/>
        <v>49600000</v>
      </c>
      <c r="T60" s="2">
        <f t="shared" ca="1" si="19"/>
        <v>48920547.945205472</v>
      </c>
    </row>
    <row r="61" spans="2:20" ht="11.45" customHeight="1" x14ac:dyDescent="0.25">
      <c r="B61" s="86">
        <f t="shared" si="20"/>
        <v>37</v>
      </c>
      <c r="C61" s="88">
        <f t="shared" ca="1" si="22"/>
        <v>45261</v>
      </c>
      <c r="D61" s="87">
        <f t="shared" ca="1" si="21"/>
        <v>30</v>
      </c>
      <c r="E61" s="157">
        <f t="shared" si="7"/>
        <v>10000000000</v>
      </c>
      <c r="F61" s="156">
        <f t="shared" si="8"/>
        <v>5.7599999999999998E-2</v>
      </c>
      <c r="G61" s="78">
        <f t="shared" si="9"/>
        <v>10420827.377258956</v>
      </c>
      <c r="H61" s="44">
        <f t="shared" si="5"/>
        <v>47999999.999999993</v>
      </c>
      <c r="I61" s="44">
        <f t="shared" si="10"/>
        <v>58420827.377258949</v>
      </c>
      <c r="J61" s="44">
        <f t="shared" si="11"/>
        <v>9989579172.6227417</v>
      </c>
      <c r="K61" s="46">
        <f t="shared" si="6"/>
        <v>83</v>
      </c>
      <c r="L61" s="46">
        <f t="shared" si="12"/>
        <v>359</v>
      </c>
      <c r="M61" s="26">
        <f t="shared" ca="1" si="13"/>
        <v>365</v>
      </c>
      <c r="N61" s="2">
        <f t="shared" ca="1" si="14"/>
        <v>1.5780821917808218E-4</v>
      </c>
      <c r="P61" s="2">
        <f t="shared" ca="1" si="15"/>
        <v>49600000</v>
      </c>
      <c r="Q61" s="2">
        <f t="shared" si="16"/>
        <v>47999999.999999993</v>
      </c>
      <c r="R61" s="2">
        <f t="shared" ca="1" si="17"/>
        <v>47342465.753424659</v>
      </c>
      <c r="S61" s="2">
        <f t="shared" ca="1" si="18"/>
        <v>47999999.999999993</v>
      </c>
      <c r="T61" s="2">
        <f t="shared" ca="1" si="19"/>
        <v>47342465.753424659</v>
      </c>
    </row>
    <row r="62" spans="2:20" ht="11.45" customHeight="1" x14ac:dyDescent="0.25">
      <c r="B62" s="86">
        <f t="shared" si="20"/>
        <v>38</v>
      </c>
      <c r="C62" s="88">
        <f t="shared" ca="1" si="22"/>
        <v>45292</v>
      </c>
      <c r="D62" s="87">
        <f t="shared" ca="1" si="21"/>
        <v>31</v>
      </c>
      <c r="E62" s="157">
        <f t="shared" si="7"/>
        <v>9989579172.6227417</v>
      </c>
      <c r="F62" s="156">
        <f t="shared" si="8"/>
        <v>5.7599999999999998E-2</v>
      </c>
      <c r="G62" s="78">
        <f t="shared" si="9"/>
        <v>10470847.34866979</v>
      </c>
      <c r="H62" s="44">
        <f t="shared" si="5"/>
        <v>47949980.028589159</v>
      </c>
      <c r="I62" s="44">
        <f t="shared" si="10"/>
        <v>58420827.377258949</v>
      </c>
      <c r="J62" s="44">
        <f t="shared" si="11"/>
        <v>9979108325.2740726</v>
      </c>
      <c r="K62" s="46">
        <f t="shared" si="6"/>
        <v>82</v>
      </c>
      <c r="L62" s="46">
        <f t="shared" si="12"/>
        <v>358</v>
      </c>
      <c r="M62" s="26">
        <f t="shared" ca="1" si="13"/>
        <v>365</v>
      </c>
      <c r="N62" s="2">
        <f t="shared" ca="1" si="14"/>
        <v>1.5780821917808218E-4</v>
      </c>
      <c r="P62" s="2">
        <f t="shared" ca="1" si="15"/>
        <v>47949980.028589159</v>
      </c>
      <c r="Q62" s="2">
        <f t="shared" si="16"/>
        <v>47949980.028589159</v>
      </c>
      <c r="R62" s="2">
        <f t="shared" ca="1" si="17"/>
        <v>48869568.686671689</v>
      </c>
      <c r="S62" s="2">
        <f t="shared" ca="1" si="18"/>
        <v>49548312.696208797</v>
      </c>
      <c r="T62" s="2">
        <f t="shared" ca="1" si="19"/>
        <v>48869568.686671689</v>
      </c>
    </row>
    <row r="63" spans="2:20" ht="11.45" customHeight="1" x14ac:dyDescent="0.25">
      <c r="B63" s="86">
        <f t="shared" si="20"/>
        <v>39</v>
      </c>
      <c r="C63" s="88">
        <f t="shared" ca="1" si="22"/>
        <v>45323</v>
      </c>
      <c r="D63" s="87">
        <f t="shared" ca="1" si="21"/>
        <v>31</v>
      </c>
      <c r="E63" s="157">
        <f t="shared" si="7"/>
        <v>9979108325.2740726</v>
      </c>
      <c r="F63" s="156">
        <f t="shared" si="8"/>
        <v>5.7599999999999998E-2</v>
      </c>
      <c r="G63" s="78">
        <f t="shared" si="9"/>
        <v>10521107.415943407</v>
      </c>
      <c r="H63" s="44">
        <f t="shared" si="5"/>
        <v>47899719.961315542</v>
      </c>
      <c r="I63" s="44">
        <f t="shared" si="10"/>
        <v>58420827.377258949</v>
      </c>
      <c r="J63" s="44">
        <f t="shared" si="11"/>
        <v>9968587217.8581295</v>
      </c>
      <c r="K63" s="46">
        <f t="shared" si="6"/>
        <v>81</v>
      </c>
      <c r="L63" s="46">
        <f t="shared" si="12"/>
        <v>357</v>
      </c>
      <c r="M63" s="26">
        <f t="shared" ca="1" si="13"/>
        <v>365</v>
      </c>
      <c r="N63" s="2">
        <f t="shared" ca="1" si="14"/>
        <v>1.5780821917808218E-4</v>
      </c>
      <c r="P63" s="2">
        <f t="shared" ca="1" si="15"/>
        <v>49496377.293359399</v>
      </c>
      <c r="Q63" s="2">
        <f t="shared" si="16"/>
        <v>47899719.961315542</v>
      </c>
      <c r="R63" s="2">
        <f t="shared" ca="1" si="17"/>
        <v>48818344.727696933</v>
      </c>
      <c r="S63" s="2">
        <f t="shared" ca="1" si="18"/>
        <v>49496377.293359399</v>
      </c>
      <c r="T63" s="2">
        <f t="shared" ca="1" si="19"/>
        <v>48818344.727696933</v>
      </c>
    </row>
    <row r="64" spans="2:20" ht="11.45" customHeight="1" x14ac:dyDescent="0.25">
      <c r="B64" s="86">
        <f t="shared" si="20"/>
        <v>40</v>
      </c>
      <c r="C64" s="88">
        <f t="shared" ca="1" si="22"/>
        <v>45352</v>
      </c>
      <c r="D64" s="87">
        <f t="shared" ca="1" si="21"/>
        <v>29</v>
      </c>
      <c r="E64" s="157">
        <f t="shared" si="7"/>
        <v>9968587217.8581295</v>
      </c>
      <c r="F64" s="156">
        <f t="shared" si="8"/>
        <v>5.7599999999999998E-2</v>
      </c>
      <c r="G64" s="78">
        <f t="shared" si="9"/>
        <v>10571608.731539935</v>
      </c>
      <c r="H64" s="44">
        <f t="shared" si="5"/>
        <v>47849218.645719014</v>
      </c>
      <c r="I64" s="44">
        <f t="shared" si="10"/>
        <v>58420827.377258949</v>
      </c>
      <c r="J64" s="44">
        <f t="shared" si="11"/>
        <v>9958015609.1265888</v>
      </c>
      <c r="K64" s="46">
        <f t="shared" si="6"/>
        <v>80</v>
      </c>
      <c r="L64" s="46">
        <f t="shared" si="12"/>
        <v>356</v>
      </c>
      <c r="M64" s="26">
        <f t="shared" ca="1" si="13"/>
        <v>366</v>
      </c>
      <c r="N64" s="2">
        <f t="shared" ca="1" si="14"/>
        <v>1.5737704918032785E-4</v>
      </c>
      <c r="P64" s="2">
        <f t="shared" ca="1" si="15"/>
        <v>49444192.600576319</v>
      </c>
      <c r="Q64" s="2">
        <f t="shared" si="16"/>
        <v>47849218.645719014</v>
      </c>
      <c r="R64" s="2">
        <f t="shared" ca="1" si="17"/>
        <v>45620624.900575951</v>
      </c>
      <c r="S64" s="2">
        <f t="shared" ca="1" si="18"/>
        <v>46254244.690861724</v>
      </c>
      <c r="T64" s="2">
        <f t="shared" ca="1" si="19"/>
        <v>45495978.384454153</v>
      </c>
    </row>
    <row r="65" spans="2:20" ht="11.45" customHeight="1" x14ac:dyDescent="0.25">
      <c r="B65" s="86">
        <f t="shared" si="20"/>
        <v>41</v>
      </c>
      <c r="C65" s="88">
        <f t="shared" ca="1" si="22"/>
        <v>45383</v>
      </c>
      <c r="D65" s="87">
        <f t="shared" ca="1" si="21"/>
        <v>31</v>
      </c>
      <c r="E65" s="157">
        <f t="shared" si="7"/>
        <v>9958015609.1265888</v>
      </c>
      <c r="F65" s="156">
        <f t="shared" si="8"/>
        <v>5.7599999999999998E-2</v>
      </c>
      <c r="G65" s="78">
        <f t="shared" si="9"/>
        <v>10622352.453451328</v>
      </c>
      <c r="H65" s="44">
        <f t="shared" si="5"/>
        <v>47798474.923807621</v>
      </c>
      <c r="I65" s="44">
        <f t="shared" si="10"/>
        <v>58420827.377258949</v>
      </c>
      <c r="J65" s="44">
        <f t="shared" si="11"/>
        <v>9947393256.6731377</v>
      </c>
      <c r="K65" s="46">
        <f t="shared" si="6"/>
        <v>79</v>
      </c>
      <c r="L65" s="46">
        <f t="shared" si="12"/>
        <v>355</v>
      </c>
      <c r="M65" s="26">
        <f t="shared" ca="1" si="13"/>
        <v>366</v>
      </c>
      <c r="N65" s="2">
        <f t="shared" ca="1" si="14"/>
        <v>1.5737704918032785E-4</v>
      </c>
      <c r="P65" s="2">
        <f t="shared" ca="1" si="15"/>
        <v>46205192.426347375</v>
      </c>
      <c r="Q65" s="2">
        <f t="shared" si="16"/>
        <v>47798474.923807621</v>
      </c>
      <c r="R65" s="2">
        <f t="shared" ca="1" si="17"/>
        <v>48715158.004538178</v>
      </c>
      <c r="S65" s="2">
        <f t="shared" ca="1" si="18"/>
        <v>49391757.421267882</v>
      </c>
      <c r="T65" s="2">
        <f t="shared" ca="1" si="19"/>
        <v>48582056.479935616</v>
      </c>
    </row>
    <row r="66" spans="2:20" ht="11.45" customHeight="1" x14ac:dyDescent="0.25">
      <c r="B66" s="86">
        <f t="shared" si="20"/>
        <v>42</v>
      </c>
      <c r="C66" s="88">
        <f t="shared" ca="1" si="22"/>
        <v>45413</v>
      </c>
      <c r="D66" s="87">
        <f t="shared" ca="1" si="21"/>
        <v>30</v>
      </c>
      <c r="E66" s="157">
        <f t="shared" si="7"/>
        <v>9947393256.6731377</v>
      </c>
      <c r="F66" s="156">
        <f t="shared" si="8"/>
        <v>5.7599999999999998E-2</v>
      </c>
      <c r="G66" s="78">
        <f t="shared" si="9"/>
        <v>10673339.745227896</v>
      </c>
      <c r="H66" s="44">
        <f t="shared" si="5"/>
        <v>47747487.632031053</v>
      </c>
      <c r="I66" s="44">
        <f t="shared" si="10"/>
        <v>58420827.377258949</v>
      </c>
      <c r="J66" s="44">
        <f t="shared" si="11"/>
        <v>9936719916.9279099</v>
      </c>
      <c r="K66" s="46">
        <f t="shared" si="6"/>
        <v>78</v>
      </c>
      <c r="L66" s="46">
        <f t="shared" si="12"/>
        <v>354</v>
      </c>
      <c r="M66" s="26">
        <f t="shared" ca="1" si="13"/>
        <v>366</v>
      </c>
      <c r="N66" s="2">
        <f t="shared" ca="1" si="14"/>
        <v>1.5737704918032785E-4</v>
      </c>
      <c r="P66" s="2">
        <f t="shared" ca="1" si="15"/>
        <v>49339070.553098761</v>
      </c>
      <c r="Q66" s="2">
        <f t="shared" si="16"/>
        <v>47747487.632031053</v>
      </c>
      <c r="R66" s="2">
        <f t="shared" ca="1" si="17"/>
        <v>47093412.458989538</v>
      </c>
      <c r="S66" s="2">
        <f t="shared" ca="1" si="18"/>
        <v>47747487.632031053</v>
      </c>
      <c r="T66" s="2">
        <f t="shared" ca="1" si="19"/>
        <v>46964741.9331453</v>
      </c>
    </row>
    <row r="67" spans="2:20" ht="11.45" customHeight="1" x14ac:dyDescent="0.25">
      <c r="B67" s="86">
        <f t="shared" si="20"/>
        <v>43</v>
      </c>
      <c r="C67" s="88">
        <f t="shared" ca="1" si="22"/>
        <v>45444</v>
      </c>
      <c r="D67" s="87">
        <f t="shared" ca="1" si="21"/>
        <v>31</v>
      </c>
      <c r="E67" s="157">
        <f t="shared" si="7"/>
        <v>9936719916.9279099</v>
      </c>
      <c r="F67" s="156">
        <f t="shared" si="8"/>
        <v>5.7599999999999998E-2</v>
      </c>
      <c r="G67" s="78">
        <f t="shared" si="9"/>
        <v>10724571.776004985</v>
      </c>
      <c r="H67" s="44">
        <f t="shared" si="5"/>
        <v>47696255.601253964</v>
      </c>
      <c r="I67" s="44">
        <f t="shared" si="10"/>
        <v>58420827.377258949</v>
      </c>
      <c r="J67" s="44">
        <f t="shared" si="11"/>
        <v>9925995345.1519051</v>
      </c>
      <c r="K67" s="46">
        <f t="shared" si="6"/>
        <v>77</v>
      </c>
      <c r="L67" s="46">
        <f t="shared" si="12"/>
        <v>353</v>
      </c>
      <c r="M67" s="26">
        <f t="shared" ca="1" si="13"/>
        <v>366</v>
      </c>
      <c r="N67" s="2">
        <f t="shared" ca="1" si="14"/>
        <v>1.5737704918032785E-4</v>
      </c>
      <c r="P67" s="2">
        <f t="shared" ca="1" si="15"/>
        <v>47696255.601253964</v>
      </c>
      <c r="Q67" s="2">
        <f t="shared" si="16"/>
        <v>47696255.601253964</v>
      </c>
      <c r="R67" s="2">
        <f t="shared" ca="1" si="17"/>
        <v>48610978.311414994</v>
      </c>
      <c r="S67" s="2">
        <f t="shared" ca="1" si="18"/>
        <v>49286130.787962429</v>
      </c>
      <c r="T67" s="2">
        <f t="shared" ca="1" si="19"/>
        <v>48478161.43078272</v>
      </c>
    </row>
    <row r="68" spans="2:20" ht="11.45" customHeight="1" x14ac:dyDescent="0.25">
      <c r="B68" s="86">
        <f t="shared" si="20"/>
        <v>44</v>
      </c>
      <c r="C68" s="88">
        <f t="shared" ca="1" si="22"/>
        <v>45474</v>
      </c>
      <c r="D68" s="87">
        <f t="shared" ca="1" si="21"/>
        <v>30</v>
      </c>
      <c r="E68" s="157">
        <f t="shared" si="7"/>
        <v>9925995345.1519051</v>
      </c>
      <c r="F68" s="156">
        <f t="shared" si="8"/>
        <v>5.7599999999999998E-2</v>
      </c>
      <c r="G68" s="78">
        <f t="shared" si="9"/>
        <v>10776049.72052981</v>
      </c>
      <c r="H68" s="44">
        <f t="shared" si="5"/>
        <v>47644777.656729139</v>
      </c>
      <c r="I68" s="44">
        <f t="shared" si="10"/>
        <v>58420827.377258949</v>
      </c>
      <c r="J68" s="44">
        <f t="shared" si="11"/>
        <v>9915219295.4313755</v>
      </c>
      <c r="K68" s="46">
        <f t="shared" si="6"/>
        <v>76</v>
      </c>
      <c r="L68" s="46">
        <f t="shared" si="12"/>
        <v>352</v>
      </c>
      <c r="M68" s="26">
        <f t="shared" ca="1" si="13"/>
        <v>366</v>
      </c>
      <c r="N68" s="2">
        <f t="shared" ca="1" si="14"/>
        <v>1.5737704918032785E-4</v>
      </c>
      <c r="P68" s="2">
        <f t="shared" ca="1" si="15"/>
        <v>49232936.911953449</v>
      </c>
      <c r="Q68" s="2">
        <f t="shared" si="16"/>
        <v>47644777.656729139</v>
      </c>
      <c r="R68" s="2">
        <f t="shared" ca="1" si="17"/>
        <v>46992109.469650663</v>
      </c>
      <c r="S68" s="2">
        <f t="shared" ca="1" si="18"/>
        <v>47644777.656729139</v>
      </c>
      <c r="T68" s="2">
        <f t="shared" ca="1" si="19"/>
        <v>46863715.7279303</v>
      </c>
    </row>
    <row r="69" spans="2:20" ht="11.45" customHeight="1" x14ac:dyDescent="0.25">
      <c r="B69" s="86">
        <f t="shared" si="20"/>
        <v>45</v>
      </c>
      <c r="C69" s="88">
        <f t="shared" ca="1" si="22"/>
        <v>45505</v>
      </c>
      <c r="D69" s="87">
        <f t="shared" ca="1" si="21"/>
        <v>31</v>
      </c>
      <c r="E69" s="157">
        <f t="shared" si="7"/>
        <v>9915219295.4313755</v>
      </c>
      <c r="F69" s="156">
        <f t="shared" si="8"/>
        <v>5.7599999999999998E-2</v>
      </c>
      <c r="G69" s="78">
        <f t="shared" si="9"/>
        <v>10827774.759188354</v>
      </c>
      <c r="H69" s="44">
        <f t="shared" si="5"/>
        <v>47593052.618070595</v>
      </c>
      <c r="I69" s="44">
        <f t="shared" si="10"/>
        <v>58420827.377258949</v>
      </c>
      <c r="J69" s="44">
        <f t="shared" si="11"/>
        <v>9904391520.6721878</v>
      </c>
      <c r="K69" s="46">
        <f t="shared" si="6"/>
        <v>75</v>
      </c>
      <c r="L69" s="46">
        <f t="shared" si="12"/>
        <v>351</v>
      </c>
      <c r="M69" s="26">
        <f t="shared" ca="1" si="13"/>
        <v>366</v>
      </c>
      <c r="N69" s="2">
        <f t="shared" ca="1" si="14"/>
        <v>1.5737704918032785E-4</v>
      </c>
      <c r="P69" s="2">
        <f t="shared" ca="1" si="15"/>
        <v>47593052.618070595</v>
      </c>
      <c r="Q69" s="2">
        <f t="shared" si="16"/>
        <v>47593052.618070595</v>
      </c>
      <c r="R69" s="2">
        <f t="shared" ca="1" si="17"/>
        <v>48505796.0929377</v>
      </c>
      <c r="S69" s="2">
        <f t="shared" ca="1" si="18"/>
        <v>49179487.705339625</v>
      </c>
      <c r="T69" s="2">
        <f t="shared" ca="1" si="19"/>
        <v>48373266.595416024</v>
      </c>
    </row>
    <row r="70" spans="2:20" ht="11.45" customHeight="1" x14ac:dyDescent="0.25">
      <c r="B70" s="86">
        <f t="shared" si="20"/>
        <v>46</v>
      </c>
      <c r="C70" s="88">
        <f t="shared" ca="1" si="22"/>
        <v>45536</v>
      </c>
      <c r="D70" s="87">
        <f t="shared" ca="1" si="21"/>
        <v>31</v>
      </c>
      <c r="E70" s="157">
        <f t="shared" si="7"/>
        <v>9904391520.6721878</v>
      </c>
      <c r="F70" s="156">
        <f t="shared" si="8"/>
        <v>5.7599999999999998E-2</v>
      </c>
      <c r="G70" s="78">
        <f t="shared" si="9"/>
        <v>10879748.078032449</v>
      </c>
      <c r="H70" s="44">
        <f t="shared" si="5"/>
        <v>47541079.2992265</v>
      </c>
      <c r="I70" s="44">
        <f t="shared" si="10"/>
        <v>58420827.377258949</v>
      </c>
      <c r="J70" s="44">
        <f t="shared" si="11"/>
        <v>9893511772.5941563</v>
      </c>
      <c r="K70" s="46">
        <f t="shared" si="6"/>
        <v>74</v>
      </c>
      <c r="L70" s="46">
        <f t="shared" si="12"/>
        <v>350</v>
      </c>
      <c r="M70" s="26">
        <f t="shared" ca="1" si="13"/>
        <v>366</v>
      </c>
      <c r="N70" s="2">
        <f t="shared" ca="1" si="14"/>
        <v>1.5737704918032785E-4</v>
      </c>
      <c r="P70" s="2">
        <f t="shared" ca="1" si="15"/>
        <v>49125781.942534052</v>
      </c>
      <c r="Q70" s="2">
        <f t="shared" si="16"/>
        <v>47541079.2992265</v>
      </c>
      <c r="R70" s="2">
        <f t="shared" ca="1" si="17"/>
        <v>48452826.025513031</v>
      </c>
      <c r="S70" s="2">
        <f t="shared" ca="1" si="18"/>
        <v>49125781.942534052</v>
      </c>
      <c r="T70" s="2">
        <f t="shared" ca="1" si="19"/>
        <v>48320441.254951522</v>
      </c>
    </row>
    <row r="71" spans="2:20" ht="11.45" customHeight="1" x14ac:dyDescent="0.25">
      <c r="B71" s="86">
        <f t="shared" si="20"/>
        <v>47</v>
      </c>
      <c r="C71" s="88">
        <f t="shared" ca="1" si="22"/>
        <v>45566</v>
      </c>
      <c r="D71" s="87">
        <f t="shared" ca="1" si="21"/>
        <v>30</v>
      </c>
      <c r="E71" s="157">
        <f t="shared" si="7"/>
        <v>9893511772.5941563</v>
      </c>
      <c r="F71" s="156">
        <f t="shared" si="8"/>
        <v>5.7599999999999998E-2</v>
      </c>
      <c r="G71" s="78">
        <f t="shared" si="9"/>
        <v>10931970.868807003</v>
      </c>
      <c r="H71" s="44">
        <f t="shared" si="5"/>
        <v>47488856.508451946</v>
      </c>
      <c r="I71" s="44">
        <f t="shared" si="10"/>
        <v>58420827.377258949</v>
      </c>
      <c r="J71" s="44">
        <f t="shared" si="11"/>
        <v>9882579801.7253494</v>
      </c>
      <c r="K71" s="46">
        <f t="shared" si="6"/>
        <v>73</v>
      </c>
      <c r="L71" s="46">
        <f t="shared" si="12"/>
        <v>349</v>
      </c>
      <c r="M71" s="26">
        <f t="shared" ca="1" si="13"/>
        <v>366</v>
      </c>
      <c r="N71" s="2">
        <f t="shared" ca="1" si="14"/>
        <v>1.5737704918032785E-4</v>
      </c>
      <c r="P71" s="2">
        <f t="shared" ca="1" si="15"/>
        <v>49071818.392067015</v>
      </c>
      <c r="Q71" s="2">
        <f t="shared" si="16"/>
        <v>47488856.508451946</v>
      </c>
      <c r="R71" s="2">
        <f t="shared" ca="1" si="17"/>
        <v>46838324.227514252</v>
      </c>
      <c r="S71" s="2">
        <f t="shared" ca="1" si="18"/>
        <v>47488856.508451946</v>
      </c>
      <c r="T71" s="2">
        <f t="shared" ca="1" si="19"/>
        <v>46710350.664051093</v>
      </c>
    </row>
    <row r="72" spans="2:20" ht="11.45" customHeight="1" x14ac:dyDescent="0.25">
      <c r="B72" s="86">
        <f t="shared" si="20"/>
        <v>48</v>
      </c>
      <c r="C72" s="88">
        <f t="shared" ca="1" si="22"/>
        <v>45597</v>
      </c>
      <c r="D72" s="87">
        <f t="shared" ca="1" si="21"/>
        <v>31</v>
      </c>
      <c r="E72" s="157">
        <f t="shared" si="7"/>
        <v>9882579801.7253494</v>
      </c>
      <c r="F72" s="156">
        <f t="shared" si="8"/>
        <v>5.7599999999999998E-2</v>
      </c>
      <c r="G72" s="78">
        <f t="shared" si="9"/>
        <v>10984444.328977279</v>
      </c>
      <c r="H72" s="44">
        <f t="shared" si="5"/>
        <v>47436383.04828167</v>
      </c>
      <c r="I72" s="44">
        <f t="shared" si="10"/>
        <v>58420827.377258949</v>
      </c>
      <c r="J72" s="44">
        <f t="shared" si="11"/>
        <v>9871595357.3963718</v>
      </c>
      <c r="K72" s="46">
        <f t="shared" si="6"/>
        <v>72</v>
      </c>
      <c r="L72" s="46">
        <f t="shared" si="12"/>
        <v>348</v>
      </c>
      <c r="M72" s="26">
        <f t="shared" ca="1" si="13"/>
        <v>366</v>
      </c>
      <c r="N72" s="2">
        <f t="shared" ca="1" si="14"/>
        <v>1.5737704918032785E-4</v>
      </c>
      <c r="P72" s="2">
        <f t="shared" ca="1" si="15"/>
        <v>47436383.04828167</v>
      </c>
      <c r="Q72" s="2">
        <f t="shared" si="16"/>
        <v>47436383.04828167</v>
      </c>
      <c r="R72" s="2">
        <f t="shared" ca="1" si="17"/>
        <v>48346121.901262417</v>
      </c>
      <c r="S72" s="2">
        <f t="shared" ca="1" si="18"/>
        <v>49017595.816557735</v>
      </c>
      <c r="T72" s="2">
        <f t="shared" ca="1" si="19"/>
        <v>48214028.672023997</v>
      </c>
    </row>
    <row r="73" spans="2:20" ht="11.45" customHeight="1" x14ac:dyDescent="0.25">
      <c r="B73" s="86">
        <f t="shared" si="20"/>
        <v>49</v>
      </c>
      <c r="C73" s="88">
        <f t="shared" ca="1" si="22"/>
        <v>45627</v>
      </c>
      <c r="D73" s="87">
        <f t="shared" ca="1" si="21"/>
        <v>30</v>
      </c>
      <c r="E73" s="157">
        <f t="shared" si="7"/>
        <v>9871595357.3963718</v>
      </c>
      <c r="F73" s="156">
        <f t="shared" si="8"/>
        <v>5.7599999999999998E-2</v>
      </c>
      <c r="G73" s="78">
        <f t="shared" si="9"/>
        <v>11037169.661756366</v>
      </c>
      <c r="H73" s="44">
        <f t="shared" si="5"/>
        <v>47383657.715502582</v>
      </c>
      <c r="I73" s="44">
        <f t="shared" si="10"/>
        <v>58420827.377258949</v>
      </c>
      <c r="J73" s="44">
        <f t="shared" si="11"/>
        <v>9860558187.7346153</v>
      </c>
      <c r="K73" s="46">
        <f t="shared" si="6"/>
        <v>71</v>
      </c>
      <c r="L73" s="46">
        <f t="shared" si="12"/>
        <v>347</v>
      </c>
      <c r="M73" s="26">
        <f t="shared" ca="1" si="13"/>
        <v>366</v>
      </c>
      <c r="N73" s="2">
        <f t="shared" ca="1" si="14"/>
        <v>1.5737704918032785E-4</v>
      </c>
      <c r="P73" s="2">
        <f t="shared" ca="1" si="15"/>
        <v>48963112.972686008</v>
      </c>
      <c r="Q73" s="2">
        <f t="shared" si="16"/>
        <v>47383657.715502582</v>
      </c>
      <c r="R73" s="2">
        <f t="shared" ca="1" si="17"/>
        <v>46734566.513920359</v>
      </c>
      <c r="S73" s="2">
        <f t="shared" ca="1" si="18"/>
        <v>47383657.715502582</v>
      </c>
      <c r="T73" s="2">
        <f t="shared" ca="1" si="19"/>
        <v>46606876.441477947</v>
      </c>
    </row>
    <row r="74" spans="2:20" ht="11.45" customHeight="1" x14ac:dyDescent="0.25">
      <c r="B74" s="86">
        <f t="shared" si="20"/>
        <v>50</v>
      </c>
      <c r="C74" s="88">
        <f t="shared" ca="1" si="22"/>
        <v>45658</v>
      </c>
      <c r="D74" s="87">
        <f t="shared" ca="1" si="21"/>
        <v>31</v>
      </c>
      <c r="E74" s="157">
        <f t="shared" si="7"/>
        <v>9860558187.7346153</v>
      </c>
      <c r="F74" s="156">
        <f t="shared" si="8"/>
        <v>5.7599999999999998E-2</v>
      </c>
      <c r="G74" s="78">
        <f t="shared" si="9"/>
        <v>11090148.076132797</v>
      </c>
      <c r="H74" s="44">
        <f t="shared" si="5"/>
        <v>47330679.301126152</v>
      </c>
      <c r="I74" s="44">
        <f t="shared" si="10"/>
        <v>58420827.377258949</v>
      </c>
      <c r="J74" s="44">
        <f t="shared" si="11"/>
        <v>9849468039.6584816</v>
      </c>
      <c r="K74" s="46">
        <f t="shared" si="6"/>
        <v>70</v>
      </c>
      <c r="L74" s="46">
        <f t="shared" si="12"/>
        <v>346</v>
      </c>
      <c r="M74" s="26">
        <f t="shared" ca="1" si="13"/>
        <v>366</v>
      </c>
      <c r="N74" s="2">
        <f t="shared" ca="1" si="14"/>
        <v>1.5737704918032785E-4</v>
      </c>
      <c r="P74" s="2">
        <f t="shared" ca="1" si="15"/>
        <v>47330679.301126152</v>
      </c>
      <c r="Q74" s="2">
        <f t="shared" si="16"/>
        <v>47330679.301126152</v>
      </c>
      <c r="R74" s="2">
        <f t="shared" ca="1" si="17"/>
        <v>48238390.958955966</v>
      </c>
      <c r="S74" s="2">
        <f t="shared" ca="1" si="18"/>
        <v>48908368.611163691</v>
      </c>
      <c r="T74" s="2">
        <f t="shared" ca="1" si="19"/>
        <v>48106592.076554447</v>
      </c>
    </row>
    <row r="75" spans="2:20" ht="11.45" customHeight="1" x14ac:dyDescent="0.25">
      <c r="B75" s="86">
        <f t="shared" si="20"/>
        <v>51</v>
      </c>
      <c r="C75" s="88">
        <f t="shared" ca="1" si="22"/>
        <v>45689</v>
      </c>
      <c r="D75" s="87">
        <f t="shared" ca="1" si="21"/>
        <v>31</v>
      </c>
      <c r="E75" s="157">
        <f t="shared" si="7"/>
        <v>9849468039.6584816</v>
      </c>
      <c r="F75" s="156">
        <f t="shared" si="8"/>
        <v>5.7599999999999998E-2</v>
      </c>
      <c r="G75" s="78">
        <f t="shared" si="9"/>
        <v>11143380.78689824</v>
      </c>
      <c r="H75" s="44">
        <f t="shared" si="5"/>
        <v>47277446.590360709</v>
      </c>
      <c r="I75" s="44">
        <f t="shared" si="10"/>
        <v>58420827.377258949</v>
      </c>
      <c r="J75" s="44">
        <f t="shared" si="11"/>
        <v>9838324658.8715839</v>
      </c>
      <c r="K75" s="46">
        <f t="shared" si="6"/>
        <v>69</v>
      </c>
      <c r="L75" s="46">
        <f t="shared" si="12"/>
        <v>345</v>
      </c>
      <c r="M75" s="26">
        <f t="shared" ca="1" si="13"/>
        <v>366</v>
      </c>
      <c r="N75" s="2">
        <f t="shared" ca="1" si="14"/>
        <v>1.5737704918032785E-4</v>
      </c>
      <c r="P75" s="2">
        <f t="shared" ca="1" si="15"/>
        <v>48853361.476706065</v>
      </c>
      <c r="Q75" s="2">
        <f t="shared" si="16"/>
        <v>47277446.590360709</v>
      </c>
      <c r="R75" s="2">
        <f t="shared" ca="1" si="17"/>
        <v>48184137.34688817</v>
      </c>
      <c r="S75" s="2">
        <f t="shared" ca="1" si="18"/>
        <v>48853361.476706065</v>
      </c>
      <c r="T75" s="2">
        <f t="shared" ca="1" si="19"/>
        <v>48052486.69839941</v>
      </c>
    </row>
    <row r="76" spans="2:20" ht="11.45" customHeight="1" x14ac:dyDescent="0.25">
      <c r="B76" s="86">
        <f t="shared" si="20"/>
        <v>52</v>
      </c>
      <c r="C76" s="88">
        <f t="shared" ca="1" si="22"/>
        <v>45717</v>
      </c>
      <c r="D76" s="87">
        <f t="shared" ca="1" si="21"/>
        <v>28</v>
      </c>
      <c r="E76" s="157">
        <f t="shared" si="7"/>
        <v>9838324658.8715839</v>
      </c>
      <c r="F76" s="156">
        <f t="shared" si="8"/>
        <v>5.7599999999999998E-2</v>
      </c>
      <c r="G76" s="78">
        <f t="shared" si="9"/>
        <v>11196869.014675349</v>
      </c>
      <c r="H76" s="44">
        <f t="shared" si="5"/>
        <v>47223958.3625836</v>
      </c>
      <c r="I76" s="44">
        <f t="shared" si="10"/>
        <v>58420827.377258949</v>
      </c>
      <c r="J76" s="44">
        <f t="shared" si="11"/>
        <v>9827127789.8569088</v>
      </c>
      <c r="K76" s="46">
        <f t="shared" si="6"/>
        <v>68</v>
      </c>
      <c r="L76" s="46">
        <f t="shared" si="12"/>
        <v>344</v>
      </c>
      <c r="M76" s="26">
        <f t="shared" ca="1" si="13"/>
        <v>365</v>
      </c>
      <c r="N76" s="2">
        <f t="shared" ca="1" si="14"/>
        <v>1.5780821917808218E-4</v>
      </c>
      <c r="P76" s="2">
        <f t="shared" ca="1" si="15"/>
        <v>48798090.308003053</v>
      </c>
      <c r="Q76" s="2">
        <f t="shared" si="16"/>
        <v>47223958.3625836</v>
      </c>
      <c r="R76" s="2">
        <f t="shared" ca="1" si="17"/>
        <v>43471917.835145451</v>
      </c>
      <c r="S76" s="2">
        <f t="shared" ca="1" si="18"/>
        <v>44075694.471744694</v>
      </c>
      <c r="T76" s="2">
        <f t="shared" ca="1" si="19"/>
        <v>43471917.835145451</v>
      </c>
    </row>
    <row r="77" spans="2:20" ht="11.45" customHeight="1" x14ac:dyDescent="0.25">
      <c r="B77" s="86">
        <f t="shared" si="20"/>
        <v>53</v>
      </c>
      <c r="C77" s="88">
        <f t="shared" ca="1" si="22"/>
        <v>45748</v>
      </c>
      <c r="D77" s="87">
        <f t="shared" ca="1" si="21"/>
        <v>31</v>
      </c>
      <c r="E77" s="157">
        <f t="shared" si="7"/>
        <v>9827127789.8569088</v>
      </c>
      <c r="F77" s="156">
        <f t="shared" si="8"/>
        <v>5.7599999999999998E-2</v>
      </c>
      <c r="G77" s="78">
        <f t="shared" si="9"/>
        <v>11250613.985945791</v>
      </c>
      <c r="H77" s="44">
        <f t="shared" si="5"/>
        <v>47170213.391313158</v>
      </c>
      <c r="I77" s="44">
        <f t="shared" si="10"/>
        <v>58420827.377258949</v>
      </c>
      <c r="J77" s="44">
        <f t="shared" si="11"/>
        <v>9815877175.8709621</v>
      </c>
      <c r="K77" s="46">
        <f t="shared" si="6"/>
        <v>67</v>
      </c>
      <c r="L77" s="46">
        <f t="shared" si="12"/>
        <v>343</v>
      </c>
      <c r="M77" s="26">
        <f t="shared" ca="1" si="13"/>
        <v>365</v>
      </c>
      <c r="N77" s="2">
        <f t="shared" ca="1" si="14"/>
        <v>1.5780821917808218E-4</v>
      </c>
      <c r="P77" s="2">
        <f t="shared" ca="1" si="15"/>
        <v>44025532.498558946</v>
      </c>
      <c r="Q77" s="2">
        <f t="shared" si="16"/>
        <v>47170213.391313158</v>
      </c>
      <c r="R77" s="2">
        <f t="shared" ca="1" si="17"/>
        <v>48074847.620735601</v>
      </c>
      <c r="S77" s="2">
        <f t="shared" ca="1" si="18"/>
        <v>48742553.837690264</v>
      </c>
      <c r="T77" s="2">
        <f t="shared" ca="1" si="19"/>
        <v>48074847.620735601</v>
      </c>
    </row>
    <row r="78" spans="2:20" ht="11.45" customHeight="1" x14ac:dyDescent="0.25">
      <c r="B78" s="86">
        <f t="shared" si="20"/>
        <v>54</v>
      </c>
      <c r="C78" s="88">
        <f t="shared" ca="1" si="22"/>
        <v>45778</v>
      </c>
      <c r="D78" s="87">
        <f t="shared" ca="1" si="21"/>
        <v>30</v>
      </c>
      <c r="E78" s="157">
        <f t="shared" si="7"/>
        <v>9815877175.8709621</v>
      </c>
      <c r="F78" s="156">
        <f t="shared" si="8"/>
        <v>5.7599999999999998E-2</v>
      </c>
      <c r="G78" s="78">
        <f t="shared" si="9"/>
        <v>11304616.933078334</v>
      </c>
      <c r="H78" s="44">
        <f t="shared" si="5"/>
        <v>47116210.444180615</v>
      </c>
      <c r="I78" s="44">
        <f t="shared" si="10"/>
        <v>58420827.377258949</v>
      </c>
      <c r="J78" s="44">
        <f t="shared" si="11"/>
        <v>9804572558.9378834</v>
      </c>
      <c r="K78" s="46">
        <f t="shared" si="6"/>
        <v>66</v>
      </c>
      <c r="L78" s="46">
        <f t="shared" si="12"/>
        <v>342</v>
      </c>
      <c r="M78" s="26">
        <f t="shared" ca="1" si="13"/>
        <v>365</v>
      </c>
      <c r="N78" s="2">
        <f t="shared" ca="1" si="14"/>
        <v>1.5780821917808218E-4</v>
      </c>
      <c r="P78" s="2">
        <f t="shared" ca="1" si="15"/>
        <v>48686750.792319976</v>
      </c>
      <c r="Q78" s="2">
        <f t="shared" si="16"/>
        <v>47116210.444180615</v>
      </c>
      <c r="R78" s="2">
        <f t="shared" ca="1" si="17"/>
        <v>46470782.903849378</v>
      </c>
      <c r="S78" s="2">
        <f t="shared" ca="1" si="18"/>
        <v>47116210.444180615</v>
      </c>
      <c r="T78" s="2">
        <f t="shared" ca="1" si="19"/>
        <v>46470782.903849378</v>
      </c>
    </row>
    <row r="79" spans="2:20" ht="11.45" customHeight="1" x14ac:dyDescent="0.25">
      <c r="B79" s="86">
        <f t="shared" si="20"/>
        <v>55</v>
      </c>
      <c r="C79" s="88">
        <f t="shared" ca="1" si="22"/>
        <v>45809</v>
      </c>
      <c r="D79" s="87">
        <f t="shared" ca="1" si="21"/>
        <v>31</v>
      </c>
      <c r="E79" s="157">
        <f t="shared" si="7"/>
        <v>9804572558.9378834</v>
      </c>
      <c r="F79" s="156">
        <f t="shared" si="8"/>
        <v>5.7599999999999998E-2</v>
      </c>
      <c r="G79" s="78">
        <f t="shared" si="9"/>
        <v>11358879.094357111</v>
      </c>
      <c r="H79" s="44">
        <f t="shared" si="5"/>
        <v>47061948.282901838</v>
      </c>
      <c r="I79" s="44">
        <f t="shared" si="10"/>
        <v>58420827.377258949</v>
      </c>
      <c r="J79" s="44">
        <f t="shared" si="11"/>
        <v>9793213679.8435268</v>
      </c>
      <c r="K79" s="46">
        <f t="shared" si="6"/>
        <v>65</v>
      </c>
      <c r="L79" s="46">
        <f t="shared" si="12"/>
        <v>341</v>
      </c>
      <c r="M79" s="26">
        <f t="shared" ca="1" si="13"/>
        <v>365</v>
      </c>
      <c r="N79" s="2">
        <f t="shared" ca="1" si="14"/>
        <v>1.5780821917808218E-4</v>
      </c>
      <c r="P79" s="2">
        <f t="shared" ca="1" si="15"/>
        <v>47061948.282901838</v>
      </c>
      <c r="Q79" s="2">
        <f t="shared" si="16"/>
        <v>47061948.282901838</v>
      </c>
      <c r="R79" s="2">
        <f t="shared" ca="1" si="17"/>
        <v>47964506.195176661</v>
      </c>
      <c r="S79" s="2">
        <f t="shared" ca="1" si="18"/>
        <v>48630679.892331898</v>
      </c>
      <c r="T79" s="2">
        <f t="shared" ca="1" si="19"/>
        <v>47964506.195176661</v>
      </c>
    </row>
    <row r="80" spans="2:20" ht="11.45" customHeight="1" x14ac:dyDescent="0.25">
      <c r="B80" s="86">
        <f t="shared" si="20"/>
        <v>56</v>
      </c>
      <c r="C80" s="88">
        <f t="shared" ca="1" si="22"/>
        <v>45839</v>
      </c>
      <c r="D80" s="87">
        <f t="shared" ca="1" si="21"/>
        <v>30</v>
      </c>
      <c r="E80" s="157">
        <f t="shared" si="7"/>
        <v>9793213679.8435268</v>
      </c>
      <c r="F80" s="156">
        <f t="shared" si="8"/>
        <v>5.7599999999999998E-2</v>
      </c>
      <c r="G80" s="78">
        <f t="shared" si="9"/>
        <v>11413401.714010023</v>
      </c>
      <c r="H80" s="44">
        <f t="shared" si="5"/>
        <v>47007425.663248926</v>
      </c>
      <c r="I80" s="44">
        <f t="shared" si="10"/>
        <v>58420827.377258949</v>
      </c>
      <c r="J80" s="44">
        <f t="shared" si="11"/>
        <v>9781800278.1295166</v>
      </c>
      <c r="K80" s="46">
        <f t="shared" si="6"/>
        <v>64</v>
      </c>
      <c r="L80" s="46">
        <f t="shared" si="12"/>
        <v>340</v>
      </c>
      <c r="M80" s="26">
        <f t="shared" ca="1" si="13"/>
        <v>365</v>
      </c>
      <c r="N80" s="2">
        <f t="shared" ca="1" si="14"/>
        <v>1.5780821917808218E-4</v>
      </c>
      <c r="P80" s="2">
        <f t="shared" ca="1" si="15"/>
        <v>48574339.852023892</v>
      </c>
      <c r="Q80" s="2">
        <f t="shared" si="16"/>
        <v>47007425.663248926</v>
      </c>
      <c r="R80" s="2">
        <f t="shared" ca="1" si="17"/>
        <v>46363488.325396203</v>
      </c>
      <c r="S80" s="2">
        <f t="shared" ca="1" si="18"/>
        <v>47007425.663248926</v>
      </c>
      <c r="T80" s="2">
        <f t="shared" ca="1" si="19"/>
        <v>46363488.325396203</v>
      </c>
    </row>
    <row r="81" spans="2:20" ht="11.45" customHeight="1" x14ac:dyDescent="0.25">
      <c r="B81" s="86">
        <f t="shared" si="20"/>
        <v>57</v>
      </c>
      <c r="C81" s="88">
        <f t="shared" ca="1" si="22"/>
        <v>45870</v>
      </c>
      <c r="D81" s="87">
        <f t="shared" ca="1" si="21"/>
        <v>31</v>
      </c>
      <c r="E81" s="157">
        <f t="shared" si="7"/>
        <v>9781800278.1295166</v>
      </c>
      <c r="F81" s="156">
        <f t="shared" si="8"/>
        <v>5.7599999999999998E-2</v>
      </c>
      <c r="G81" s="78">
        <f t="shared" si="9"/>
        <v>11468186.042237274</v>
      </c>
      <c r="H81" s="44">
        <f t="shared" si="5"/>
        <v>46952641.335021675</v>
      </c>
      <c r="I81" s="44">
        <f t="shared" si="10"/>
        <v>58420827.377258949</v>
      </c>
      <c r="J81" s="44">
        <f t="shared" si="11"/>
        <v>9770332092.0872803</v>
      </c>
      <c r="K81" s="46">
        <f t="shared" si="6"/>
        <v>63</v>
      </c>
      <c r="L81" s="46">
        <f t="shared" si="12"/>
        <v>339</v>
      </c>
      <c r="M81" s="26">
        <f t="shared" ca="1" si="13"/>
        <v>365</v>
      </c>
      <c r="N81" s="2">
        <f t="shared" ca="1" si="14"/>
        <v>1.5780821917808218E-4</v>
      </c>
      <c r="P81" s="2">
        <f t="shared" ca="1" si="15"/>
        <v>46952641.335021675</v>
      </c>
      <c r="Q81" s="2">
        <f t="shared" si="16"/>
        <v>46952641.335021675</v>
      </c>
      <c r="R81" s="2">
        <f t="shared" ca="1" si="17"/>
        <v>47853102.949665926</v>
      </c>
      <c r="S81" s="2">
        <f t="shared" ca="1" si="18"/>
        <v>48517729.379522406</v>
      </c>
      <c r="T81" s="2">
        <f t="shared" ca="1" si="19"/>
        <v>47853102.949665926</v>
      </c>
    </row>
    <row r="82" spans="2:20" ht="11.45" customHeight="1" x14ac:dyDescent="0.25">
      <c r="B82" s="86">
        <f t="shared" si="20"/>
        <v>58</v>
      </c>
      <c r="C82" s="88">
        <f t="shared" ca="1" si="22"/>
        <v>45901</v>
      </c>
      <c r="D82" s="87">
        <f t="shared" ca="1" si="21"/>
        <v>31</v>
      </c>
      <c r="E82" s="157">
        <f t="shared" si="7"/>
        <v>9770332092.0872803</v>
      </c>
      <c r="F82" s="156">
        <f t="shared" si="8"/>
        <v>5.7599999999999998E-2</v>
      </c>
      <c r="G82" s="78">
        <f t="shared" si="9"/>
        <v>11523233.335240006</v>
      </c>
      <c r="H82" s="44">
        <f t="shared" si="5"/>
        <v>46897594.042018943</v>
      </c>
      <c r="I82" s="44">
        <f t="shared" si="10"/>
        <v>58420827.377258949</v>
      </c>
      <c r="J82" s="44">
        <f t="shared" si="11"/>
        <v>9758808858.7520409</v>
      </c>
      <c r="K82" s="46">
        <f t="shared" si="6"/>
        <v>62</v>
      </c>
      <c r="L82" s="46">
        <f t="shared" si="12"/>
        <v>338</v>
      </c>
      <c r="M82" s="26">
        <f t="shared" ca="1" si="13"/>
        <v>365</v>
      </c>
      <c r="N82" s="2">
        <f t="shared" ca="1" si="14"/>
        <v>1.5780821917808218E-4</v>
      </c>
      <c r="P82" s="2">
        <f t="shared" ca="1" si="15"/>
        <v>48460847.17675291</v>
      </c>
      <c r="Q82" s="2">
        <f t="shared" si="16"/>
        <v>46897594.042018943</v>
      </c>
      <c r="R82" s="2">
        <f t="shared" ca="1" si="17"/>
        <v>47796999.955153547</v>
      </c>
      <c r="S82" s="2">
        <f t="shared" ca="1" si="18"/>
        <v>48460847.17675291</v>
      </c>
      <c r="T82" s="2">
        <f t="shared" ca="1" si="19"/>
        <v>47796999.955153547</v>
      </c>
    </row>
    <row r="83" spans="2:20" ht="11.45" customHeight="1" x14ac:dyDescent="0.25">
      <c r="B83" s="86">
        <f t="shared" si="20"/>
        <v>59</v>
      </c>
      <c r="C83" s="88">
        <f t="shared" ca="1" si="22"/>
        <v>45931</v>
      </c>
      <c r="D83" s="87">
        <f t="shared" ca="1" si="21"/>
        <v>30</v>
      </c>
      <c r="E83" s="157">
        <f t="shared" si="7"/>
        <v>9758808858.7520409</v>
      </c>
      <c r="F83" s="156">
        <f t="shared" si="8"/>
        <v>5.7599999999999998E-2</v>
      </c>
      <c r="G83" s="78">
        <f t="shared" si="9"/>
        <v>11578544.855249159</v>
      </c>
      <c r="H83" s="44">
        <f t="shared" si="5"/>
        <v>46842282.52200979</v>
      </c>
      <c r="I83" s="44">
        <f t="shared" si="10"/>
        <v>58420827.377258949</v>
      </c>
      <c r="J83" s="44">
        <f t="shared" si="11"/>
        <v>9747230313.8967915</v>
      </c>
      <c r="K83" s="46">
        <f t="shared" si="6"/>
        <v>61</v>
      </c>
      <c r="L83" s="46">
        <f t="shared" si="12"/>
        <v>337</v>
      </c>
      <c r="M83" s="26">
        <f t="shared" ca="1" si="13"/>
        <v>365</v>
      </c>
      <c r="N83" s="2">
        <f t="shared" ca="1" si="14"/>
        <v>1.5780821917808218E-4</v>
      </c>
      <c r="P83" s="2">
        <f t="shared" ca="1" si="15"/>
        <v>48403691.93941012</v>
      </c>
      <c r="Q83" s="2">
        <f t="shared" si="16"/>
        <v>46842282.52200979</v>
      </c>
      <c r="R83" s="2">
        <f t="shared" ca="1" si="17"/>
        <v>46200607.418968566</v>
      </c>
      <c r="S83" s="2">
        <f t="shared" ca="1" si="18"/>
        <v>46842282.52200979</v>
      </c>
      <c r="T83" s="2">
        <f t="shared" ca="1" si="19"/>
        <v>46200607.418968566</v>
      </c>
    </row>
    <row r="84" spans="2:20" ht="11.45" customHeight="1" x14ac:dyDescent="0.25">
      <c r="B84" s="86">
        <f t="shared" si="20"/>
        <v>60</v>
      </c>
      <c r="C84" s="88">
        <f t="shared" ca="1" si="22"/>
        <v>45962</v>
      </c>
      <c r="D84" s="87">
        <f t="shared" ca="1" si="21"/>
        <v>31</v>
      </c>
      <c r="E84" s="157">
        <f t="shared" si="7"/>
        <v>9747230313.8967915</v>
      </c>
      <c r="F84" s="156">
        <f t="shared" si="8"/>
        <v>5.7599999999999998E-2</v>
      </c>
      <c r="G84" s="78">
        <f t="shared" si="9"/>
        <v>11634121.870554358</v>
      </c>
      <c r="H84" s="44">
        <f t="shared" si="5"/>
        <v>46786705.506704591</v>
      </c>
      <c r="I84" s="44">
        <f t="shared" si="10"/>
        <v>58420827.377258949</v>
      </c>
      <c r="J84" s="44">
        <f t="shared" si="11"/>
        <v>9735596192.0262375</v>
      </c>
      <c r="K84" s="46">
        <f t="shared" si="6"/>
        <v>60</v>
      </c>
      <c r="L84" s="46">
        <f t="shared" si="12"/>
        <v>336</v>
      </c>
      <c r="M84" s="26">
        <f t="shared" ca="1" si="13"/>
        <v>365</v>
      </c>
      <c r="N84" s="2">
        <f t="shared" ca="1" si="14"/>
        <v>1.5780821917808218E-4</v>
      </c>
      <c r="P84" s="2">
        <f t="shared" ca="1" si="15"/>
        <v>46786705.506704591</v>
      </c>
      <c r="Q84" s="2">
        <f t="shared" si="16"/>
        <v>46786705.506704591</v>
      </c>
      <c r="R84" s="2">
        <f t="shared" ca="1" si="17"/>
        <v>47683984.79039482</v>
      </c>
      <c r="S84" s="2">
        <f t="shared" ca="1" si="18"/>
        <v>48346262.356928088</v>
      </c>
      <c r="T84" s="2">
        <f t="shared" ca="1" si="19"/>
        <v>47683984.79039482</v>
      </c>
    </row>
    <row r="85" spans="2:20" ht="11.45" customHeight="1" x14ac:dyDescent="0.25">
      <c r="B85" s="86">
        <f t="shared" si="20"/>
        <v>61</v>
      </c>
      <c r="C85" s="88">
        <f t="shared" ca="1" si="22"/>
        <v>45992</v>
      </c>
      <c r="D85" s="87">
        <f t="shared" ca="1" si="21"/>
        <v>30</v>
      </c>
      <c r="E85" s="157">
        <f t="shared" si="7"/>
        <v>9735596192.0262375</v>
      </c>
      <c r="F85" s="156">
        <f t="shared" si="8"/>
        <v>5.7599999999999998E-2</v>
      </c>
      <c r="G85" s="78">
        <f t="shared" si="9"/>
        <v>11689965.655533016</v>
      </c>
      <c r="H85" s="44">
        <f t="shared" si="5"/>
        <v>46730861.721725933</v>
      </c>
      <c r="I85" s="44">
        <f t="shared" si="10"/>
        <v>58420827.377258949</v>
      </c>
      <c r="J85" s="44">
        <f t="shared" si="11"/>
        <v>9723906226.3707047</v>
      </c>
      <c r="K85" s="46">
        <f t="shared" si="6"/>
        <v>59</v>
      </c>
      <c r="L85" s="46">
        <f t="shared" si="12"/>
        <v>335</v>
      </c>
      <c r="M85" s="26">
        <f t="shared" ca="1" si="13"/>
        <v>365</v>
      </c>
      <c r="N85" s="2">
        <f t="shared" ca="1" si="14"/>
        <v>1.5780821917808218E-4</v>
      </c>
      <c r="P85" s="2">
        <f t="shared" ca="1" si="15"/>
        <v>48288557.112450138</v>
      </c>
      <c r="Q85" s="2">
        <f t="shared" si="16"/>
        <v>46730861.721725933</v>
      </c>
      <c r="R85" s="2">
        <f t="shared" ca="1" si="17"/>
        <v>46090712.931017362</v>
      </c>
      <c r="S85" s="2">
        <f t="shared" ca="1" si="18"/>
        <v>46730861.721725933</v>
      </c>
      <c r="T85" s="2">
        <f t="shared" ca="1" si="19"/>
        <v>46090712.931017362</v>
      </c>
    </row>
    <row r="86" spans="2:20" ht="11.45" customHeight="1" x14ac:dyDescent="0.25">
      <c r="B86" s="86">
        <f t="shared" si="20"/>
        <v>62</v>
      </c>
      <c r="C86" s="88">
        <f t="shared" ca="1" si="22"/>
        <v>46023</v>
      </c>
      <c r="D86" s="87">
        <f t="shared" ca="1" si="21"/>
        <v>31</v>
      </c>
      <c r="E86" s="157">
        <f t="shared" si="7"/>
        <v>9723906226.3707047</v>
      </c>
      <c r="F86" s="156">
        <f t="shared" si="8"/>
        <v>5.7599999999999998E-2</v>
      </c>
      <c r="G86" s="78">
        <f t="shared" si="9"/>
        <v>11746077.49067957</v>
      </c>
      <c r="H86" s="44">
        <f t="shared" si="5"/>
        <v>46674749.886579379</v>
      </c>
      <c r="I86" s="44">
        <f t="shared" si="10"/>
        <v>58420827.377258949</v>
      </c>
      <c r="J86" s="44">
        <f t="shared" si="11"/>
        <v>9712160148.8800259</v>
      </c>
      <c r="K86" s="46">
        <f t="shared" si="6"/>
        <v>58</v>
      </c>
      <c r="L86" s="46">
        <f t="shared" si="12"/>
        <v>334</v>
      </c>
      <c r="M86" s="26">
        <f t="shared" ca="1" si="13"/>
        <v>365</v>
      </c>
      <c r="N86" s="2">
        <f t="shared" ca="1" si="14"/>
        <v>1.5780821917808218E-4</v>
      </c>
      <c r="P86" s="2">
        <f t="shared" ca="1" si="15"/>
        <v>46674749.886579379</v>
      </c>
      <c r="Q86" s="2">
        <f t="shared" si="16"/>
        <v>46674749.886579379</v>
      </c>
      <c r="R86" s="2">
        <f t="shared" ca="1" si="17"/>
        <v>47569882.07618501</v>
      </c>
      <c r="S86" s="2">
        <f t="shared" ca="1" si="18"/>
        <v>48230574.882798694</v>
      </c>
      <c r="T86" s="2">
        <f t="shared" ca="1" si="19"/>
        <v>47569882.07618501</v>
      </c>
    </row>
    <row r="87" spans="2:20" ht="11.45" customHeight="1" x14ac:dyDescent="0.25">
      <c r="B87" s="86">
        <f t="shared" si="20"/>
        <v>63</v>
      </c>
      <c r="C87" s="88">
        <f t="shared" ca="1" si="22"/>
        <v>46054</v>
      </c>
      <c r="D87" s="87">
        <f t="shared" ca="1" si="21"/>
        <v>31</v>
      </c>
      <c r="E87" s="157">
        <f t="shared" si="7"/>
        <v>9712160148.8800259</v>
      </c>
      <c r="F87" s="156">
        <f t="shared" si="8"/>
        <v>5.7599999999999998E-2</v>
      </c>
      <c r="G87" s="78">
        <f t="shared" si="9"/>
        <v>11802458.662634827</v>
      </c>
      <c r="H87" s="44">
        <f t="shared" si="5"/>
        <v>46618368.714624122</v>
      </c>
      <c r="I87" s="44">
        <f t="shared" si="10"/>
        <v>58420827.377258949</v>
      </c>
      <c r="J87" s="44">
        <f t="shared" si="11"/>
        <v>9700357690.217392</v>
      </c>
      <c r="K87" s="46">
        <f t="shared" si="6"/>
        <v>57</v>
      </c>
      <c r="L87" s="46">
        <f t="shared" si="12"/>
        <v>333</v>
      </c>
      <c r="M87" s="26">
        <f t="shared" ca="1" si="13"/>
        <v>365</v>
      </c>
      <c r="N87" s="2">
        <f t="shared" ca="1" si="14"/>
        <v>1.5780821917808218E-4</v>
      </c>
      <c r="P87" s="2">
        <f t="shared" ca="1" si="15"/>
        <v>48172314.338444926</v>
      </c>
      <c r="Q87" s="2">
        <f t="shared" si="16"/>
        <v>46618368.714624122</v>
      </c>
      <c r="R87" s="2">
        <f t="shared" ca="1" si="17"/>
        <v>47512419.621479921</v>
      </c>
      <c r="S87" s="2">
        <f t="shared" ca="1" si="18"/>
        <v>48172314.338444926</v>
      </c>
      <c r="T87" s="2">
        <f t="shared" ca="1" si="19"/>
        <v>47512419.621479921</v>
      </c>
    </row>
    <row r="88" spans="2:20" ht="11.45" customHeight="1" x14ac:dyDescent="0.25">
      <c r="B88" s="86">
        <f t="shared" si="20"/>
        <v>64</v>
      </c>
      <c r="C88" s="88">
        <f t="shared" ca="1" si="22"/>
        <v>46082</v>
      </c>
      <c r="D88" s="87">
        <f t="shared" ca="1" si="21"/>
        <v>28</v>
      </c>
      <c r="E88" s="157">
        <f t="shared" si="7"/>
        <v>9700357690.217392</v>
      </c>
      <c r="F88" s="156">
        <f t="shared" si="8"/>
        <v>5.7599999999999998E-2</v>
      </c>
      <c r="G88" s="78">
        <f t="shared" si="9"/>
        <v>11859110.464215472</v>
      </c>
      <c r="H88" s="44">
        <f t="shared" ref="H88:H151" si="23">IF(B88="","",IF($C$13=$P$22,P88,IF($C$13=$Q$22,Q88,IF($C$13=$R$22,R88,IF($C$13=$S$22,S88,"")))))</f>
        <v>46561716.913043477</v>
      </c>
      <c r="I88" s="44">
        <f t="shared" si="10"/>
        <v>58420827.377258949</v>
      </c>
      <c r="J88" s="44">
        <f t="shared" si="11"/>
        <v>9688498579.7531757</v>
      </c>
      <c r="K88" s="46">
        <f t="shared" ref="K88:K151" si="24">IF(B88="","",$F$9-B88)</f>
        <v>56</v>
      </c>
      <c r="L88" s="46">
        <f t="shared" si="12"/>
        <v>332</v>
      </c>
      <c r="M88" s="26">
        <f t="shared" ca="1" si="13"/>
        <v>365</v>
      </c>
      <c r="N88" s="2">
        <f t="shared" ca="1" si="14"/>
        <v>1.5780821917808218E-4</v>
      </c>
      <c r="P88" s="2">
        <f t="shared" ca="1" si="15"/>
        <v>48113774.143478267</v>
      </c>
      <c r="Q88" s="2">
        <f t="shared" si="16"/>
        <v>46561716.913043477</v>
      </c>
      <c r="R88" s="2">
        <f t="shared" ca="1" si="17"/>
        <v>42862292.8295414</v>
      </c>
      <c r="S88" s="2">
        <f t="shared" ca="1" si="18"/>
        <v>43457602.452173911</v>
      </c>
      <c r="T88" s="2">
        <f t="shared" ca="1" si="19"/>
        <v>42862292.8295414</v>
      </c>
    </row>
    <row r="89" spans="2:20" ht="11.45" customHeight="1" x14ac:dyDescent="0.25">
      <c r="B89" s="86">
        <f t="shared" si="20"/>
        <v>65</v>
      </c>
      <c r="C89" s="88">
        <f t="shared" ca="1" si="22"/>
        <v>46113</v>
      </c>
      <c r="D89" s="87">
        <f t="shared" ca="1" si="21"/>
        <v>31</v>
      </c>
      <c r="E89" s="157">
        <f t="shared" ref="E89:E152" si="25">IF(B89="","",J88)</f>
        <v>9688498579.7531757</v>
      </c>
      <c r="F89" s="156">
        <f t="shared" ref="F89:F152" si="26">IF(B89="","",$C$14)</f>
        <v>5.7599999999999998E-2</v>
      </c>
      <c r="G89" s="78">
        <f t="shared" ref="G89:G152" si="27">IF(B89&lt;$F$9,I89-H89,IF(B89=$F$9,J88,""))</f>
        <v>11916034.19444371</v>
      </c>
      <c r="H89" s="44">
        <f t="shared" si="23"/>
        <v>46504793.182815239</v>
      </c>
      <c r="I89" s="44">
        <f t="shared" ref="I89:I152" si="28">IF(B89="","",IF(OR(B89&lt;$F$11,B89=$F$11),H89,IF(B89=$F$9,J88+H89,IF($F$12="Monthly",-1*PMT($C$14/12,$F$10,$C$8),IF($F$12="Quarterly",-1*PMT($C$14/4,$F$10,$C$8),IF($F$12="Semi-Annually",-1*PMT($C$14/2,$F$10,$C$8),IF($F$12="Annually",-1*PMT($C$14,$F$10,$C$8))))))))</f>
        <v>58420827.377258949</v>
      </c>
      <c r="J89" s="44">
        <f t="shared" ref="J89:J152" si="29">IF(B89="","",IF(B89=$F$9,0,J88-G89))</f>
        <v>9676582545.5587311</v>
      </c>
      <c r="K89" s="46">
        <f t="shared" si="24"/>
        <v>55</v>
      </c>
      <c r="L89" s="46">
        <f t="shared" ref="L89:L152" si="30">IF(B89="","",IF(G89=0,L88,IF(G89&gt;0,L88-1,$F$139-B89)))</f>
        <v>331</v>
      </c>
      <c r="M89" s="26">
        <f t="shared" ref="M89:M152" ca="1" si="31">IF($F$9="","",IF(OR(B90&gt;$F$9,B90=""),"",DATE(YEAR(C89),MONTH(C89),DAY(C89))-DATE(YEAR(C89)-1,MONTH(C89),DAY(C89))))</f>
        <v>365</v>
      </c>
      <c r="N89" s="2">
        <f t="shared" ref="N89:N152" ca="1" si="32">IF($F$9="","",IF(OR(B90&gt;$F$9,B90=""),"",F89/M89))</f>
        <v>1.5780821917808218E-4</v>
      </c>
      <c r="P89" s="2">
        <f t="shared" ref="P89:P152" ca="1" si="33">IF(B89="","",IF($F$12="Monthly",F88*(D88/360)*J88,IF($F$12="Quarterly",F88*(D88/360)*3*J88,IF($F$12="Semi-Annually",F88*(D88/360)*6*J88,IF($F$12="Annually",F88*(D88/360)*12*J88)))))</f>
        <v>43404473.637294225</v>
      </c>
      <c r="Q89" s="2">
        <f t="shared" ref="Q89:Q152" si="34">IF(B89="","",IF($F$12="Monthly",F89*(30/360)*J88,IF($F$12="Quarterly",F89*(30/360)*3*J88,IF($F$12="Semi-Annually",F89*(30/360)*6*J88,IF($F$12="Annually",F89*(30/360)*12*J88)))))</f>
        <v>46504793.182815239</v>
      </c>
      <c r="R89" s="2">
        <f t="shared" ref="R89:R152" ca="1" si="35">IF(B89="","",IF($F$12="Monthly",F89*(D89/365)*J88,IF($F$12="Quarterly",F89*(D89/365)*J88,IF($F$12="Semi-Annually",F89*(D89/365)*J88,IF($F$12="Annually",F89*(D89/365)*J88)))))</f>
        <v>47396665.928787038</v>
      </c>
      <c r="S89" s="2">
        <f t="shared" ref="S89:S152" ca="1" si="36">IF(B84="","",IF($F$12="Monthly",F89*(D89/360)*J88,IF($F$12="Quarterly",F89*(D89/360)*J88,IF($F$12="Semi-Annually",F89*(D89/360)*J88,IF($F$12="Annually",F89*(D89/360)*J88)))))</f>
        <v>48054952.955575749</v>
      </c>
      <c r="T89" s="2">
        <f t="shared" ref="T89:T152" ca="1" si="37">IF(B89="","",IF($F$12="Monthly",F89*(D89/M89)*J88,IF($F$12="Quarterly",F89*(D89/M89)*J88,IF($F$12="Semi-Annually",F89*(D89/M89)*J88,IF($F$12="Annually",F89*(D89/M89)*J88)))))</f>
        <v>47396665.928787038</v>
      </c>
    </row>
    <row r="90" spans="2:20" ht="11.45" customHeight="1" x14ac:dyDescent="0.25">
      <c r="B90" s="86">
        <f t="shared" ref="B90:B153" si="38">IF(OR(B89=$F$9,B89&gt;$F$9),"",B89+1)</f>
        <v>66</v>
      </c>
      <c r="C90" s="88">
        <f t="shared" ca="1" si="22"/>
        <v>46143</v>
      </c>
      <c r="D90" s="87">
        <f t="shared" ref="D90:D153" ca="1" si="39">IF(B90="","",C90-C89)</f>
        <v>30</v>
      </c>
      <c r="E90" s="157">
        <f t="shared" si="25"/>
        <v>9676582545.5587311</v>
      </c>
      <c r="F90" s="156">
        <f t="shared" si="26"/>
        <v>5.7599999999999998E-2</v>
      </c>
      <c r="G90" s="78">
        <f t="shared" si="27"/>
        <v>11973231.158577047</v>
      </c>
      <c r="H90" s="44">
        <f t="shared" si="23"/>
        <v>46447596.218681902</v>
      </c>
      <c r="I90" s="44">
        <f t="shared" si="28"/>
        <v>58420827.377258949</v>
      </c>
      <c r="J90" s="44">
        <f t="shared" si="29"/>
        <v>9664609314.4001541</v>
      </c>
      <c r="K90" s="46">
        <f t="shared" si="24"/>
        <v>54</v>
      </c>
      <c r="L90" s="46">
        <f t="shared" si="30"/>
        <v>330</v>
      </c>
      <c r="M90" s="26">
        <f t="shared" ca="1" si="31"/>
        <v>365</v>
      </c>
      <c r="N90" s="2">
        <f t="shared" ca="1" si="32"/>
        <v>1.5780821917808218E-4</v>
      </c>
      <c r="P90" s="2">
        <f t="shared" ca="1" si="33"/>
        <v>47995849.425971307</v>
      </c>
      <c r="Q90" s="2">
        <f t="shared" si="34"/>
        <v>46447596.218681902</v>
      </c>
      <c r="R90" s="2">
        <f t="shared" ca="1" si="35"/>
        <v>45811327.777330101</v>
      </c>
      <c r="S90" s="2">
        <f t="shared" ca="1" si="36"/>
        <v>46447596.218681902</v>
      </c>
      <c r="T90" s="2">
        <f t="shared" ca="1" si="37"/>
        <v>45811327.777330101</v>
      </c>
    </row>
    <row r="91" spans="2:20" ht="11.45" customHeight="1" x14ac:dyDescent="0.25">
      <c r="B91" s="86">
        <f t="shared" si="38"/>
        <v>67</v>
      </c>
      <c r="C91" s="88">
        <f t="shared" ref="C91:C149" ca="1" si="40">IF($F$9="","",IF(B91&gt;$F$9,"",IF($F$12="Monthly",DATE(YEAR(C90),MONTH(C90)+1,DAY(C90)),IF($F$12="Quarterly",DATE(YEAR(C90),MONTH(C90)+3,DAY(C90)),IF($F$12="Semi-Annually",DATE(YEAR(C90),MONTH(C90)+6,DAY(C90)),IF($F$12="Annually",DATE(YEAR(C90)+1,MONTH(C90),DAY(C90))))))))</f>
        <v>46174</v>
      </c>
      <c r="D91" s="87">
        <f t="shared" ca="1" si="39"/>
        <v>31</v>
      </c>
      <c r="E91" s="157">
        <f t="shared" si="25"/>
        <v>9664609314.4001541</v>
      </c>
      <c r="F91" s="156">
        <f t="shared" si="26"/>
        <v>5.7599999999999998E-2</v>
      </c>
      <c r="G91" s="78">
        <f t="shared" si="27"/>
        <v>12030702.668138213</v>
      </c>
      <c r="H91" s="44">
        <f t="shared" si="23"/>
        <v>46390124.709120736</v>
      </c>
      <c r="I91" s="44">
        <f t="shared" si="28"/>
        <v>58420827.377258949</v>
      </c>
      <c r="J91" s="44">
        <f t="shared" si="29"/>
        <v>9652578611.7320156</v>
      </c>
      <c r="K91" s="46">
        <f t="shared" si="24"/>
        <v>53</v>
      </c>
      <c r="L91" s="46">
        <f t="shared" si="30"/>
        <v>329</v>
      </c>
      <c r="M91" s="26">
        <f t="shared" ca="1" si="31"/>
        <v>365</v>
      </c>
      <c r="N91" s="2">
        <f t="shared" ca="1" si="32"/>
        <v>1.5780821917808218E-4</v>
      </c>
      <c r="P91" s="2">
        <f t="shared" ca="1" si="33"/>
        <v>46390124.709120736</v>
      </c>
      <c r="Q91" s="2">
        <f t="shared" si="34"/>
        <v>46390124.709120736</v>
      </c>
      <c r="R91" s="2">
        <f t="shared" ca="1" si="35"/>
        <v>47279798.333679214</v>
      </c>
      <c r="S91" s="2">
        <f t="shared" ca="1" si="36"/>
        <v>47936462.199424766</v>
      </c>
      <c r="T91" s="2">
        <f t="shared" ca="1" si="37"/>
        <v>47279798.333679214</v>
      </c>
    </row>
    <row r="92" spans="2:20" ht="11.45" customHeight="1" x14ac:dyDescent="0.25">
      <c r="B92" s="86">
        <f t="shared" si="38"/>
        <v>68</v>
      </c>
      <c r="C92" s="88">
        <f t="shared" ca="1" si="40"/>
        <v>46204</v>
      </c>
      <c r="D92" s="87">
        <f t="shared" ca="1" si="39"/>
        <v>30</v>
      </c>
      <c r="E92" s="157">
        <f t="shared" si="25"/>
        <v>9652578611.7320156</v>
      </c>
      <c r="F92" s="156">
        <f t="shared" si="26"/>
        <v>5.7599999999999998E-2</v>
      </c>
      <c r="G92" s="78">
        <f t="shared" si="27"/>
        <v>12088450.040945277</v>
      </c>
      <c r="H92" s="44">
        <f t="shared" si="23"/>
        <v>46332377.336313672</v>
      </c>
      <c r="I92" s="44">
        <f t="shared" si="28"/>
        <v>58420827.377258949</v>
      </c>
      <c r="J92" s="44">
        <f t="shared" si="29"/>
        <v>9640490161.6910706</v>
      </c>
      <c r="K92" s="46">
        <f t="shared" si="24"/>
        <v>52</v>
      </c>
      <c r="L92" s="46">
        <f t="shared" si="30"/>
        <v>328</v>
      </c>
      <c r="M92" s="26">
        <f t="shared" ca="1" si="31"/>
        <v>365</v>
      </c>
      <c r="N92" s="2">
        <f t="shared" ca="1" si="32"/>
        <v>1.5780821917808218E-4</v>
      </c>
      <c r="P92" s="2">
        <f t="shared" ca="1" si="33"/>
        <v>47876789.914190799</v>
      </c>
      <c r="Q92" s="2">
        <f t="shared" si="34"/>
        <v>46332377.336313672</v>
      </c>
      <c r="R92" s="2">
        <f t="shared" ca="1" si="35"/>
        <v>45697687.235816225</v>
      </c>
      <c r="S92" s="2">
        <f t="shared" ca="1" si="36"/>
        <v>46332377.336313672</v>
      </c>
      <c r="T92" s="2">
        <f t="shared" ca="1" si="37"/>
        <v>45697687.235816225</v>
      </c>
    </row>
    <row r="93" spans="2:20" ht="11.45" customHeight="1" x14ac:dyDescent="0.25">
      <c r="B93" s="86">
        <f t="shared" si="38"/>
        <v>69</v>
      </c>
      <c r="C93" s="88">
        <f t="shared" ca="1" si="40"/>
        <v>46235</v>
      </c>
      <c r="D93" s="87">
        <f t="shared" ca="1" si="39"/>
        <v>31</v>
      </c>
      <c r="E93" s="157">
        <f t="shared" si="25"/>
        <v>9640490161.6910706</v>
      </c>
      <c r="F93" s="156">
        <f t="shared" si="26"/>
        <v>5.7599999999999998E-2</v>
      </c>
      <c r="G93" s="78">
        <f t="shared" si="27"/>
        <v>12146474.601141818</v>
      </c>
      <c r="H93" s="44">
        <f t="shared" si="23"/>
        <v>46274352.776117131</v>
      </c>
      <c r="I93" s="44">
        <f t="shared" si="28"/>
        <v>58420827.377258949</v>
      </c>
      <c r="J93" s="44">
        <f t="shared" si="29"/>
        <v>9628343687.0899296</v>
      </c>
      <c r="K93" s="46">
        <f t="shared" si="24"/>
        <v>51</v>
      </c>
      <c r="L93" s="46">
        <f t="shared" si="30"/>
        <v>327</v>
      </c>
      <c r="M93" s="26">
        <f t="shared" ca="1" si="31"/>
        <v>365</v>
      </c>
      <c r="N93" s="2">
        <f t="shared" ca="1" si="32"/>
        <v>1.5780821917808218E-4</v>
      </c>
      <c r="P93" s="2">
        <f t="shared" ca="1" si="33"/>
        <v>46274352.776117131</v>
      </c>
      <c r="Q93" s="2">
        <f t="shared" si="34"/>
        <v>46274352.776117131</v>
      </c>
      <c r="R93" s="2">
        <f t="shared" ca="1" si="35"/>
        <v>47161806.117028967</v>
      </c>
      <c r="S93" s="2">
        <f t="shared" ca="1" si="36"/>
        <v>47816831.201987714</v>
      </c>
      <c r="T93" s="2">
        <f t="shared" ca="1" si="37"/>
        <v>47161806.117028967</v>
      </c>
    </row>
    <row r="94" spans="2:20" ht="11.45" customHeight="1" x14ac:dyDescent="0.25">
      <c r="B94" s="86">
        <f t="shared" si="38"/>
        <v>70</v>
      </c>
      <c r="C94" s="88">
        <f t="shared" ca="1" si="40"/>
        <v>46266</v>
      </c>
      <c r="D94" s="87">
        <f t="shared" ca="1" si="39"/>
        <v>31</v>
      </c>
      <c r="E94" s="157">
        <f t="shared" si="25"/>
        <v>9628343687.0899296</v>
      </c>
      <c r="F94" s="156">
        <f t="shared" si="26"/>
        <v>5.7599999999999998E-2</v>
      </c>
      <c r="G94" s="78">
        <f t="shared" si="27"/>
        <v>12204777.679227293</v>
      </c>
      <c r="H94" s="44">
        <f t="shared" si="23"/>
        <v>46216049.698031656</v>
      </c>
      <c r="I94" s="44">
        <f t="shared" si="28"/>
        <v>58420827.377258949</v>
      </c>
      <c r="J94" s="44">
        <f t="shared" si="29"/>
        <v>9616138909.4107018</v>
      </c>
      <c r="K94" s="46">
        <f t="shared" si="24"/>
        <v>50</v>
      </c>
      <c r="L94" s="46">
        <f t="shared" si="30"/>
        <v>326</v>
      </c>
      <c r="M94" s="26">
        <f t="shared" ca="1" si="31"/>
        <v>365</v>
      </c>
      <c r="N94" s="2">
        <f t="shared" ca="1" si="32"/>
        <v>1.5780821917808218E-4</v>
      </c>
      <c r="P94" s="2">
        <f t="shared" ca="1" si="33"/>
        <v>47756584.687966049</v>
      </c>
      <c r="Q94" s="2">
        <f t="shared" si="34"/>
        <v>46216049.698031656</v>
      </c>
      <c r="R94" s="2">
        <f t="shared" ca="1" si="35"/>
        <v>47102384.897719935</v>
      </c>
      <c r="S94" s="2">
        <f t="shared" ca="1" si="36"/>
        <v>47756584.687966049</v>
      </c>
      <c r="T94" s="2">
        <f t="shared" ca="1" si="37"/>
        <v>47102384.897719935</v>
      </c>
    </row>
    <row r="95" spans="2:20" ht="11.45" customHeight="1" x14ac:dyDescent="0.25">
      <c r="B95" s="86">
        <f t="shared" si="38"/>
        <v>71</v>
      </c>
      <c r="C95" s="88">
        <f t="shared" ca="1" si="40"/>
        <v>46296</v>
      </c>
      <c r="D95" s="87">
        <f t="shared" ca="1" si="39"/>
        <v>30</v>
      </c>
      <c r="E95" s="157">
        <f t="shared" si="25"/>
        <v>9616138909.4107018</v>
      </c>
      <c r="F95" s="156">
        <f t="shared" si="26"/>
        <v>5.7599999999999998E-2</v>
      </c>
      <c r="G95" s="78">
        <f t="shared" si="27"/>
        <v>12263360.612087585</v>
      </c>
      <c r="H95" s="44">
        <f t="shared" si="23"/>
        <v>46157466.765171364</v>
      </c>
      <c r="I95" s="44">
        <f t="shared" si="28"/>
        <v>58420827.377258949</v>
      </c>
      <c r="J95" s="44">
        <f t="shared" si="29"/>
        <v>9603875548.7986145</v>
      </c>
      <c r="K95" s="46">
        <f t="shared" si="24"/>
        <v>49</v>
      </c>
      <c r="L95" s="46">
        <f t="shared" si="30"/>
        <v>325</v>
      </c>
      <c r="M95" s="26">
        <f t="shared" ca="1" si="31"/>
        <v>365</v>
      </c>
      <c r="N95" s="2">
        <f t="shared" ca="1" si="32"/>
        <v>1.5780821917808218E-4</v>
      </c>
      <c r="P95" s="2">
        <f t="shared" ca="1" si="33"/>
        <v>47696048.990677081</v>
      </c>
      <c r="Q95" s="2">
        <f t="shared" si="34"/>
        <v>46157466.765171364</v>
      </c>
      <c r="R95" s="2">
        <f t="shared" ca="1" si="35"/>
        <v>45525172.699895047</v>
      </c>
      <c r="S95" s="2">
        <f t="shared" ca="1" si="36"/>
        <v>46157466.765171364</v>
      </c>
      <c r="T95" s="2">
        <f t="shared" ca="1" si="37"/>
        <v>45525172.699895047</v>
      </c>
    </row>
    <row r="96" spans="2:20" ht="11.45" customHeight="1" x14ac:dyDescent="0.25">
      <c r="B96" s="86">
        <f t="shared" si="38"/>
        <v>72</v>
      </c>
      <c r="C96" s="88">
        <f t="shared" ca="1" si="40"/>
        <v>46327</v>
      </c>
      <c r="D96" s="87">
        <f t="shared" ca="1" si="39"/>
        <v>31</v>
      </c>
      <c r="E96" s="157">
        <f t="shared" si="25"/>
        <v>9603875548.7986145</v>
      </c>
      <c r="F96" s="156">
        <f t="shared" si="26"/>
        <v>5.7599999999999998E-2</v>
      </c>
      <c r="G96" s="78">
        <f t="shared" si="27"/>
        <v>12322224.743025601</v>
      </c>
      <c r="H96" s="44">
        <f t="shared" si="23"/>
        <v>46098602.634233348</v>
      </c>
      <c r="I96" s="44">
        <f t="shared" si="28"/>
        <v>58420827.377258949</v>
      </c>
      <c r="J96" s="44">
        <f t="shared" si="29"/>
        <v>9591553324.0555897</v>
      </c>
      <c r="K96" s="46">
        <f t="shared" si="24"/>
        <v>48</v>
      </c>
      <c r="L96" s="46">
        <f t="shared" si="30"/>
        <v>324</v>
      </c>
      <c r="M96" s="26">
        <f t="shared" ca="1" si="31"/>
        <v>365</v>
      </c>
      <c r="N96" s="2">
        <f t="shared" ca="1" si="32"/>
        <v>1.5780821917808218E-4</v>
      </c>
      <c r="P96" s="2">
        <f t="shared" ca="1" si="33"/>
        <v>46098602.634233348</v>
      </c>
      <c r="Q96" s="2">
        <f t="shared" si="34"/>
        <v>46098602.634233348</v>
      </c>
      <c r="R96" s="2">
        <f t="shared" ca="1" si="35"/>
        <v>46982685.424478911</v>
      </c>
      <c r="S96" s="2">
        <f t="shared" ca="1" si="36"/>
        <v>47635222.72204113</v>
      </c>
      <c r="T96" s="2">
        <f t="shared" ca="1" si="37"/>
        <v>46982685.424478911</v>
      </c>
    </row>
    <row r="97" spans="2:20" ht="11.45" customHeight="1" x14ac:dyDescent="0.25">
      <c r="B97" s="86">
        <f t="shared" si="38"/>
        <v>73</v>
      </c>
      <c r="C97" s="88">
        <f t="shared" ca="1" si="40"/>
        <v>46357</v>
      </c>
      <c r="D97" s="87">
        <f t="shared" ca="1" si="39"/>
        <v>30</v>
      </c>
      <c r="E97" s="157">
        <f t="shared" si="25"/>
        <v>9591553324.0555897</v>
      </c>
      <c r="F97" s="156">
        <f t="shared" si="26"/>
        <v>5.7599999999999998E-2</v>
      </c>
      <c r="G97" s="78">
        <f t="shared" si="27"/>
        <v>12381371.42179212</v>
      </c>
      <c r="H97" s="44">
        <f t="shared" si="23"/>
        <v>46039455.955466829</v>
      </c>
      <c r="I97" s="44">
        <f t="shared" si="28"/>
        <v>58420827.377258949</v>
      </c>
      <c r="J97" s="44">
        <f t="shared" si="29"/>
        <v>9579171952.6337967</v>
      </c>
      <c r="K97" s="46">
        <f t="shared" si="24"/>
        <v>47</v>
      </c>
      <c r="L97" s="46">
        <f t="shared" si="30"/>
        <v>323</v>
      </c>
      <c r="M97" s="26">
        <f t="shared" ca="1" si="31"/>
        <v>365</v>
      </c>
      <c r="N97" s="2">
        <f t="shared" ca="1" si="32"/>
        <v>1.5780821917808218E-4</v>
      </c>
      <c r="P97" s="2">
        <f t="shared" ca="1" si="33"/>
        <v>47574104.487315722</v>
      </c>
      <c r="Q97" s="2">
        <f t="shared" si="34"/>
        <v>46039455.955466829</v>
      </c>
      <c r="R97" s="2">
        <f t="shared" ca="1" si="35"/>
        <v>45408778.476624817</v>
      </c>
      <c r="S97" s="2">
        <f t="shared" ca="1" si="36"/>
        <v>46039455.955466829</v>
      </c>
      <c r="T97" s="2">
        <f t="shared" ca="1" si="37"/>
        <v>45408778.476624817</v>
      </c>
    </row>
    <row r="98" spans="2:20" ht="11.45" customHeight="1" x14ac:dyDescent="0.25">
      <c r="B98" s="86">
        <f t="shared" si="38"/>
        <v>74</v>
      </c>
      <c r="C98" s="88">
        <f t="shared" ca="1" si="40"/>
        <v>46388</v>
      </c>
      <c r="D98" s="87">
        <f t="shared" ca="1" si="39"/>
        <v>31</v>
      </c>
      <c r="E98" s="157">
        <f t="shared" si="25"/>
        <v>9579171952.6337967</v>
      </c>
      <c r="F98" s="156">
        <f t="shared" si="26"/>
        <v>5.7599999999999998E-2</v>
      </c>
      <c r="G98" s="78">
        <f t="shared" si="27"/>
        <v>12440802.00461673</v>
      </c>
      <c r="H98" s="44">
        <f t="shared" si="23"/>
        <v>45980025.372642219</v>
      </c>
      <c r="I98" s="44">
        <f t="shared" si="28"/>
        <v>58420827.377258949</v>
      </c>
      <c r="J98" s="44">
        <f t="shared" si="29"/>
        <v>9566731150.6291809</v>
      </c>
      <c r="K98" s="46">
        <f t="shared" si="24"/>
        <v>46</v>
      </c>
      <c r="L98" s="46">
        <f t="shared" si="30"/>
        <v>322</v>
      </c>
      <c r="M98" s="26">
        <f t="shared" ca="1" si="31"/>
        <v>365</v>
      </c>
      <c r="N98" s="2">
        <f t="shared" ca="1" si="32"/>
        <v>1.5780821917808218E-4</v>
      </c>
      <c r="P98" s="2">
        <f t="shared" ca="1" si="33"/>
        <v>45980025.372642219</v>
      </c>
      <c r="Q98" s="2">
        <f t="shared" si="34"/>
        <v>45980025.372642219</v>
      </c>
      <c r="R98" s="2">
        <f t="shared" ca="1" si="35"/>
        <v>46861834.078418918</v>
      </c>
      <c r="S98" s="2">
        <f t="shared" ca="1" si="36"/>
        <v>47512692.885063633</v>
      </c>
      <c r="T98" s="2">
        <f t="shared" ca="1" si="37"/>
        <v>46861834.078418918</v>
      </c>
    </row>
    <row r="99" spans="2:20" ht="11.45" customHeight="1" x14ac:dyDescent="0.25">
      <c r="B99" s="86">
        <f t="shared" si="38"/>
        <v>75</v>
      </c>
      <c r="C99" s="88">
        <f t="shared" ca="1" si="40"/>
        <v>46419</v>
      </c>
      <c r="D99" s="87">
        <f t="shared" ca="1" si="39"/>
        <v>31</v>
      </c>
      <c r="E99" s="157">
        <f t="shared" si="25"/>
        <v>9566731150.6291809</v>
      </c>
      <c r="F99" s="156">
        <f t="shared" si="26"/>
        <v>5.7599999999999998E-2</v>
      </c>
      <c r="G99" s="78">
        <f t="shared" si="27"/>
        <v>12500517.854238883</v>
      </c>
      <c r="H99" s="44">
        <f t="shared" si="23"/>
        <v>45920309.523020066</v>
      </c>
      <c r="I99" s="44">
        <f t="shared" si="28"/>
        <v>58420827.377258949</v>
      </c>
      <c r="J99" s="44">
        <f t="shared" si="29"/>
        <v>9554230632.7749424</v>
      </c>
      <c r="K99" s="46">
        <f t="shared" si="24"/>
        <v>45</v>
      </c>
      <c r="L99" s="46">
        <f t="shared" si="30"/>
        <v>321</v>
      </c>
      <c r="M99" s="26">
        <f t="shared" ca="1" si="31"/>
        <v>365</v>
      </c>
      <c r="N99" s="2">
        <f t="shared" ca="1" si="32"/>
        <v>1.5780821917808218E-4</v>
      </c>
      <c r="P99" s="2">
        <f t="shared" ca="1" si="33"/>
        <v>47450986.507120736</v>
      </c>
      <c r="Q99" s="2">
        <f t="shared" si="34"/>
        <v>45920309.523020066</v>
      </c>
      <c r="R99" s="2">
        <f t="shared" ca="1" si="35"/>
        <v>46800972.993324555</v>
      </c>
      <c r="S99" s="2">
        <f t="shared" ca="1" si="36"/>
        <v>47450986.507120736</v>
      </c>
      <c r="T99" s="2">
        <f t="shared" ca="1" si="37"/>
        <v>46800972.993324555</v>
      </c>
    </row>
    <row r="100" spans="2:20" ht="11.45" customHeight="1" x14ac:dyDescent="0.25">
      <c r="B100" s="86">
        <f t="shared" si="38"/>
        <v>76</v>
      </c>
      <c r="C100" s="88">
        <f t="shared" ca="1" si="40"/>
        <v>46447</v>
      </c>
      <c r="D100" s="87">
        <f t="shared" ca="1" si="39"/>
        <v>28</v>
      </c>
      <c r="E100" s="157">
        <f t="shared" si="25"/>
        <v>9554230632.7749424</v>
      </c>
      <c r="F100" s="156">
        <f t="shared" si="26"/>
        <v>5.7599999999999998E-2</v>
      </c>
      <c r="G100" s="78">
        <f t="shared" si="27"/>
        <v>12560520.339939229</v>
      </c>
      <c r="H100" s="44">
        <f t="shared" si="23"/>
        <v>45860307.03731972</v>
      </c>
      <c r="I100" s="44">
        <f t="shared" si="28"/>
        <v>58420827.377258949</v>
      </c>
      <c r="J100" s="44">
        <f t="shared" si="29"/>
        <v>9541670112.4350033</v>
      </c>
      <c r="K100" s="46">
        <f t="shared" si="24"/>
        <v>44</v>
      </c>
      <c r="L100" s="46">
        <f t="shared" si="30"/>
        <v>320</v>
      </c>
      <c r="M100" s="26">
        <f t="shared" ca="1" si="31"/>
        <v>365</v>
      </c>
      <c r="N100" s="2">
        <f t="shared" ca="1" si="32"/>
        <v>1.5780821917808218E-4</v>
      </c>
      <c r="P100" s="2">
        <f t="shared" ca="1" si="33"/>
        <v>47388983.938563712</v>
      </c>
      <c r="Q100" s="2">
        <f t="shared" si="34"/>
        <v>45860307.03731972</v>
      </c>
      <c r="R100" s="2">
        <f t="shared" ca="1" si="35"/>
        <v>42216611.409697063</v>
      </c>
      <c r="S100" s="2">
        <f t="shared" ca="1" si="36"/>
        <v>42802953.234831735</v>
      </c>
      <c r="T100" s="2">
        <f t="shared" ca="1" si="37"/>
        <v>42216611.409697063</v>
      </c>
    </row>
    <row r="101" spans="2:20" ht="11.45" customHeight="1" x14ac:dyDescent="0.25">
      <c r="B101" s="86">
        <f t="shared" si="38"/>
        <v>77</v>
      </c>
      <c r="C101" s="88">
        <f t="shared" ca="1" si="40"/>
        <v>46478</v>
      </c>
      <c r="D101" s="87">
        <f t="shared" ca="1" si="39"/>
        <v>31</v>
      </c>
      <c r="E101" s="157">
        <f t="shared" si="25"/>
        <v>9541670112.4350033</v>
      </c>
      <c r="F101" s="156">
        <f t="shared" si="26"/>
        <v>5.7599999999999998E-2</v>
      </c>
      <c r="G101" s="78">
        <f t="shared" si="27"/>
        <v>12620810.837570935</v>
      </c>
      <c r="H101" s="44">
        <f t="shared" si="23"/>
        <v>45800016.539688013</v>
      </c>
      <c r="I101" s="44">
        <f t="shared" si="28"/>
        <v>58420827.377258949</v>
      </c>
      <c r="J101" s="44">
        <f t="shared" si="29"/>
        <v>9529049301.5974331</v>
      </c>
      <c r="K101" s="46">
        <f t="shared" si="24"/>
        <v>43</v>
      </c>
      <c r="L101" s="46">
        <f t="shared" si="30"/>
        <v>319</v>
      </c>
      <c r="M101" s="26">
        <f t="shared" ca="1" si="31"/>
        <v>365</v>
      </c>
      <c r="N101" s="2">
        <f t="shared" ca="1" si="32"/>
        <v>1.5780821917808218E-4</v>
      </c>
      <c r="P101" s="2">
        <f t="shared" ca="1" si="33"/>
        <v>42746682.103708811</v>
      </c>
      <c r="Q101" s="2">
        <f t="shared" si="34"/>
        <v>45800016.539688013</v>
      </c>
      <c r="R101" s="2">
        <f t="shared" ca="1" si="35"/>
        <v>46678373.021271065</v>
      </c>
      <c r="S101" s="2">
        <f t="shared" ca="1" si="36"/>
        <v>47326683.757677615</v>
      </c>
      <c r="T101" s="2">
        <f t="shared" ca="1" si="37"/>
        <v>46678373.021271065</v>
      </c>
    </row>
    <row r="102" spans="2:20" ht="11.45" customHeight="1" x14ac:dyDescent="0.25">
      <c r="B102" s="86">
        <f t="shared" si="38"/>
        <v>78</v>
      </c>
      <c r="C102" s="88">
        <f t="shared" ca="1" si="40"/>
        <v>46508</v>
      </c>
      <c r="D102" s="87">
        <f t="shared" ca="1" si="39"/>
        <v>30</v>
      </c>
      <c r="E102" s="157">
        <f t="shared" si="25"/>
        <v>9529049301.5974331</v>
      </c>
      <c r="F102" s="156">
        <f t="shared" si="26"/>
        <v>5.7599999999999998E-2</v>
      </c>
      <c r="G102" s="78">
        <f t="shared" si="27"/>
        <v>12681390.729591273</v>
      </c>
      <c r="H102" s="44">
        <f t="shared" si="23"/>
        <v>45739436.647667676</v>
      </c>
      <c r="I102" s="44">
        <f t="shared" si="28"/>
        <v>58420827.377258949</v>
      </c>
      <c r="J102" s="44">
        <f t="shared" si="29"/>
        <v>9516367910.8678417</v>
      </c>
      <c r="K102" s="46">
        <f t="shared" si="24"/>
        <v>42</v>
      </c>
      <c r="L102" s="46">
        <f t="shared" si="30"/>
        <v>318</v>
      </c>
      <c r="M102" s="26">
        <f t="shared" ca="1" si="31"/>
        <v>365</v>
      </c>
      <c r="N102" s="2">
        <f t="shared" ca="1" si="32"/>
        <v>1.5780821917808218E-4</v>
      </c>
      <c r="P102" s="2">
        <f t="shared" ca="1" si="33"/>
        <v>47264084.535923265</v>
      </c>
      <c r="Q102" s="2">
        <f t="shared" si="34"/>
        <v>45739436.647667676</v>
      </c>
      <c r="R102" s="2">
        <f t="shared" ca="1" si="35"/>
        <v>45112869.022357158</v>
      </c>
      <c r="S102" s="2">
        <f t="shared" ca="1" si="36"/>
        <v>45739436.647667676</v>
      </c>
      <c r="T102" s="2">
        <f t="shared" ca="1" si="37"/>
        <v>45112869.022357158</v>
      </c>
    </row>
    <row r="103" spans="2:20" ht="11.45" customHeight="1" x14ac:dyDescent="0.25">
      <c r="B103" s="86">
        <f t="shared" si="38"/>
        <v>79</v>
      </c>
      <c r="C103" s="88">
        <f t="shared" ca="1" si="40"/>
        <v>46539</v>
      </c>
      <c r="D103" s="87">
        <f t="shared" ca="1" si="39"/>
        <v>31</v>
      </c>
      <c r="E103" s="157">
        <f t="shared" si="25"/>
        <v>9516367910.8678417</v>
      </c>
      <c r="F103" s="156">
        <f t="shared" si="26"/>
        <v>5.7599999999999998E-2</v>
      </c>
      <c r="G103" s="78">
        <f t="shared" si="27"/>
        <v>12742261.405093312</v>
      </c>
      <c r="H103" s="44">
        <f t="shared" si="23"/>
        <v>45678565.972165637</v>
      </c>
      <c r="I103" s="44">
        <f t="shared" si="28"/>
        <v>58420827.377258949</v>
      </c>
      <c r="J103" s="44">
        <f t="shared" si="29"/>
        <v>9503625649.4627476</v>
      </c>
      <c r="K103" s="46">
        <f t="shared" si="24"/>
        <v>41</v>
      </c>
      <c r="L103" s="46">
        <f t="shared" si="30"/>
        <v>317</v>
      </c>
      <c r="M103" s="26">
        <f t="shared" ca="1" si="31"/>
        <v>365</v>
      </c>
      <c r="N103" s="2">
        <f t="shared" ca="1" si="32"/>
        <v>1.5780821917808218E-4</v>
      </c>
      <c r="P103" s="2">
        <f t="shared" ca="1" si="33"/>
        <v>45678565.972165637</v>
      </c>
      <c r="Q103" s="2">
        <f t="shared" si="34"/>
        <v>45678565.972165637</v>
      </c>
      <c r="R103" s="2">
        <f t="shared" ca="1" si="35"/>
        <v>46554593.264782511</v>
      </c>
      <c r="S103" s="2">
        <f t="shared" ca="1" si="36"/>
        <v>47201184.837904498</v>
      </c>
      <c r="T103" s="2">
        <f t="shared" ca="1" si="37"/>
        <v>46554593.264782511</v>
      </c>
    </row>
    <row r="104" spans="2:20" ht="11.45" customHeight="1" x14ac:dyDescent="0.25">
      <c r="B104" s="86">
        <f t="shared" si="38"/>
        <v>80</v>
      </c>
      <c r="C104" s="88">
        <f t="shared" ca="1" si="40"/>
        <v>46569</v>
      </c>
      <c r="D104" s="87">
        <f t="shared" ca="1" si="39"/>
        <v>30</v>
      </c>
      <c r="E104" s="157">
        <f t="shared" si="25"/>
        <v>9503625649.4627476</v>
      </c>
      <c r="F104" s="156">
        <f t="shared" si="26"/>
        <v>5.7599999999999998E-2</v>
      </c>
      <c r="G104" s="78">
        <f t="shared" si="27"/>
        <v>12803424.259837762</v>
      </c>
      <c r="H104" s="44">
        <f t="shared" si="23"/>
        <v>45617403.117421187</v>
      </c>
      <c r="I104" s="44">
        <f t="shared" si="28"/>
        <v>58420827.377258949</v>
      </c>
      <c r="J104" s="44">
        <f t="shared" si="29"/>
        <v>9490822225.2029095</v>
      </c>
      <c r="K104" s="46">
        <f t="shared" si="24"/>
        <v>40</v>
      </c>
      <c r="L104" s="46">
        <f t="shared" si="30"/>
        <v>316</v>
      </c>
      <c r="M104" s="26">
        <f t="shared" ca="1" si="31"/>
        <v>365</v>
      </c>
      <c r="N104" s="2">
        <f t="shared" ca="1" si="32"/>
        <v>1.5780821917808218E-4</v>
      </c>
      <c r="P104" s="2">
        <f t="shared" ca="1" si="33"/>
        <v>47137983.221335225</v>
      </c>
      <c r="Q104" s="2">
        <f t="shared" si="34"/>
        <v>45617403.117421187</v>
      </c>
      <c r="R104" s="2">
        <f t="shared" ca="1" si="35"/>
        <v>44992507.184305832</v>
      </c>
      <c r="S104" s="2">
        <f t="shared" ca="1" si="36"/>
        <v>45617403.117421187</v>
      </c>
      <c r="T104" s="2">
        <f t="shared" ca="1" si="37"/>
        <v>44992507.184305832</v>
      </c>
    </row>
    <row r="105" spans="2:20" ht="11.45" customHeight="1" x14ac:dyDescent="0.25">
      <c r="B105" s="86">
        <f t="shared" si="38"/>
        <v>81</v>
      </c>
      <c r="C105" s="88">
        <f t="shared" ca="1" si="40"/>
        <v>46600</v>
      </c>
      <c r="D105" s="87">
        <f t="shared" ca="1" si="39"/>
        <v>31</v>
      </c>
      <c r="E105" s="157">
        <f t="shared" si="25"/>
        <v>9490822225.2029095</v>
      </c>
      <c r="F105" s="156">
        <f t="shared" si="26"/>
        <v>5.7599999999999998E-2</v>
      </c>
      <c r="G105" s="78">
        <f t="shared" si="27"/>
        <v>12864880.696284987</v>
      </c>
      <c r="H105" s="44">
        <f t="shared" si="23"/>
        <v>45555946.680973962</v>
      </c>
      <c r="I105" s="44">
        <f t="shared" si="28"/>
        <v>58420827.377258949</v>
      </c>
      <c r="J105" s="44">
        <f t="shared" si="29"/>
        <v>9477957344.5066242</v>
      </c>
      <c r="K105" s="46">
        <f t="shared" si="24"/>
        <v>39</v>
      </c>
      <c r="L105" s="46">
        <f t="shared" si="30"/>
        <v>315</v>
      </c>
      <c r="M105" s="26">
        <f t="shared" ca="1" si="31"/>
        <v>365</v>
      </c>
      <c r="N105" s="2">
        <f t="shared" ca="1" si="32"/>
        <v>1.5780821917808218E-4</v>
      </c>
      <c r="P105" s="2">
        <f t="shared" ca="1" si="33"/>
        <v>45555946.680973962</v>
      </c>
      <c r="Q105" s="2">
        <f t="shared" si="34"/>
        <v>45555946.680973962</v>
      </c>
      <c r="R105" s="2">
        <f t="shared" ca="1" si="35"/>
        <v>46429622.370746061</v>
      </c>
      <c r="S105" s="2">
        <f t="shared" ca="1" si="36"/>
        <v>47074478.237006433</v>
      </c>
      <c r="T105" s="2">
        <f t="shared" ca="1" si="37"/>
        <v>46429622.370746061</v>
      </c>
    </row>
    <row r="106" spans="2:20" ht="11.45" customHeight="1" x14ac:dyDescent="0.25">
      <c r="B106" s="86">
        <f t="shared" si="38"/>
        <v>82</v>
      </c>
      <c r="C106" s="88">
        <f t="shared" ca="1" si="40"/>
        <v>46631</v>
      </c>
      <c r="D106" s="87">
        <f t="shared" ca="1" si="39"/>
        <v>31</v>
      </c>
      <c r="E106" s="157">
        <f t="shared" si="25"/>
        <v>9477957344.5066242</v>
      </c>
      <c r="F106" s="156">
        <f t="shared" si="26"/>
        <v>5.7599999999999998E-2</v>
      </c>
      <c r="G106" s="78">
        <f t="shared" si="27"/>
        <v>12926632.123627156</v>
      </c>
      <c r="H106" s="44">
        <f t="shared" si="23"/>
        <v>45494195.253631793</v>
      </c>
      <c r="I106" s="44">
        <f t="shared" si="28"/>
        <v>58420827.377258949</v>
      </c>
      <c r="J106" s="44">
        <f t="shared" si="29"/>
        <v>9465030712.3829975</v>
      </c>
      <c r="K106" s="46">
        <f t="shared" si="24"/>
        <v>38</v>
      </c>
      <c r="L106" s="46">
        <f t="shared" si="30"/>
        <v>314</v>
      </c>
      <c r="M106" s="26">
        <f t="shared" ca="1" si="31"/>
        <v>365</v>
      </c>
      <c r="N106" s="2">
        <f t="shared" ca="1" si="32"/>
        <v>1.5780821917808218E-4</v>
      </c>
      <c r="P106" s="2">
        <f t="shared" ca="1" si="33"/>
        <v>47010668.428752854</v>
      </c>
      <c r="Q106" s="2">
        <f t="shared" si="34"/>
        <v>45494195.253631793</v>
      </c>
      <c r="R106" s="2">
        <f t="shared" ca="1" si="35"/>
        <v>46366686.669454865</v>
      </c>
      <c r="S106" s="2">
        <f t="shared" ca="1" si="36"/>
        <v>47010668.428752854</v>
      </c>
      <c r="T106" s="2">
        <f t="shared" ca="1" si="37"/>
        <v>46366686.669454865</v>
      </c>
    </row>
    <row r="107" spans="2:20" ht="11.45" customHeight="1" x14ac:dyDescent="0.25">
      <c r="B107" s="86">
        <f t="shared" si="38"/>
        <v>83</v>
      </c>
      <c r="C107" s="88">
        <f t="shared" ca="1" si="40"/>
        <v>46661</v>
      </c>
      <c r="D107" s="87">
        <f t="shared" ca="1" si="39"/>
        <v>30</v>
      </c>
      <c r="E107" s="157">
        <f t="shared" si="25"/>
        <v>9465030712.3829975</v>
      </c>
      <c r="F107" s="156">
        <f t="shared" si="26"/>
        <v>5.7599999999999998E-2</v>
      </c>
      <c r="G107" s="78">
        <f t="shared" si="27"/>
        <v>12988679.957820565</v>
      </c>
      <c r="H107" s="44">
        <f t="shared" si="23"/>
        <v>45432147.419438384</v>
      </c>
      <c r="I107" s="44">
        <f t="shared" si="28"/>
        <v>58420827.377258949</v>
      </c>
      <c r="J107" s="44">
        <f t="shared" si="29"/>
        <v>9452042032.4251766</v>
      </c>
      <c r="K107" s="46">
        <f t="shared" si="24"/>
        <v>37</v>
      </c>
      <c r="L107" s="46">
        <f t="shared" si="30"/>
        <v>313</v>
      </c>
      <c r="M107" s="26">
        <f t="shared" ca="1" si="31"/>
        <v>365</v>
      </c>
      <c r="N107" s="2">
        <f t="shared" ca="1" si="32"/>
        <v>1.5780821917808218E-4</v>
      </c>
      <c r="P107" s="2">
        <f t="shared" ca="1" si="33"/>
        <v>46946552.333419666</v>
      </c>
      <c r="Q107" s="2">
        <f t="shared" si="34"/>
        <v>45432147.419438384</v>
      </c>
      <c r="R107" s="2">
        <f t="shared" ca="1" si="35"/>
        <v>44809789.235610463</v>
      </c>
      <c r="S107" s="2">
        <f t="shared" ca="1" si="36"/>
        <v>45432147.419438384</v>
      </c>
      <c r="T107" s="2">
        <f t="shared" ca="1" si="37"/>
        <v>44809789.235610463</v>
      </c>
    </row>
    <row r="108" spans="2:20" ht="11.45" customHeight="1" x14ac:dyDescent="0.25">
      <c r="B108" s="86">
        <f t="shared" si="38"/>
        <v>84</v>
      </c>
      <c r="C108" s="88">
        <f t="shared" ca="1" si="40"/>
        <v>46692</v>
      </c>
      <c r="D108" s="87">
        <f t="shared" ca="1" si="39"/>
        <v>31</v>
      </c>
      <c r="E108" s="157">
        <f t="shared" si="25"/>
        <v>9452042032.4251766</v>
      </c>
      <c r="F108" s="156">
        <f t="shared" si="26"/>
        <v>5.7599999999999998E-2</v>
      </c>
      <c r="G108" s="78">
        <f t="shared" si="27"/>
        <v>13051025.621618107</v>
      </c>
      <c r="H108" s="44">
        <f t="shared" si="23"/>
        <v>45369801.755640842</v>
      </c>
      <c r="I108" s="44">
        <f t="shared" si="28"/>
        <v>58420827.377258949</v>
      </c>
      <c r="J108" s="44">
        <f t="shared" si="29"/>
        <v>9438991006.8035583</v>
      </c>
      <c r="K108" s="46">
        <f t="shared" si="24"/>
        <v>36</v>
      </c>
      <c r="L108" s="46">
        <f t="shared" si="30"/>
        <v>312</v>
      </c>
      <c r="M108" s="26">
        <f t="shared" ca="1" si="31"/>
        <v>365</v>
      </c>
      <c r="N108" s="2">
        <f t="shared" ca="1" si="32"/>
        <v>1.5780821917808218E-4</v>
      </c>
      <c r="P108" s="2">
        <f t="shared" ca="1" si="33"/>
        <v>45369801.755640842</v>
      </c>
      <c r="Q108" s="2">
        <f t="shared" si="34"/>
        <v>45369801.755640842</v>
      </c>
      <c r="R108" s="2">
        <f t="shared" ca="1" si="35"/>
        <v>46239907.542735323</v>
      </c>
      <c r="S108" s="2">
        <f t="shared" ca="1" si="36"/>
        <v>46882128.480828874</v>
      </c>
      <c r="T108" s="2">
        <f t="shared" ca="1" si="37"/>
        <v>46239907.542735323</v>
      </c>
    </row>
    <row r="109" spans="2:20" ht="11.45" customHeight="1" x14ac:dyDescent="0.25">
      <c r="B109" s="86">
        <f t="shared" si="38"/>
        <v>85</v>
      </c>
      <c r="C109" s="88">
        <f t="shared" ca="1" si="40"/>
        <v>46722</v>
      </c>
      <c r="D109" s="87">
        <f t="shared" ca="1" si="39"/>
        <v>30</v>
      </c>
      <c r="E109" s="157">
        <f t="shared" si="25"/>
        <v>9438991006.8035583</v>
      </c>
      <c r="F109" s="156">
        <f t="shared" si="26"/>
        <v>5.7599999999999998E-2</v>
      </c>
      <c r="G109" s="78">
        <f t="shared" si="27"/>
        <v>13113670.544601873</v>
      </c>
      <c r="H109" s="44">
        <f t="shared" si="23"/>
        <v>45307156.832657076</v>
      </c>
      <c r="I109" s="44">
        <f t="shared" si="28"/>
        <v>58420827.377258949</v>
      </c>
      <c r="J109" s="44">
        <f t="shared" si="29"/>
        <v>9425877336.2589569</v>
      </c>
      <c r="K109" s="46">
        <f t="shared" si="24"/>
        <v>35</v>
      </c>
      <c r="L109" s="46">
        <f t="shared" si="30"/>
        <v>311</v>
      </c>
      <c r="M109" s="26">
        <f t="shared" ca="1" si="31"/>
        <v>365</v>
      </c>
      <c r="N109" s="2">
        <f t="shared" ca="1" si="32"/>
        <v>1.5780821917808218E-4</v>
      </c>
      <c r="P109" s="2">
        <f t="shared" ca="1" si="33"/>
        <v>46817395.393745646</v>
      </c>
      <c r="Q109" s="2">
        <f t="shared" si="34"/>
        <v>45307156.832657076</v>
      </c>
      <c r="R109" s="2">
        <f t="shared" ca="1" si="35"/>
        <v>44686510.848648079</v>
      </c>
      <c r="S109" s="2">
        <f t="shared" ca="1" si="36"/>
        <v>45307156.832657076</v>
      </c>
      <c r="T109" s="2">
        <f t="shared" ca="1" si="37"/>
        <v>44686510.848648079</v>
      </c>
    </row>
    <row r="110" spans="2:20" ht="11.45" customHeight="1" x14ac:dyDescent="0.25">
      <c r="B110" s="86">
        <f t="shared" si="38"/>
        <v>86</v>
      </c>
      <c r="C110" s="88">
        <f t="shared" ca="1" si="40"/>
        <v>46753</v>
      </c>
      <c r="D110" s="87">
        <f t="shared" ca="1" si="39"/>
        <v>31</v>
      </c>
      <c r="E110" s="157">
        <f t="shared" si="25"/>
        <v>9425877336.2589569</v>
      </c>
      <c r="F110" s="156">
        <f t="shared" si="26"/>
        <v>5.7599999999999998E-2</v>
      </c>
      <c r="G110" s="78">
        <f t="shared" si="27"/>
        <v>13176616.163215958</v>
      </c>
      <c r="H110" s="44">
        <f t="shared" si="23"/>
        <v>45244211.214042991</v>
      </c>
      <c r="I110" s="44">
        <f t="shared" si="28"/>
        <v>58420827.377258949</v>
      </c>
      <c r="J110" s="44">
        <f t="shared" si="29"/>
        <v>9412700720.0957413</v>
      </c>
      <c r="K110" s="46">
        <f t="shared" si="24"/>
        <v>34</v>
      </c>
      <c r="L110" s="46">
        <f t="shared" si="30"/>
        <v>310</v>
      </c>
      <c r="M110" s="26">
        <f t="shared" ca="1" si="31"/>
        <v>365</v>
      </c>
      <c r="N110" s="2">
        <f t="shared" ca="1" si="32"/>
        <v>1.5780821917808218E-4</v>
      </c>
      <c r="P110" s="2">
        <f t="shared" ca="1" si="33"/>
        <v>45244211.214042991</v>
      </c>
      <c r="Q110" s="2">
        <f t="shared" si="34"/>
        <v>45244211.214042991</v>
      </c>
      <c r="R110" s="2">
        <f t="shared" ca="1" si="35"/>
        <v>46111908.415408194</v>
      </c>
      <c r="S110" s="2">
        <f t="shared" ca="1" si="36"/>
        <v>46752351.587844424</v>
      </c>
      <c r="T110" s="2">
        <f t="shared" ca="1" si="37"/>
        <v>46111908.415408194</v>
      </c>
    </row>
    <row r="111" spans="2:20" ht="11.45" customHeight="1" x14ac:dyDescent="0.25">
      <c r="B111" s="86">
        <f t="shared" si="38"/>
        <v>87</v>
      </c>
      <c r="C111" s="88">
        <f t="shared" ca="1" si="40"/>
        <v>46784</v>
      </c>
      <c r="D111" s="87">
        <f t="shared" ca="1" si="39"/>
        <v>31</v>
      </c>
      <c r="E111" s="157">
        <f t="shared" si="25"/>
        <v>9412700720.0957413</v>
      </c>
      <c r="F111" s="156">
        <f t="shared" si="26"/>
        <v>5.7599999999999998E-2</v>
      </c>
      <c r="G111" s="78">
        <f t="shared" si="27"/>
        <v>13239863.920799397</v>
      </c>
      <c r="H111" s="44">
        <f t="shared" si="23"/>
        <v>45180963.456459552</v>
      </c>
      <c r="I111" s="44">
        <f t="shared" si="28"/>
        <v>58420827.377258949</v>
      </c>
      <c r="J111" s="44">
        <f t="shared" si="29"/>
        <v>9399460856.174942</v>
      </c>
      <c r="K111" s="46">
        <f t="shared" si="24"/>
        <v>33</v>
      </c>
      <c r="L111" s="46">
        <f t="shared" si="30"/>
        <v>309</v>
      </c>
      <c r="M111" s="26">
        <f t="shared" ca="1" si="31"/>
        <v>365</v>
      </c>
      <c r="N111" s="2">
        <f t="shared" ca="1" si="32"/>
        <v>1.5780821917808218E-4</v>
      </c>
      <c r="P111" s="2">
        <f t="shared" ca="1" si="33"/>
        <v>46686995.571674876</v>
      </c>
      <c r="Q111" s="2">
        <f t="shared" si="34"/>
        <v>45180963.456459552</v>
      </c>
      <c r="R111" s="2">
        <f t="shared" ca="1" si="35"/>
        <v>46047447.687131383</v>
      </c>
      <c r="S111" s="2">
        <f t="shared" ca="1" si="36"/>
        <v>46686995.571674876</v>
      </c>
      <c r="T111" s="2">
        <f t="shared" ca="1" si="37"/>
        <v>46047447.687131383</v>
      </c>
    </row>
    <row r="112" spans="2:20" ht="11.45" customHeight="1" x14ac:dyDescent="0.25">
      <c r="B112" s="86">
        <f t="shared" si="38"/>
        <v>88</v>
      </c>
      <c r="C112" s="88">
        <f t="shared" ca="1" si="40"/>
        <v>46813</v>
      </c>
      <c r="D112" s="87">
        <f t="shared" ca="1" si="39"/>
        <v>29</v>
      </c>
      <c r="E112" s="157">
        <f t="shared" si="25"/>
        <v>9399460856.174942</v>
      </c>
      <c r="F112" s="156">
        <f t="shared" si="26"/>
        <v>5.7599999999999998E-2</v>
      </c>
      <c r="G112" s="78">
        <f t="shared" si="27"/>
        <v>13303415.26761923</v>
      </c>
      <c r="H112" s="44">
        <f t="shared" si="23"/>
        <v>45117412.109639719</v>
      </c>
      <c r="I112" s="44">
        <f t="shared" si="28"/>
        <v>58420827.377258949</v>
      </c>
      <c r="J112" s="44">
        <f t="shared" si="29"/>
        <v>9386157440.9073219</v>
      </c>
      <c r="K112" s="46">
        <f t="shared" si="24"/>
        <v>32</v>
      </c>
      <c r="L112" s="46">
        <f t="shared" si="30"/>
        <v>308</v>
      </c>
      <c r="M112" s="26">
        <f t="shared" ca="1" si="31"/>
        <v>366</v>
      </c>
      <c r="N112" s="2">
        <f t="shared" ca="1" si="32"/>
        <v>1.5737704918032785E-4</v>
      </c>
      <c r="P112" s="2">
        <f t="shared" ca="1" si="33"/>
        <v>46621325.846627712</v>
      </c>
      <c r="Q112" s="2">
        <f t="shared" si="34"/>
        <v>45117412.109639719</v>
      </c>
      <c r="R112" s="2">
        <f t="shared" ca="1" si="35"/>
        <v>43016053.189464726</v>
      </c>
      <c r="S112" s="2">
        <f t="shared" ca="1" si="36"/>
        <v>43613498.372651733</v>
      </c>
      <c r="T112" s="2">
        <f t="shared" ca="1" si="37"/>
        <v>42898522.989493512</v>
      </c>
    </row>
    <row r="113" spans="2:20" ht="11.45" customHeight="1" x14ac:dyDescent="0.25">
      <c r="B113" s="86">
        <f t="shared" si="38"/>
        <v>89</v>
      </c>
      <c r="C113" s="88">
        <f t="shared" ca="1" si="40"/>
        <v>46844</v>
      </c>
      <c r="D113" s="87">
        <f t="shared" ca="1" si="39"/>
        <v>31</v>
      </c>
      <c r="E113" s="157">
        <f t="shared" si="25"/>
        <v>9386157440.9073219</v>
      </c>
      <c r="F113" s="156">
        <f t="shared" si="26"/>
        <v>5.7599999999999998E-2</v>
      </c>
      <c r="G113" s="78">
        <f t="shared" si="27"/>
        <v>13367271.660903804</v>
      </c>
      <c r="H113" s="44">
        <f t="shared" si="23"/>
        <v>45053555.716355145</v>
      </c>
      <c r="I113" s="44">
        <f t="shared" si="28"/>
        <v>58420827.377258949</v>
      </c>
      <c r="J113" s="44">
        <f t="shared" si="29"/>
        <v>9372790169.246418</v>
      </c>
      <c r="K113" s="46">
        <f t="shared" si="24"/>
        <v>31</v>
      </c>
      <c r="L113" s="46">
        <f t="shared" si="30"/>
        <v>307</v>
      </c>
      <c r="M113" s="26">
        <f t="shared" ca="1" si="31"/>
        <v>366</v>
      </c>
      <c r="N113" s="2">
        <f t="shared" ca="1" si="32"/>
        <v>1.5737704918032785E-4</v>
      </c>
      <c r="P113" s="2">
        <f t="shared" ca="1" si="33"/>
        <v>43551770.525809973</v>
      </c>
      <c r="Q113" s="2">
        <f t="shared" si="34"/>
        <v>45053555.716355145</v>
      </c>
      <c r="R113" s="2">
        <f t="shared" ca="1" si="35"/>
        <v>45917596.510915376</v>
      </c>
      <c r="S113" s="2">
        <f t="shared" ca="1" si="36"/>
        <v>46555340.906900316</v>
      </c>
      <c r="T113" s="2">
        <f t="shared" ca="1" si="37"/>
        <v>45792138.596951127</v>
      </c>
    </row>
    <row r="114" spans="2:20" ht="11.45" customHeight="1" x14ac:dyDescent="0.25">
      <c r="B114" s="86">
        <f t="shared" si="38"/>
        <v>90</v>
      </c>
      <c r="C114" s="88">
        <f t="shared" ca="1" si="40"/>
        <v>46874</v>
      </c>
      <c r="D114" s="87">
        <f t="shared" ca="1" si="39"/>
        <v>30</v>
      </c>
      <c r="E114" s="157">
        <f t="shared" si="25"/>
        <v>9372790169.246418</v>
      </c>
      <c r="F114" s="156">
        <f t="shared" si="26"/>
        <v>5.7599999999999998E-2</v>
      </c>
      <c r="G114" s="78">
        <f t="shared" si="27"/>
        <v>13431434.564876147</v>
      </c>
      <c r="H114" s="44">
        <f t="shared" si="23"/>
        <v>44989392.812382802</v>
      </c>
      <c r="I114" s="44">
        <f t="shared" si="28"/>
        <v>58420827.377258949</v>
      </c>
      <c r="J114" s="44">
        <f t="shared" si="29"/>
        <v>9359358734.6815414</v>
      </c>
      <c r="K114" s="46">
        <f t="shared" si="24"/>
        <v>30</v>
      </c>
      <c r="L114" s="46">
        <f t="shared" si="30"/>
        <v>306</v>
      </c>
      <c r="M114" s="26">
        <f t="shared" ca="1" si="31"/>
        <v>366</v>
      </c>
      <c r="N114" s="2">
        <f t="shared" ca="1" si="32"/>
        <v>1.5737704918032785E-4</v>
      </c>
      <c r="P114" s="2">
        <f t="shared" ca="1" si="33"/>
        <v>46489039.239462234</v>
      </c>
      <c r="Q114" s="2">
        <f t="shared" si="34"/>
        <v>44989392.812382802</v>
      </c>
      <c r="R114" s="2">
        <f t="shared" ca="1" si="35"/>
        <v>44373099.760158382</v>
      </c>
      <c r="S114" s="2">
        <f t="shared" ca="1" si="36"/>
        <v>44989392.812382802</v>
      </c>
      <c r="T114" s="2">
        <f t="shared" ca="1" si="37"/>
        <v>44251861.782671608</v>
      </c>
    </row>
    <row r="115" spans="2:20" ht="11.45" customHeight="1" x14ac:dyDescent="0.25">
      <c r="B115" s="86">
        <f t="shared" si="38"/>
        <v>91</v>
      </c>
      <c r="C115" s="88">
        <f t="shared" ca="1" si="40"/>
        <v>46905</v>
      </c>
      <c r="D115" s="87">
        <f t="shared" ca="1" si="39"/>
        <v>31</v>
      </c>
      <c r="E115" s="157">
        <f t="shared" si="25"/>
        <v>9359358734.6815414</v>
      </c>
      <c r="F115" s="156">
        <f t="shared" si="26"/>
        <v>5.7599999999999998E-2</v>
      </c>
      <c r="G115" s="78">
        <f t="shared" si="27"/>
        <v>13495905.450787552</v>
      </c>
      <c r="H115" s="44">
        <f t="shared" si="23"/>
        <v>44924921.926471397</v>
      </c>
      <c r="I115" s="44">
        <f t="shared" si="28"/>
        <v>58420827.377258949</v>
      </c>
      <c r="J115" s="44">
        <f t="shared" si="29"/>
        <v>9345862829.2307529</v>
      </c>
      <c r="K115" s="46">
        <f t="shared" si="24"/>
        <v>29</v>
      </c>
      <c r="L115" s="46">
        <f t="shared" si="30"/>
        <v>305</v>
      </c>
      <c r="M115" s="26">
        <f t="shared" ca="1" si="31"/>
        <v>366</v>
      </c>
      <c r="N115" s="2">
        <f t="shared" ca="1" si="32"/>
        <v>1.5737704918032785E-4</v>
      </c>
      <c r="P115" s="2">
        <f t="shared" ca="1" si="33"/>
        <v>44924921.926471397</v>
      </c>
      <c r="Q115" s="2">
        <f t="shared" si="34"/>
        <v>44924921.926471397</v>
      </c>
      <c r="R115" s="2">
        <f t="shared" ca="1" si="35"/>
        <v>45786495.771636598</v>
      </c>
      <c r="S115" s="2">
        <f t="shared" ca="1" si="36"/>
        <v>46422419.324020445</v>
      </c>
      <c r="T115" s="2">
        <f t="shared" ca="1" si="37"/>
        <v>45661396.056413554</v>
      </c>
    </row>
    <row r="116" spans="2:20" ht="11.45" customHeight="1" x14ac:dyDescent="0.25">
      <c r="B116" s="86">
        <f t="shared" si="38"/>
        <v>92</v>
      </c>
      <c r="C116" s="88">
        <f t="shared" ca="1" si="40"/>
        <v>46935</v>
      </c>
      <c r="D116" s="87">
        <f t="shared" ca="1" si="39"/>
        <v>30</v>
      </c>
      <c r="E116" s="157">
        <f t="shared" si="25"/>
        <v>9345862829.2307529</v>
      </c>
      <c r="F116" s="156">
        <f t="shared" si="26"/>
        <v>5.7599999999999998E-2</v>
      </c>
      <c r="G116" s="78">
        <f t="shared" si="27"/>
        <v>13560685.796951339</v>
      </c>
      <c r="H116" s="44">
        <f t="shared" si="23"/>
        <v>44860141.58030761</v>
      </c>
      <c r="I116" s="44">
        <f t="shared" si="28"/>
        <v>58420827.377258949</v>
      </c>
      <c r="J116" s="44">
        <f t="shared" si="29"/>
        <v>9332302143.4338017</v>
      </c>
      <c r="K116" s="46">
        <f t="shared" si="24"/>
        <v>28</v>
      </c>
      <c r="L116" s="46">
        <f t="shared" si="30"/>
        <v>304</v>
      </c>
      <c r="M116" s="26">
        <f t="shared" ca="1" si="31"/>
        <v>366</v>
      </c>
      <c r="N116" s="2">
        <f t="shared" ca="1" si="32"/>
        <v>1.5737704918032785E-4</v>
      </c>
      <c r="P116" s="2">
        <f t="shared" ca="1" si="33"/>
        <v>46355479.632984534</v>
      </c>
      <c r="Q116" s="2">
        <f t="shared" si="34"/>
        <v>44860141.58030761</v>
      </c>
      <c r="R116" s="2">
        <f t="shared" ca="1" si="35"/>
        <v>44245619.09290614</v>
      </c>
      <c r="S116" s="2">
        <f t="shared" ca="1" si="36"/>
        <v>44860141.58030761</v>
      </c>
      <c r="T116" s="2">
        <f t="shared" ca="1" si="37"/>
        <v>44124729.423253387</v>
      </c>
    </row>
    <row r="117" spans="2:20" ht="11.45" customHeight="1" x14ac:dyDescent="0.25">
      <c r="B117" s="86">
        <f t="shared" si="38"/>
        <v>93</v>
      </c>
      <c r="C117" s="88">
        <f t="shared" ca="1" si="40"/>
        <v>46966</v>
      </c>
      <c r="D117" s="87">
        <f t="shared" ca="1" si="39"/>
        <v>31</v>
      </c>
      <c r="E117" s="157">
        <f t="shared" si="25"/>
        <v>9332302143.4338017</v>
      </c>
      <c r="F117" s="156">
        <f t="shared" si="26"/>
        <v>5.7599999999999998E-2</v>
      </c>
      <c r="G117" s="78">
        <f t="shared" si="27"/>
        <v>13625777.088776708</v>
      </c>
      <c r="H117" s="44">
        <f t="shared" si="23"/>
        <v>44795050.288482241</v>
      </c>
      <c r="I117" s="44">
        <f t="shared" si="28"/>
        <v>58420827.377258949</v>
      </c>
      <c r="J117" s="44">
        <f t="shared" si="29"/>
        <v>9318676366.3450241</v>
      </c>
      <c r="K117" s="46">
        <f t="shared" si="24"/>
        <v>27</v>
      </c>
      <c r="L117" s="46">
        <f t="shared" si="30"/>
        <v>303</v>
      </c>
      <c r="M117" s="26">
        <f t="shared" ca="1" si="31"/>
        <v>366</v>
      </c>
      <c r="N117" s="2">
        <f t="shared" ca="1" si="32"/>
        <v>1.5737704918032785E-4</v>
      </c>
      <c r="P117" s="2">
        <f t="shared" ca="1" si="33"/>
        <v>44795050.288482241</v>
      </c>
      <c r="Q117" s="2">
        <f t="shared" si="34"/>
        <v>44795050.288482241</v>
      </c>
      <c r="R117" s="2">
        <f t="shared" ca="1" si="35"/>
        <v>45654133.444699712</v>
      </c>
      <c r="S117" s="2">
        <f t="shared" ca="1" si="36"/>
        <v>46288218.631431654</v>
      </c>
      <c r="T117" s="2">
        <f t="shared" ca="1" si="37"/>
        <v>45529395.37517868</v>
      </c>
    </row>
    <row r="118" spans="2:20" ht="11.45" customHeight="1" x14ac:dyDescent="0.25">
      <c r="B118" s="86">
        <f t="shared" si="38"/>
        <v>94</v>
      </c>
      <c r="C118" s="88">
        <f t="shared" ca="1" si="40"/>
        <v>46997</v>
      </c>
      <c r="D118" s="87">
        <f t="shared" ca="1" si="39"/>
        <v>31</v>
      </c>
      <c r="E118" s="157">
        <f t="shared" si="25"/>
        <v>9318676366.3450241</v>
      </c>
      <c r="F118" s="156">
        <f t="shared" si="26"/>
        <v>5.7599999999999998E-2</v>
      </c>
      <c r="G118" s="78">
        <f t="shared" si="27"/>
        <v>13691180.818802834</v>
      </c>
      <c r="H118" s="44">
        <f t="shared" si="23"/>
        <v>44729646.558456115</v>
      </c>
      <c r="I118" s="44">
        <f t="shared" si="28"/>
        <v>58420827.377258949</v>
      </c>
      <c r="J118" s="44">
        <f t="shared" si="29"/>
        <v>9304985185.5262222</v>
      </c>
      <c r="K118" s="46">
        <f t="shared" si="24"/>
        <v>26</v>
      </c>
      <c r="L118" s="46">
        <f t="shared" si="30"/>
        <v>302</v>
      </c>
      <c r="M118" s="26">
        <f t="shared" ca="1" si="31"/>
        <v>366</v>
      </c>
      <c r="N118" s="2">
        <f t="shared" ca="1" si="32"/>
        <v>1.5737704918032785E-4</v>
      </c>
      <c r="P118" s="2">
        <f t="shared" ca="1" si="33"/>
        <v>46220634.77707132</v>
      </c>
      <c r="Q118" s="2">
        <f t="shared" si="34"/>
        <v>44729646.558456115</v>
      </c>
      <c r="R118" s="2">
        <f t="shared" ca="1" si="35"/>
        <v>45587475.396563485</v>
      </c>
      <c r="S118" s="2">
        <f t="shared" ca="1" si="36"/>
        <v>46220634.77707132</v>
      </c>
      <c r="T118" s="2">
        <f t="shared" ca="1" si="37"/>
        <v>45462919.452857032</v>
      </c>
    </row>
    <row r="119" spans="2:20" ht="11.45" customHeight="1" x14ac:dyDescent="0.25">
      <c r="B119" s="86">
        <f t="shared" si="38"/>
        <v>95</v>
      </c>
      <c r="C119" s="88">
        <f t="shared" ca="1" si="40"/>
        <v>47027</v>
      </c>
      <c r="D119" s="87">
        <f t="shared" ca="1" si="39"/>
        <v>30</v>
      </c>
      <c r="E119" s="157">
        <f t="shared" si="25"/>
        <v>9304985185.5262222</v>
      </c>
      <c r="F119" s="156">
        <f t="shared" si="26"/>
        <v>5.7599999999999998E-2</v>
      </c>
      <c r="G119" s="78">
        <f t="shared" si="27"/>
        <v>13756898.486733086</v>
      </c>
      <c r="H119" s="44">
        <f t="shared" si="23"/>
        <v>44663928.890525863</v>
      </c>
      <c r="I119" s="44">
        <f t="shared" si="28"/>
        <v>58420827.377258949</v>
      </c>
      <c r="J119" s="44">
        <f t="shared" si="29"/>
        <v>9291228287.0394897</v>
      </c>
      <c r="K119" s="46">
        <f t="shared" si="24"/>
        <v>25</v>
      </c>
      <c r="L119" s="46">
        <f t="shared" si="30"/>
        <v>301</v>
      </c>
      <c r="M119" s="26">
        <f t="shared" ca="1" si="31"/>
        <v>366</v>
      </c>
      <c r="N119" s="2">
        <f t="shared" ca="1" si="32"/>
        <v>1.5737704918032785E-4</v>
      </c>
      <c r="P119" s="2">
        <f t="shared" ca="1" si="33"/>
        <v>46152726.520210065</v>
      </c>
      <c r="Q119" s="2">
        <f t="shared" si="34"/>
        <v>44663928.890525863</v>
      </c>
      <c r="R119" s="2">
        <f t="shared" ca="1" si="35"/>
        <v>44052094.248189896</v>
      </c>
      <c r="S119" s="2">
        <f t="shared" ca="1" si="36"/>
        <v>44663928.890525863</v>
      </c>
      <c r="T119" s="2">
        <f t="shared" ca="1" si="37"/>
        <v>43931733.334943466</v>
      </c>
    </row>
    <row r="120" spans="2:20" ht="11.45" customHeight="1" x14ac:dyDescent="0.25">
      <c r="B120" s="86">
        <f t="shared" si="38"/>
        <v>96</v>
      </c>
      <c r="C120" s="88">
        <f t="shared" ca="1" si="40"/>
        <v>47058</v>
      </c>
      <c r="D120" s="87">
        <f t="shared" ca="1" si="39"/>
        <v>31</v>
      </c>
      <c r="E120" s="157">
        <f t="shared" si="25"/>
        <v>9291228287.0394897</v>
      </c>
      <c r="F120" s="156">
        <f t="shared" si="26"/>
        <v>5.7599999999999998E-2</v>
      </c>
      <c r="G120" s="78">
        <f t="shared" si="27"/>
        <v>13822931.599469401</v>
      </c>
      <c r="H120" s="44">
        <f t="shared" si="23"/>
        <v>44597895.777789548</v>
      </c>
      <c r="I120" s="44">
        <f t="shared" si="28"/>
        <v>58420827.377258949</v>
      </c>
      <c r="J120" s="44">
        <f t="shared" si="29"/>
        <v>9277405355.4400196</v>
      </c>
      <c r="K120" s="46">
        <f t="shared" si="24"/>
        <v>24</v>
      </c>
      <c r="L120" s="46">
        <f t="shared" si="30"/>
        <v>300</v>
      </c>
      <c r="M120" s="26">
        <f t="shared" ca="1" si="31"/>
        <v>366</v>
      </c>
      <c r="N120" s="2">
        <f t="shared" ca="1" si="32"/>
        <v>1.5737704918032785E-4</v>
      </c>
      <c r="P120" s="2">
        <f t="shared" ca="1" si="33"/>
        <v>44597895.777789548</v>
      </c>
      <c r="Q120" s="2">
        <f t="shared" si="34"/>
        <v>44597895.777789548</v>
      </c>
      <c r="R120" s="2">
        <f t="shared" ca="1" si="35"/>
        <v>45453197.888596468</v>
      </c>
      <c r="S120" s="2">
        <f t="shared" ca="1" si="36"/>
        <v>46084492.30371587</v>
      </c>
      <c r="T120" s="2">
        <f t="shared" ca="1" si="37"/>
        <v>45329008.823327079</v>
      </c>
    </row>
    <row r="121" spans="2:20" ht="11.45" customHeight="1" x14ac:dyDescent="0.25">
      <c r="B121" s="86">
        <f t="shared" si="38"/>
        <v>97</v>
      </c>
      <c r="C121" s="88">
        <f t="shared" ca="1" si="40"/>
        <v>47088</v>
      </c>
      <c r="D121" s="87">
        <f t="shared" ca="1" si="39"/>
        <v>30</v>
      </c>
      <c r="E121" s="157">
        <f t="shared" si="25"/>
        <v>9277405355.4400196</v>
      </c>
      <c r="F121" s="156">
        <f t="shared" si="26"/>
        <v>5.7599999999999998E-2</v>
      </c>
      <c r="G121" s="78">
        <f t="shared" si="27"/>
        <v>13889281.671146862</v>
      </c>
      <c r="H121" s="44">
        <f t="shared" si="23"/>
        <v>44531545.706112087</v>
      </c>
      <c r="I121" s="44">
        <f t="shared" si="28"/>
        <v>58420827.377258949</v>
      </c>
      <c r="J121" s="44">
        <f t="shared" si="29"/>
        <v>9263516073.7688732</v>
      </c>
      <c r="K121" s="46">
        <f t="shared" si="24"/>
        <v>23</v>
      </c>
      <c r="L121" s="46">
        <f t="shared" si="30"/>
        <v>299</v>
      </c>
      <c r="M121" s="26">
        <f t="shared" ca="1" si="31"/>
        <v>366</v>
      </c>
      <c r="N121" s="2">
        <f t="shared" ca="1" si="32"/>
        <v>1.5737704918032785E-4</v>
      </c>
      <c r="P121" s="2">
        <f t="shared" ca="1" si="33"/>
        <v>46015930.5629825</v>
      </c>
      <c r="Q121" s="2">
        <f t="shared" si="34"/>
        <v>44531545.706112087</v>
      </c>
      <c r="R121" s="2">
        <f t="shared" ca="1" si="35"/>
        <v>43921524.532055765</v>
      </c>
      <c r="S121" s="2">
        <f t="shared" ca="1" si="36"/>
        <v>44531545.706112087</v>
      </c>
      <c r="T121" s="2">
        <f t="shared" ca="1" si="37"/>
        <v>43801520.366667628</v>
      </c>
    </row>
    <row r="122" spans="2:20" ht="11.45" customHeight="1" x14ac:dyDescent="0.25">
      <c r="B122" s="86">
        <f t="shared" si="38"/>
        <v>98</v>
      </c>
      <c r="C122" s="88">
        <f t="shared" ca="1" si="40"/>
        <v>47119</v>
      </c>
      <c r="D122" s="87">
        <f t="shared" ca="1" si="39"/>
        <v>31</v>
      </c>
      <c r="E122" s="157">
        <f t="shared" si="25"/>
        <v>9263516073.7688732</v>
      </c>
      <c r="F122" s="156">
        <f t="shared" si="26"/>
        <v>5.7599999999999998E-2</v>
      </c>
      <c r="G122" s="78">
        <f t="shared" si="27"/>
        <v>13955950.223168358</v>
      </c>
      <c r="H122" s="44">
        <f t="shared" si="23"/>
        <v>44464877.154090591</v>
      </c>
      <c r="I122" s="44">
        <f t="shared" si="28"/>
        <v>58420827.377258949</v>
      </c>
      <c r="J122" s="44">
        <f t="shared" si="29"/>
        <v>9249560123.5457058</v>
      </c>
      <c r="K122" s="46">
        <f t="shared" si="24"/>
        <v>22</v>
      </c>
      <c r="L122" s="46">
        <f t="shared" si="30"/>
        <v>298</v>
      </c>
      <c r="M122" s="26">
        <f t="shared" ca="1" si="31"/>
        <v>366</v>
      </c>
      <c r="N122" s="2">
        <f t="shared" ca="1" si="32"/>
        <v>1.5737704918032785E-4</v>
      </c>
      <c r="P122" s="2">
        <f t="shared" ca="1" si="33"/>
        <v>44464877.154090591</v>
      </c>
      <c r="Q122" s="2">
        <f t="shared" si="34"/>
        <v>44464877.154090591</v>
      </c>
      <c r="R122" s="2">
        <f t="shared" ca="1" si="35"/>
        <v>45317628.222799174</v>
      </c>
      <c r="S122" s="2">
        <f t="shared" ca="1" si="36"/>
        <v>45947039.725893609</v>
      </c>
      <c r="T122" s="2">
        <f t="shared" ca="1" si="37"/>
        <v>45193809.566452734</v>
      </c>
    </row>
    <row r="123" spans="2:20" ht="11.45" customHeight="1" x14ac:dyDescent="0.25">
      <c r="B123" s="86">
        <f t="shared" si="38"/>
        <v>99</v>
      </c>
      <c r="C123" s="88">
        <f t="shared" ca="1" si="40"/>
        <v>47150</v>
      </c>
      <c r="D123" s="87">
        <f t="shared" ca="1" si="39"/>
        <v>31</v>
      </c>
      <c r="E123" s="157">
        <f t="shared" si="25"/>
        <v>9249560123.5457058</v>
      </c>
      <c r="F123" s="156">
        <f t="shared" si="26"/>
        <v>5.7599999999999998E-2</v>
      </c>
      <c r="G123" s="78">
        <f t="shared" si="27"/>
        <v>14022938.784239568</v>
      </c>
      <c r="H123" s="44">
        <f t="shared" si="23"/>
        <v>44397888.593019381</v>
      </c>
      <c r="I123" s="44">
        <f t="shared" si="28"/>
        <v>58420827.377258949</v>
      </c>
      <c r="J123" s="44">
        <f t="shared" si="29"/>
        <v>9235537184.761467</v>
      </c>
      <c r="K123" s="46">
        <f t="shared" si="24"/>
        <v>21</v>
      </c>
      <c r="L123" s="46">
        <f t="shared" si="30"/>
        <v>297</v>
      </c>
      <c r="M123" s="26">
        <f t="shared" ca="1" si="31"/>
        <v>366</v>
      </c>
      <c r="N123" s="2">
        <f t="shared" ca="1" si="32"/>
        <v>1.5737704918032785E-4</v>
      </c>
      <c r="P123" s="2">
        <f t="shared" ca="1" si="33"/>
        <v>45877818.212786704</v>
      </c>
      <c r="Q123" s="2">
        <f t="shared" si="34"/>
        <v>44397888.593019381</v>
      </c>
      <c r="R123" s="2">
        <f t="shared" ca="1" si="35"/>
        <v>45249354.949597836</v>
      </c>
      <c r="S123" s="2">
        <f t="shared" ca="1" si="36"/>
        <v>45877818.212786704</v>
      </c>
      <c r="T123" s="2">
        <f t="shared" ca="1" si="37"/>
        <v>45125722.832249209</v>
      </c>
    </row>
    <row r="124" spans="2:20" ht="11.45" customHeight="1" x14ac:dyDescent="0.25">
      <c r="B124" s="86">
        <f t="shared" si="38"/>
        <v>100</v>
      </c>
      <c r="C124" s="88">
        <f t="shared" ca="1" si="40"/>
        <v>47178</v>
      </c>
      <c r="D124" s="87">
        <f t="shared" ca="1" si="39"/>
        <v>28</v>
      </c>
      <c r="E124" s="157">
        <f t="shared" si="25"/>
        <v>9235537184.761467</v>
      </c>
      <c r="F124" s="156">
        <f t="shared" si="26"/>
        <v>5.7599999999999998E-2</v>
      </c>
      <c r="G124" s="78">
        <f t="shared" si="27"/>
        <v>14090248.890403911</v>
      </c>
      <c r="H124" s="44">
        <f t="shared" si="23"/>
        <v>44330578.486855038</v>
      </c>
      <c r="I124" s="44">
        <f t="shared" si="28"/>
        <v>58420827.377258949</v>
      </c>
      <c r="J124" s="44">
        <f t="shared" si="29"/>
        <v>9221446935.8710632</v>
      </c>
      <c r="K124" s="46">
        <f t="shared" si="24"/>
        <v>20</v>
      </c>
      <c r="L124" s="46">
        <f t="shared" si="30"/>
        <v>296</v>
      </c>
      <c r="M124" s="26">
        <f t="shared" ca="1" si="31"/>
        <v>365</v>
      </c>
      <c r="N124" s="2">
        <f t="shared" ca="1" si="32"/>
        <v>1.5780821917808218E-4</v>
      </c>
      <c r="P124" s="2">
        <f t="shared" ca="1" si="33"/>
        <v>45808264.436416879</v>
      </c>
      <c r="Q124" s="2">
        <f t="shared" si="34"/>
        <v>44330578.486855038</v>
      </c>
      <c r="R124" s="2">
        <f t="shared" ca="1" si="35"/>
        <v>40808422.935844645</v>
      </c>
      <c r="S124" s="2">
        <f t="shared" ca="1" si="36"/>
        <v>41375206.587731369</v>
      </c>
      <c r="T124" s="2">
        <f t="shared" ca="1" si="37"/>
        <v>40808422.935844645</v>
      </c>
    </row>
    <row r="125" spans="2:20" ht="11.45" customHeight="1" x14ac:dyDescent="0.25">
      <c r="B125" s="86">
        <f t="shared" si="38"/>
        <v>101</v>
      </c>
      <c r="C125" s="88">
        <f t="shared" ca="1" si="40"/>
        <v>47209</v>
      </c>
      <c r="D125" s="87">
        <f t="shared" ca="1" si="39"/>
        <v>31</v>
      </c>
      <c r="E125" s="157">
        <f t="shared" si="25"/>
        <v>9221446935.8710632</v>
      </c>
      <c r="F125" s="156">
        <f t="shared" si="26"/>
        <v>5.7599999999999998E-2</v>
      </c>
      <c r="G125" s="78">
        <f t="shared" si="27"/>
        <v>14157882.085077852</v>
      </c>
      <c r="H125" s="44">
        <f t="shared" si="23"/>
        <v>44262945.292181097</v>
      </c>
      <c r="I125" s="44">
        <f t="shared" si="28"/>
        <v>58420827.377258949</v>
      </c>
      <c r="J125" s="44">
        <f t="shared" si="29"/>
        <v>9207289053.7859859</v>
      </c>
      <c r="K125" s="46">
        <f t="shared" si="24"/>
        <v>19</v>
      </c>
      <c r="L125" s="46">
        <f t="shared" si="30"/>
        <v>295</v>
      </c>
      <c r="M125" s="26">
        <f t="shared" ca="1" si="31"/>
        <v>365</v>
      </c>
      <c r="N125" s="2">
        <f t="shared" ca="1" si="32"/>
        <v>1.5780821917808218E-4</v>
      </c>
      <c r="P125" s="2">
        <f t="shared" ca="1" si="33"/>
        <v>41312082.272702359</v>
      </c>
      <c r="Q125" s="2">
        <f t="shared" si="34"/>
        <v>44262945.292181097</v>
      </c>
      <c r="R125" s="2">
        <f t="shared" ca="1" si="35"/>
        <v>45111823.695044845</v>
      </c>
      <c r="S125" s="2">
        <f t="shared" ca="1" si="36"/>
        <v>45738376.801920474</v>
      </c>
      <c r="T125" s="2">
        <f t="shared" ca="1" si="37"/>
        <v>45111823.695044845</v>
      </c>
    </row>
    <row r="126" spans="2:20" ht="11.45" customHeight="1" x14ac:dyDescent="0.25">
      <c r="B126" s="86">
        <f t="shared" si="38"/>
        <v>102</v>
      </c>
      <c r="C126" s="88">
        <f t="shared" ca="1" si="40"/>
        <v>47239</v>
      </c>
      <c r="D126" s="87">
        <f t="shared" ca="1" si="39"/>
        <v>30</v>
      </c>
      <c r="E126" s="157">
        <f t="shared" si="25"/>
        <v>9207289053.7859859</v>
      </c>
      <c r="F126" s="156">
        <f t="shared" si="26"/>
        <v>5.7599999999999998E-2</v>
      </c>
      <c r="G126" s="78">
        <f t="shared" si="27"/>
        <v>14225839.919086218</v>
      </c>
      <c r="H126" s="44">
        <f t="shared" si="23"/>
        <v>44194987.458172731</v>
      </c>
      <c r="I126" s="44">
        <f t="shared" si="28"/>
        <v>58420827.377258949</v>
      </c>
      <c r="J126" s="44">
        <f t="shared" si="29"/>
        <v>9193063213.8668995</v>
      </c>
      <c r="K126" s="46">
        <f t="shared" si="24"/>
        <v>18</v>
      </c>
      <c r="L126" s="46">
        <f t="shared" si="30"/>
        <v>294</v>
      </c>
      <c r="M126" s="26">
        <f t="shared" ca="1" si="31"/>
        <v>365</v>
      </c>
      <c r="N126" s="2">
        <f t="shared" ca="1" si="32"/>
        <v>1.5780821917808218E-4</v>
      </c>
      <c r="P126" s="2">
        <f t="shared" ca="1" si="33"/>
        <v>45668153.706778489</v>
      </c>
      <c r="Q126" s="2">
        <f t="shared" si="34"/>
        <v>44194987.458172731</v>
      </c>
      <c r="R126" s="2">
        <f t="shared" ca="1" si="35"/>
        <v>43589576.671074472</v>
      </c>
      <c r="S126" s="2">
        <f t="shared" ca="1" si="36"/>
        <v>44194987.458172731</v>
      </c>
      <c r="T126" s="2">
        <f t="shared" ca="1" si="37"/>
        <v>43589576.671074472</v>
      </c>
    </row>
    <row r="127" spans="2:20" ht="11.45" customHeight="1" x14ac:dyDescent="0.25">
      <c r="B127" s="86">
        <f t="shared" si="38"/>
        <v>103</v>
      </c>
      <c r="C127" s="88">
        <f t="shared" ca="1" si="40"/>
        <v>47270</v>
      </c>
      <c r="D127" s="87">
        <f t="shared" ca="1" si="39"/>
        <v>31</v>
      </c>
      <c r="E127" s="157">
        <f t="shared" si="25"/>
        <v>9193063213.8668995</v>
      </c>
      <c r="F127" s="156">
        <f t="shared" si="26"/>
        <v>5.7599999999999998E-2</v>
      </c>
      <c r="G127" s="78">
        <f t="shared" si="27"/>
        <v>14294123.950697832</v>
      </c>
      <c r="H127" s="44">
        <f t="shared" si="23"/>
        <v>44126703.426561117</v>
      </c>
      <c r="I127" s="44">
        <f t="shared" si="28"/>
        <v>58420827.377258949</v>
      </c>
      <c r="J127" s="44">
        <f t="shared" si="29"/>
        <v>9178769089.9162025</v>
      </c>
      <c r="K127" s="46">
        <f t="shared" si="24"/>
        <v>17</v>
      </c>
      <c r="L127" s="46">
        <f t="shared" si="30"/>
        <v>293</v>
      </c>
      <c r="M127" s="26">
        <f t="shared" ca="1" si="31"/>
        <v>365</v>
      </c>
      <c r="N127" s="2">
        <f t="shared" ca="1" si="32"/>
        <v>1.5780821917808218E-4</v>
      </c>
      <c r="P127" s="2">
        <f t="shared" ca="1" si="33"/>
        <v>44126703.426561117</v>
      </c>
      <c r="Q127" s="2">
        <f t="shared" si="34"/>
        <v>44126703.426561117</v>
      </c>
      <c r="R127" s="2">
        <f t="shared" ca="1" si="35"/>
        <v>44972968.971728034</v>
      </c>
      <c r="S127" s="2">
        <f t="shared" ca="1" si="36"/>
        <v>45597593.540779822</v>
      </c>
      <c r="T127" s="2">
        <f t="shared" ca="1" si="37"/>
        <v>44972968.971728034</v>
      </c>
    </row>
    <row r="128" spans="2:20" ht="11.45" customHeight="1" x14ac:dyDescent="0.25">
      <c r="B128" s="86">
        <f t="shared" si="38"/>
        <v>104</v>
      </c>
      <c r="C128" s="88">
        <f t="shared" ca="1" si="40"/>
        <v>47300</v>
      </c>
      <c r="D128" s="87">
        <f t="shared" ca="1" si="39"/>
        <v>30</v>
      </c>
      <c r="E128" s="157">
        <f t="shared" si="25"/>
        <v>9178769089.9162025</v>
      </c>
      <c r="F128" s="156">
        <f t="shared" si="26"/>
        <v>5.7599999999999998E-2</v>
      </c>
      <c r="G128" s="78">
        <f t="shared" si="27"/>
        <v>14362735.745661184</v>
      </c>
      <c r="H128" s="44">
        <f t="shared" si="23"/>
        <v>44058091.631597765</v>
      </c>
      <c r="I128" s="44">
        <f t="shared" si="28"/>
        <v>58420827.377258949</v>
      </c>
      <c r="J128" s="44">
        <f t="shared" si="29"/>
        <v>9164406354.1705418</v>
      </c>
      <c r="K128" s="46">
        <f t="shared" si="24"/>
        <v>16</v>
      </c>
      <c r="L128" s="46">
        <f t="shared" si="30"/>
        <v>292</v>
      </c>
      <c r="M128" s="26">
        <f t="shared" ca="1" si="31"/>
        <v>365</v>
      </c>
      <c r="N128" s="2">
        <f t="shared" ca="1" si="32"/>
        <v>1.5780821917808218E-4</v>
      </c>
      <c r="P128" s="2">
        <f t="shared" ca="1" si="33"/>
        <v>45526694.685984366</v>
      </c>
      <c r="Q128" s="2">
        <f t="shared" si="34"/>
        <v>44058091.631597765</v>
      </c>
      <c r="R128" s="2">
        <f t="shared" ca="1" si="35"/>
        <v>43454556.12979506</v>
      </c>
      <c r="S128" s="2">
        <f t="shared" ca="1" si="36"/>
        <v>44058091.631597765</v>
      </c>
      <c r="T128" s="2">
        <f t="shared" ca="1" si="37"/>
        <v>43454556.12979506</v>
      </c>
    </row>
    <row r="129" spans="2:20" ht="11.45" customHeight="1" x14ac:dyDescent="0.25">
      <c r="B129" s="86">
        <f t="shared" si="38"/>
        <v>105</v>
      </c>
      <c r="C129" s="88">
        <f t="shared" ca="1" si="40"/>
        <v>47331</v>
      </c>
      <c r="D129" s="87">
        <f t="shared" ca="1" si="39"/>
        <v>31</v>
      </c>
      <c r="E129" s="157">
        <f t="shared" si="25"/>
        <v>9164406354.1705418</v>
      </c>
      <c r="F129" s="156">
        <f t="shared" si="26"/>
        <v>5.7599999999999998E-2</v>
      </c>
      <c r="G129" s="78">
        <f t="shared" si="27"/>
        <v>14431676.877240352</v>
      </c>
      <c r="H129" s="44">
        <f t="shared" si="23"/>
        <v>43989150.500018597</v>
      </c>
      <c r="I129" s="44">
        <f t="shared" si="28"/>
        <v>58420827.377258949</v>
      </c>
      <c r="J129" s="44">
        <f t="shared" si="29"/>
        <v>9149974677.2933006</v>
      </c>
      <c r="K129" s="46">
        <f t="shared" si="24"/>
        <v>15</v>
      </c>
      <c r="L129" s="46">
        <f t="shared" si="30"/>
        <v>291</v>
      </c>
      <c r="M129" s="26">
        <f t="shared" ca="1" si="31"/>
        <v>365</v>
      </c>
      <c r="N129" s="2">
        <f t="shared" ca="1" si="32"/>
        <v>1.5780821917808218E-4</v>
      </c>
      <c r="P129" s="2">
        <f t="shared" ca="1" si="33"/>
        <v>43989150.500018597</v>
      </c>
      <c r="Q129" s="2">
        <f t="shared" si="34"/>
        <v>43989150.500018597</v>
      </c>
      <c r="R129" s="2">
        <f t="shared" ca="1" si="35"/>
        <v>44832778.043854564</v>
      </c>
      <c r="S129" s="2">
        <f t="shared" ca="1" si="36"/>
        <v>45455455.516685888</v>
      </c>
      <c r="T129" s="2">
        <f t="shared" ca="1" si="37"/>
        <v>44832778.043854564</v>
      </c>
    </row>
    <row r="130" spans="2:20" ht="11.45" customHeight="1" x14ac:dyDescent="0.25">
      <c r="B130" s="86">
        <f t="shared" si="38"/>
        <v>106</v>
      </c>
      <c r="C130" s="88">
        <f t="shared" ca="1" si="40"/>
        <v>47362</v>
      </c>
      <c r="D130" s="87">
        <f t="shared" ca="1" si="39"/>
        <v>31</v>
      </c>
      <c r="E130" s="157">
        <f t="shared" si="25"/>
        <v>9149974677.2933006</v>
      </c>
      <c r="F130" s="156">
        <f t="shared" si="26"/>
        <v>5.7599999999999998E-2</v>
      </c>
      <c r="G130" s="78">
        <f t="shared" si="27"/>
        <v>14500948.926251113</v>
      </c>
      <c r="H130" s="44">
        <f t="shared" si="23"/>
        <v>43919878.451007836</v>
      </c>
      <c r="I130" s="44">
        <f t="shared" si="28"/>
        <v>58420827.377258949</v>
      </c>
      <c r="J130" s="44">
        <f t="shared" si="29"/>
        <v>9135473728.3670502</v>
      </c>
      <c r="K130" s="46">
        <f t="shared" si="24"/>
        <v>14</v>
      </c>
      <c r="L130" s="46">
        <f t="shared" si="30"/>
        <v>290</v>
      </c>
      <c r="M130" s="26">
        <f t="shared" ca="1" si="31"/>
        <v>365</v>
      </c>
      <c r="N130" s="2">
        <f t="shared" ca="1" si="32"/>
        <v>1.5780821917808218E-4</v>
      </c>
      <c r="P130" s="2">
        <f t="shared" ca="1" si="33"/>
        <v>45383874.399374768</v>
      </c>
      <c r="Q130" s="2">
        <f t="shared" si="34"/>
        <v>43919878.451007836</v>
      </c>
      <c r="R130" s="2">
        <f t="shared" ca="1" si="35"/>
        <v>44762177.489794292</v>
      </c>
      <c r="S130" s="2">
        <f t="shared" ca="1" si="36"/>
        <v>45383874.399374768</v>
      </c>
      <c r="T130" s="2">
        <f t="shared" ca="1" si="37"/>
        <v>44762177.489794292</v>
      </c>
    </row>
    <row r="131" spans="2:20" ht="11.45" customHeight="1" x14ac:dyDescent="0.25">
      <c r="B131" s="86">
        <f t="shared" si="38"/>
        <v>107</v>
      </c>
      <c r="C131" s="88">
        <f t="shared" ca="1" si="40"/>
        <v>47392</v>
      </c>
      <c r="D131" s="87">
        <f t="shared" ca="1" si="39"/>
        <v>30</v>
      </c>
      <c r="E131" s="157">
        <f t="shared" si="25"/>
        <v>9135473728.3670502</v>
      </c>
      <c r="F131" s="156">
        <f t="shared" si="26"/>
        <v>5.7599999999999998E-2</v>
      </c>
      <c r="G131" s="78">
        <f t="shared" si="27"/>
        <v>14570553.48109711</v>
      </c>
      <c r="H131" s="44">
        <f t="shared" si="23"/>
        <v>43850273.896161839</v>
      </c>
      <c r="I131" s="44">
        <f t="shared" si="28"/>
        <v>58420827.377258949</v>
      </c>
      <c r="J131" s="44">
        <f t="shared" si="29"/>
        <v>9120903174.8859539</v>
      </c>
      <c r="K131" s="46">
        <f t="shared" si="24"/>
        <v>13</v>
      </c>
      <c r="L131" s="46">
        <f t="shared" si="30"/>
        <v>289</v>
      </c>
      <c r="M131" s="26">
        <f t="shared" ca="1" si="31"/>
        <v>365</v>
      </c>
      <c r="N131" s="2">
        <f t="shared" ca="1" si="32"/>
        <v>1.5780821917808218E-4</v>
      </c>
      <c r="P131" s="2">
        <f t="shared" ca="1" si="33"/>
        <v>45311949.692700572</v>
      </c>
      <c r="Q131" s="2">
        <f t="shared" si="34"/>
        <v>43850273.896161839</v>
      </c>
      <c r="R131" s="2">
        <f t="shared" ca="1" si="35"/>
        <v>43249585.212652773</v>
      </c>
      <c r="S131" s="2">
        <f t="shared" ca="1" si="36"/>
        <v>43850273.896161839</v>
      </c>
      <c r="T131" s="2">
        <f t="shared" ca="1" si="37"/>
        <v>43249585.212652773</v>
      </c>
    </row>
    <row r="132" spans="2:20" ht="11.45" customHeight="1" x14ac:dyDescent="0.25">
      <c r="B132" s="86">
        <f t="shared" si="38"/>
        <v>108</v>
      </c>
      <c r="C132" s="88">
        <f t="shared" ca="1" si="40"/>
        <v>47423</v>
      </c>
      <c r="D132" s="87">
        <f t="shared" ca="1" si="39"/>
        <v>31</v>
      </c>
      <c r="E132" s="157">
        <f t="shared" si="25"/>
        <v>9120903174.8859539</v>
      </c>
      <c r="F132" s="156">
        <f t="shared" si="26"/>
        <v>5.7599999999999998E-2</v>
      </c>
      <c r="G132" s="78">
        <f t="shared" si="27"/>
        <v>14640492.137806371</v>
      </c>
      <c r="H132" s="44">
        <f t="shared" si="23"/>
        <v>43780335.239452578</v>
      </c>
      <c r="I132" s="44">
        <f t="shared" si="28"/>
        <v>58420827.377258949</v>
      </c>
      <c r="J132" s="44">
        <f t="shared" si="29"/>
        <v>9106262682.748148</v>
      </c>
      <c r="K132" s="46">
        <f t="shared" si="24"/>
        <v>12</v>
      </c>
      <c r="L132" s="46">
        <f t="shared" si="30"/>
        <v>288</v>
      </c>
      <c r="M132" s="26">
        <f t="shared" ca="1" si="31"/>
        <v>365</v>
      </c>
      <c r="N132" s="2">
        <f t="shared" ca="1" si="32"/>
        <v>1.5780821917808218E-4</v>
      </c>
      <c r="P132" s="2">
        <f t="shared" ca="1" si="33"/>
        <v>43780335.239452578</v>
      </c>
      <c r="Q132" s="2">
        <f t="shared" si="34"/>
        <v>43780335.239452578</v>
      </c>
      <c r="R132" s="2">
        <f t="shared" ca="1" si="35"/>
        <v>44619958.10705851</v>
      </c>
      <c r="S132" s="2">
        <f t="shared" ca="1" si="36"/>
        <v>45239679.747434333</v>
      </c>
      <c r="T132" s="2">
        <f t="shared" ca="1" si="37"/>
        <v>44619958.10705851</v>
      </c>
    </row>
    <row r="133" spans="2:20" ht="11.45" customHeight="1" x14ac:dyDescent="0.25">
      <c r="B133" s="86">
        <f t="shared" si="38"/>
        <v>109</v>
      </c>
      <c r="C133" s="88">
        <f t="shared" ca="1" si="40"/>
        <v>47453</v>
      </c>
      <c r="D133" s="87">
        <f t="shared" ca="1" si="39"/>
        <v>30</v>
      </c>
      <c r="E133" s="157">
        <f t="shared" si="25"/>
        <v>9106262682.748148</v>
      </c>
      <c r="F133" s="156">
        <f t="shared" si="26"/>
        <v>5.7599999999999998E-2</v>
      </c>
      <c r="G133" s="78">
        <f t="shared" si="27"/>
        <v>14710766.500067845</v>
      </c>
      <c r="H133" s="44">
        <f t="shared" si="23"/>
        <v>43710060.877191104</v>
      </c>
      <c r="I133" s="44">
        <f t="shared" si="28"/>
        <v>58420827.377258949</v>
      </c>
      <c r="J133" s="44">
        <f t="shared" si="29"/>
        <v>9091551916.2480793</v>
      </c>
      <c r="K133" s="46">
        <f t="shared" si="24"/>
        <v>11</v>
      </c>
      <c r="L133" s="46">
        <f t="shared" si="30"/>
        <v>287</v>
      </c>
      <c r="M133" s="26">
        <f t="shared" ca="1" si="31"/>
        <v>365</v>
      </c>
      <c r="N133" s="2">
        <f t="shared" ca="1" si="32"/>
        <v>1.5780821917808218E-4</v>
      </c>
      <c r="P133" s="2">
        <f t="shared" ca="1" si="33"/>
        <v>45167062.906430811</v>
      </c>
      <c r="Q133" s="2">
        <f t="shared" si="34"/>
        <v>43710060.877191104</v>
      </c>
      <c r="R133" s="2">
        <f t="shared" ca="1" si="35"/>
        <v>43111292.919969313</v>
      </c>
      <c r="S133" s="2">
        <f t="shared" ca="1" si="36"/>
        <v>43710060.877191104</v>
      </c>
      <c r="T133" s="2">
        <f t="shared" ca="1" si="37"/>
        <v>43111292.919969313</v>
      </c>
    </row>
    <row r="134" spans="2:20" ht="11.45" customHeight="1" x14ac:dyDescent="0.25">
      <c r="B134" s="86">
        <f t="shared" si="38"/>
        <v>110</v>
      </c>
      <c r="C134" s="88">
        <f t="shared" ca="1" si="40"/>
        <v>47484</v>
      </c>
      <c r="D134" s="87">
        <f t="shared" ca="1" si="39"/>
        <v>31</v>
      </c>
      <c r="E134" s="157">
        <f t="shared" si="25"/>
        <v>9091551916.2480793</v>
      </c>
      <c r="F134" s="156">
        <f t="shared" si="26"/>
        <v>5.7599999999999998E-2</v>
      </c>
      <c r="G134" s="78">
        <f t="shared" si="27"/>
        <v>14781378.179268174</v>
      </c>
      <c r="H134" s="44">
        <f t="shared" si="23"/>
        <v>43639449.197990775</v>
      </c>
      <c r="I134" s="44">
        <f t="shared" si="28"/>
        <v>58420827.377258949</v>
      </c>
      <c r="J134" s="44">
        <f t="shared" si="29"/>
        <v>9076770538.0688114</v>
      </c>
      <c r="K134" s="46">
        <f t="shared" si="24"/>
        <v>10</v>
      </c>
      <c r="L134" s="46">
        <f t="shared" si="30"/>
        <v>286</v>
      </c>
      <c r="M134" s="26">
        <f t="shared" ca="1" si="31"/>
        <v>365</v>
      </c>
      <c r="N134" s="2">
        <f t="shared" ca="1" si="32"/>
        <v>1.5780821917808218E-4</v>
      </c>
      <c r="P134" s="2">
        <f t="shared" ca="1" si="33"/>
        <v>43639449.197990775</v>
      </c>
      <c r="Q134" s="2">
        <f t="shared" si="34"/>
        <v>43639449.197990775</v>
      </c>
      <c r="R134" s="2">
        <f t="shared" ca="1" si="35"/>
        <v>44476370.141513884</v>
      </c>
      <c r="S134" s="2">
        <f t="shared" ca="1" si="36"/>
        <v>45094097.504590474</v>
      </c>
      <c r="T134" s="2">
        <f t="shared" ca="1" si="37"/>
        <v>44476370.141513884</v>
      </c>
    </row>
    <row r="135" spans="2:20" ht="11.45" customHeight="1" x14ac:dyDescent="0.25">
      <c r="B135" s="86">
        <f t="shared" si="38"/>
        <v>111</v>
      </c>
      <c r="C135" s="88">
        <f t="shared" ca="1" si="40"/>
        <v>47515</v>
      </c>
      <c r="D135" s="87">
        <f t="shared" ca="1" si="39"/>
        <v>31</v>
      </c>
      <c r="E135" s="157">
        <f t="shared" si="25"/>
        <v>9076770538.0688114</v>
      </c>
      <c r="F135" s="156">
        <f t="shared" si="26"/>
        <v>5.7599999999999998E-2</v>
      </c>
      <c r="G135" s="78">
        <f t="shared" si="27"/>
        <v>14852328.794528656</v>
      </c>
      <c r="H135" s="44">
        <f t="shared" si="23"/>
        <v>43568498.582730293</v>
      </c>
      <c r="I135" s="44">
        <f t="shared" si="28"/>
        <v>58420827.377258949</v>
      </c>
      <c r="J135" s="44">
        <f t="shared" si="29"/>
        <v>9061918209.2742825</v>
      </c>
      <c r="K135" s="46">
        <f t="shared" si="24"/>
        <v>9</v>
      </c>
      <c r="L135" s="46">
        <f t="shared" si="30"/>
        <v>285</v>
      </c>
      <c r="M135" s="26">
        <f t="shared" ca="1" si="31"/>
        <v>365</v>
      </c>
      <c r="N135" s="2">
        <f t="shared" ca="1" si="32"/>
        <v>1.5780821917808218E-4</v>
      </c>
      <c r="P135" s="2">
        <f t="shared" ca="1" si="33"/>
        <v>45020781.868821308</v>
      </c>
      <c r="Q135" s="2">
        <f t="shared" si="34"/>
        <v>43568498.582730293</v>
      </c>
      <c r="R135" s="2">
        <f t="shared" ca="1" si="35"/>
        <v>44404058.829522379</v>
      </c>
      <c r="S135" s="2">
        <f t="shared" ca="1" si="36"/>
        <v>45020781.868821308</v>
      </c>
      <c r="T135" s="2">
        <f t="shared" ca="1" si="37"/>
        <v>44404058.829522379</v>
      </c>
    </row>
    <row r="136" spans="2:20" ht="11.45" customHeight="1" x14ac:dyDescent="0.25">
      <c r="B136" s="86">
        <f t="shared" si="38"/>
        <v>112</v>
      </c>
      <c r="C136" s="88">
        <f t="shared" ca="1" si="40"/>
        <v>47543</v>
      </c>
      <c r="D136" s="87">
        <f t="shared" ca="1" si="39"/>
        <v>28</v>
      </c>
      <c r="E136" s="157">
        <f t="shared" si="25"/>
        <v>9061918209.2742825</v>
      </c>
      <c r="F136" s="156">
        <f t="shared" si="26"/>
        <v>5.7599999999999998E-2</v>
      </c>
      <c r="G136" s="78">
        <f t="shared" si="27"/>
        <v>14923619.972742394</v>
      </c>
      <c r="H136" s="44">
        <f t="shared" si="23"/>
        <v>43497207.404516555</v>
      </c>
      <c r="I136" s="44">
        <f t="shared" si="28"/>
        <v>58420827.377258949</v>
      </c>
      <c r="J136" s="44">
        <f t="shared" si="29"/>
        <v>9046994589.3015404</v>
      </c>
      <c r="K136" s="46">
        <f t="shared" si="24"/>
        <v>8</v>
      </c>
      <c r="L136" s="46">
        <f t="shared" si="30"/>
        <v>284</v>
      </c>
      <c r="M136" s="26">
        <f t="shared" ca="1" si="31"/>
        <v>365</v>
      </c>
      <c r="N136" s="2">
        <f t="shared" ca="1" si="32"/>
        <v>1.5780821917808218E-4</v>
      </c>
      <c r="P136" s="2">
        <f t="shared" ca="1" si="33"/>
        <v>44947114.318000443</v>
      </c>
      <c r="Q136" s="2">
        <f t="shared" si="34"/>
        <v>43497207.404516555</v>
      </c>
      <c r="R136" s="2">
        <f t="shared" ca="1" si="35"/>
        <v>40041264.898404285</v>
      </c>
      <c r="S136" s="2">
        <f t="shared" ca="1" si="36"/>
        <v>40597393.57754878</v>
      </c>
      <c r="T136" s="2">
        <f t="shared" ca="1" si="37"/>
        <v>40041264.898404285</v>
      </c>
    </row>
    <row r="137" spans="2:20" ht="11.45" customHeight="1" x14ac:dyDescent="0.25">
      <c r="B137" s="86">
        <f t="shared" si="38"/>
        <v>113</v>
      </c>
      <c r="C137" s="88">
        <f t="shared" ca="1" si="40"/>
        <v>47574</v>
      </c>
      <c r="D137" s="87">
        <f t="shared" ca="1" si="39"/>
        <v>31</v>
      </c>
      <c r="E137" s="157">
        <f t="shared" si="25"/>
        <v>9046994589.3015404</v>
      </c>
      <c r="F137" s="156">
        <f t="shared" si="26"/>
        <v>5.7599999999999998E-2</v>
      </c>
      <c r="G137" s="78">
        <f t="shared" si="27"/>
        <v>14995253.348611556</v>
      </c>
      <c r="H137" s="44">
        <f t="shared" si="23"/>
        <v>43425574.028647393</v>
      </c>
      <c r="I137" s="44">
        <f t="shared" si="28"/>
        <v>58420827.377258949</v>
      </c>
      <c r="J137" s="44">
        <f t="shared" si="29"/>
        <v>9031999335.9529285</v>
      </c>
      <c r="K137" s="46">
        <f t="shared" si="24"/>
        <v>7</v>
      </c>
      <c r="L137" s="46">
        <f t="shared" si="30"/>
        <v>283</v>
      </c>
      <c r="M137" s="26">
        <f t="shared" ca="1" si="31"/>
        <v>365</v>
      </c>
      <c r="N137" s="2">
        <f t="shared" ca="1" si="32"/>
        <v>1.5780821917808218E-4</v>
      </c>
      <c r="P137" s="2">
        <f t="shared" ca="1" si="33"/>
        <v>40530535.760070898</v>
      </c>
      <c r="Q137" s="2">
        <f t="shared" si="34"/>
        <v>43425574.028647393</v>
      </c>
      <c r="R137" s="2">
        <f t="shared" ca="1" si="35"/>
        <v>44258393.256594047</v>
      </c>
      <c r="S137" s="2">
        <f t="shared" ca="1" si="36"/>
        <v>44873093.162935637</v>
      </c>
      <c r="T137" s="2">
        <f t="shared" ca="1" si="37"/>
        <v>44258393.256594047</v>
      </c>
    </row>
    <row r="138" spans="2:20" ht="11.45" customHeight="1" x14ac:dyDescent="0.25">
      <c r="B138" s="86">
        <f t="shared" si="38"/>
        <v>114</v>
      </c>
      <c r="C138" s="88">
        <f t="shared" ca="1" si="40"/>
        <v>47604</v>
      </c>
      <c r="D138" s="87">
        <f t="shared" ca="1" si="39"/>
        <v>30</v>
      </c>
      <c r="E138" s="157">
        <f t="shared" si="25"/>
        <v>9031999335.9529285</v>
      </c>
      <c r="F138" s="156">
        <f t="shared" si="26"/>
        <v>5.7599999999999998E-2</v>
      </c>
      <c r="G138" s="78">
        <f t="shared" si="27"/>
        <v>15067230.564684898</v>
      </c>
      <c r="H138" s="44">
        <f t="shared" si="23"/>
        <v>43353596.812574051</v>
      </c>
      <c r="I138" s="44">
        <f t="shared" si="28"/>
        <v>58420827.377258949</v>
      </c>
      <c r="J138" s="44">
        <f t="shared" si="29"/>
        <v>9016932105.3882427</v>
      </c>
      <c r="K138" s="46">
        <f t="shared" si="24"/>
        <v>6</v>
      </c>
      <c r="L138" s="46">
        <f t="shared" si="30"/>
        <v>282</v>
      </c>
      <c r="M138" s="26">
        <f t="shared" ca="1" si="31"/>
        <v>365</v>
      </c>
      <c r="N138" s="2">
        <f t="shared" ca="1" si="32"/>
        <v>1.5780821917808218E-4</v>
      </c>
      <c r="P138" s="2">
        <f t="shared" ca="1" si="33"/>
        <v>44798716.706326522</v>
      </c>
      <c r="Q138" s="2">
        <f t="shared" si="34"/>
        <v>43353596.812574051</v>
      </c>
      <c r="R138" s="2">
        <f t="shared" ca="1" si="35"/>
        <v>42759711.924730577</v>
      </c>
      <c r="S138" s="2">
        <f t="shared" ca="1" si="36"/>
        <v>43353596.812574051</v>
      </c>
      <c r="T138" s="2">
        <f t="shared" ca="1" si="37"/>
        <v>42759711.924730577</v>
      </c>
    </row>
    <row r="139" spans="2:20" ht="11.45" customHeight="1" x14ac:dyDescent="0.25">
      <c r="B139" s="86">
        <f t="shared" si="38"/>
        <v>115</v>
      </c>
      <c r="C139" s="88">
        <f t="shared" ca="1" si="40"/>
        <v>47635</v>
      </c>
      <c r="D139" s="87">
        <f t="shared" ca="1" si="39"/>
        <v>31</v>
      </c>
      <c r="E139" s="157">
        <f t="shared" si="25"/>
        <v>9016932105.3882427</v>
      </c>
      <c r="F139" s="156">
        <f t="shared" si="26"/>
        <v>5.7599999999999998E-2</v>
      </c>
      <c r="G139" s="78">
        <f t="shared" si="27"/>
        <v>15139553.271395385</v>
      </c>
      <c r="H139" s="44">
        <f t="shared" si="23"/>
        <v>43281274.105863564</v>
      </c>
      <c r="I139" s="44">
        <f t="shared" si="28"/>
        <v>58420827.377258949</v>
      </c>
      <c r="J139" s="44">
        <f t="shared" si="29"/>
        <v>9001792552.116848</v>
      </c>
      <c r="K139" s="46">
        <f t="shared" si="24"/>
        <v>5</v>
      </c>
      <c r="L139" s="46">
        <f t="shared" si="30"/>
        <v>281</v>
      </c>
      <c r="M139" s="26">
        <f t="shared" ca="1" si="31"/>
        <v>365</v>
      </c>
      <c r="N139" s="2">
        <f t="shared" ca="1" si="32"/>
        <v>1.5780821917808218E-4</v>
      </c>
      <c r="P139" s="2">
        <f t="shared" ca="1" si="33"/>
        <v>43281274.105863564</v>
      </c>
      <c r="Q139" s="2">
        <f t="shared" si="34"/>
        <v>43281274.105863564</v>
      </c>
      <c r="R139" s="2">
        <f t="shared" ca="1" si="35"/>
        <v>44111325.938030809</v>
      </c>
      <c r="S139" s="2">
        <f t="shared" ca="1" si="36"/>
        <v>44723983.242725685</v>
      </c>
      <c r="T139" s="2">
        <f t="shared" ca="1" si="37"/>
        <v>44111325.938030809</v>
      </c>
    </row>
    <row r="140" spans="2:20" ht="11.45" customHeight="1" x14ac:dyDescent="0.25">
      <c r="B140" s="86">
        <f t="shared" si="38"/>
        <v>116</v>
      </c>
      <c r="C140" s="88">
        <f t="shared" ca="1" si="40"/>
        <v>47665</v>
      </c>
      <c r="D140" s="87">
        <f t="shared" ca="1" si="39"/>
        <v>30</v>
      </c>
      <c r="E140" s="157">
        <f t="shared" si="25"/>
        <v>9001792552.116848</v>
      </c>
      <c r="F140" s="156">
        <f t="shared" si="26"/>
        <v>5.7599999999999998E-2</v>
      </c>
      <c r="G140" s="78">
        <f t="shared" si="27"/>
        <v>15212223.127098083</v>
      </c>
      <c r="H140" s="44">
        <f t="shared" si="23"/>
        <v>43208604.250160865</v>
      </c>
      <c r="I140" s="44">
        <f t="shared" si="28"/>
        <v>58420827.377258949</v>
      </c>
      <c r="J140" s="44">
        <f t="shared" si="29"/>
        <v>8986580328.9897499</v>
      </c>
      <c r="K140" s="46">
        <f t="shared" si="24"/>
        <v>4</v>
      </c>
      <c r="L140" s="46">
        <f t="shared" si="30"/>
        <v>280</v>
      </c>
      <c r="M140" s="26">
        <f t="shared" ca="1" si="31"/>
        <v>365</v>
      </c>
      <c r="N140" s="2">
        <f t="shared" ca="1" si="32"/>
        <v>1.5780821917808218E-4</v>
      </c>
      <c r="P140" s="2">
        <f t="shared" ca="1" si="33"/>
        <v>44648891.058499567</v>
      </c>
      <c r="Q140" s="2">
        <f t="shared" si="34"/>
        <v>43208604.250160865</v>
      </c>
      <c r="R140" s="2">
        <f t="shared" ca="1" si="35"/>
        <v>42616705.561802499</v>
      </c>
      <c r="S140" s="2">
        <f t="shared" ca="1" si="36"/>
        <v>43208604.250160865</v>
      </c>
      <c r="T140" s="2">
        <f t="shared" ca="1" si="37"/>
        <v>42616705.561802499</v>
      </c>
    </row>
    <row r="141" spans="2:20" ht="11.45" customHeight="1" x14ac:dyDescent="0.25">
      <c r="B141" s="86">
        <f t="shared" si="38"/>
        <v>117</v>
      </c>
      <c r="C141" s="88">
        <f t="shared" ca="1" si="40"/>
        <v>47696</v>
      </c>
      <c r="D141" s="87">
        <f t="shared" ca="1" si="39"/>
        <v>31</v>
      </c>
      <c r="E141" s="157">
        <f t="shared" si="25"/>
        <v>8986580328.9897499</v>
      </c>
      <c r="F141" s="156">
        <f t="shared" si="26"/>
        <v>5.7599999999999998E-2</v>
      </c>
      <c r="G141" s="78">
        <f t="shared" si="27"/>
        <v>15285241.798108153</v>
      </c>
      <c r="H141" s="44">
        <f t="shared" si="23"/>
        <v>43135585.579150796</v>
      </c>
      <c r="I141" s="44">
        <f t="shared" si="28"/>
        <v>58420827.377258949</v>
      </c>
      <c r="J141" s="44">
        <f t="shared" si="29"/>
        <v>8971295087.1916409</v>
      </c>
      <c r="K141" s="46">
        <f t="shared" si="24"/>
        <v>3</v>
      </c>
      <c r="L141" s="46">
        <f t="shared" si="30"/>
        <v>279</v>
      </c>
      <c r="M141" s="26">
        <f t="shared" ca="1" si="31"/>
        <v>365</v>
      </c>
      <c r="N141" s="2">
        <f t="shared" ca="1" si="32"/>
        <v>1.5780821917808218E-4</v>
      </c>
      <c r="P141" s="2">
        <f t="shared" ca="1" si="33"/>
        <v>43135585.579150796</v>
      </c>
      <c r="Q141" s="2">
        <f t="shared" si="34"/>
        <v>43135585.579150796</v>
      </c>
      <c r="R141" s="2">
        <f t="shared" ca="1" si="35"/>
        <v>43962843.384778343</v>
      </c>
      <c r="S141" s="2">
        <f t="shared" ca="1" si="36"/>
        <v>44573438.43178916</v>
      </c>
      <c r="T141" s="2">
        <f t="shared" ca="1" si="37"/>
        <v>43962843.384778343</v>
      </c>
    </row>
    <row r="142" spans="2:20" ht="11.45" customHeight="1" x14ac:dyDescent="0.25">
      <c r="B142" s="86">
        <f t="shared" si="38"/>
        <v>118</v>
      </c>
      <c r="C142" s="88">
        <f t="shared" ca="1" si="40"/>
        <v>47727</v>
      </c>
      <c r="D142" s="87">
        <f t="shared" ca="1" si="39"/>
        <v>31</v>
      </c>
      <c r="E142" s="157">
        <f t="shared" si="25"/>
        <v>8971295087.1916409</v>
      </c>
      <c r="F142" s="156">
        <f t="shared" si="26"/>
        <v>5.7599999999999998E-2</v>
      </c>
      <c r="G142" s="78">
        <f t="shared" si="27"/>
        <v>15358610.95873908</v>
      </c>
      <c r="H142" s="44">
        <f t="shared" si="23"/>
        <v>43062216.418519869</v>
      </c>
      <c r="I142" s="44">
        <f t="shared" si="28"/>
        <v>58420827.377258949</v>
      </c>
      <c r="J142" s="44">
        <f t="shared" si="29"/>
        <v>8955936476.2329025</v>
      </c>
      <c r="K142" s="46">
        <f t="shared" si="24"/>
        <v>2</v>
      </c>
      <c r="L142" s="46">
        <f t="shared" si="30"/>
        <v>278</v>
      </c>
      <c r="M142" s="26">
        <f t="shared" ca="1" si="31"/>
        <v>365</v>
      </c>
      <c r="N142" s="2">
        <f t="shared" ca="1" si="32"/>
        <v>1.5780821917808218E-4</v>
      </c>
      <c r="P142" s="2">
        <f t="shared" ca="1" si="33"/>
        <v>44497623.632470541</v>
      </c>
      <c r="Q142" s="2">
        <f t="shared" si="34"/>
        <v>43062216.418519869</v>
      </c>
      <c r="R142" s="2">
        <f t="shared" ca="1" si="35"/>
        <v>43888067.1443545</v>
      </c>
      <c r="S142" s="2">
        <f t="shared" ca="1" si="36"/>
        <v>44497623.632470541</v>
      </c>
      <c r="T142" s="2">
        <f t="shared" ca="1" si="37"/>
        <v>43888067.1443545</v>
      </c>
    </row>
    <row r="143" spans="2:20" ht="11.45" customHeight="1" x14ac:dyDescent="0.25">
      <c r="B143" s="86">
        <f t="shared" si="38"/>
        <v>119</v>
      </c>
      <c r="C143" s="88">
        <f t="shared" ca="1" si="40"/>
        <v>47757</v>
      </c>
      <c r="D143" s="87">
        <f t="shared" ca="1" si="39"/>
        <v>30</v>
      </c>
      <c r="E143" s="157">
        <f t="shared" si="25"/>
        <v>8955936476.2329025</v>
      </c>
      <c r="F143" s="156">
        <f t="shared" si="26"/>
        <v>5.7599999999999998E-2</v>
      </c>
      <c r="G143" s="78">
        <f t="shared" si="27"/>
        <v>15432332.291341022</v>
      </c>
      <c r="H143" s="44">
        <f t="shared" si="23"/>
        <v>42988495.085917927</v>
      </c>
      <c r="I143" s="44">
        <f t="shared" si="28"/>
        <v>58420827.377258949</v>
      </c>
      <c r="J143" s="44">
        <f t="shared" si="29"/>
        <v>8940504143.9415607</v>
      </c>
      <c r="K143" s="46">
        <f t="shared" si="24"/>
        <v>1</v>
      </c>
      <c r="L143" s="46">
        <f t="shared" si="30"/>
        <v>277</v>
      </c>
      <c r="M143" s="26">
        <f t="shared" ca="1" si="31"/>
        <v>365</v>
      </c>
      <c r="N143" s="2">
        <f t="shared" ca="1" si="32"/>
        <v>1.5780821917808218E-4</v>
      </c>
      <c r="P143" s="2">
        <f t="shared" ca="1" si="33"/>
        <v>44421444.922115199</v>
      </c>
      <c r="Q143" s="2">
        <f t="shared" si="34"/>
        <v>42988495.085917927</v>
      </c>
      <c r="R143" s="2">
        <f t="shared" ca="1" si="35"/>
        <v>42399611.591590285</v>
      </c>
      <c r="S143" s="2">
        <f t="shared" ca="1" si="36"/>
        <v>42988495.085917927</v>
      </c>
      <c r="T143" s="2">
        <f t="shared" ca="1" si="37"/>
        <v>42399611.591590285</v>
      </c>
    </row>
    <row r="144" spans="2:20" ht="11.45" customHeight="1" x14ac:dyDescent="0.25">
      <c r="B144" s="86">
        <f t="shared" si="38"/>
        <v>120</v>
      </c>
      <c r="C144" s="88">
        <f t="shared" ca="1" si="40"/>
        <v>47788</v>
      </c>
      <c r="D144" s="87">
        <f t="shared" ca="1" si="39"/>
        <v>31</v>
      </c>
      <c r="E144" s="157">
        <f t="shared" si="25"/>
        <v>8940504143.9415607</v>
      </c>
      <c r="F144" s="156">
        <f t="shared" si="26"/>
        <v>5.7599999999999998E-2</v>
      </c>
      <c r="G144" s="78">
        <f t="shared" si="27"/>
        <v>8940504143.9415607</v>
      </c>
      <c r="H144" s="44">
        <f t="shared" si="23"/>
        <v>42914419.890919484</v>
      </c>
      <c r="I144" s="44">
        <f t="shared" si="28"/>
        <v>8983418563.8324795</v>
      </c>
      <c r="J144" s="44">
        <f t="shared" si="29"/>
        <v>0</v>
      </c>
      <c r="K144" s="46">
        <f t="shared" si="24"/>
        <v>0</v>
      </c>
      <c r="L144" s="46">
        <f t="shared" si="30"/>
        <v>276</v>
      </c>
      <c r="M144" s="26" t="str">
        <f t="shared" si="31"/>
        <v/>
      </c>
      <c r="N144" s="2" t="str">
        <f t="shared" si="32"/>
        <v/>
      </c>
      <c r="P144" s="2">
        <f t="shared" ca="1" si="33"/>
        <v>42914419.890919484</v>
      </c>
      <c r="Q144" s="2">
        <f t="shared" si="34"/>
        <v>42914419.890919484</v>
      </c>
      <c r="R144" s="2">
        <f t="shared" ca="1" si="35"/>
        <v>43737436.162800133</v>
      </c>
      <c r="S144" s="2">
        <f t="shared" ca="1" si="36"/>
        <v>44344900.553950138</v>
      </c>
      <c r="T144" s="2" t="e">
        <f t="shared" ca="1" si="37"/>
        <v>#VALUE!</v>
      </c>
    </row>
    <row r="145" spans="2:20" ht="11.45" customHeight="1" x14ac:dyDescent="0.25">
      <c r="B145" s="86" t="str">
        <f t="shared" si="38"/>
        <v/>
      </c>
      <c r="C145" s="88" t="str">
        <f t="shared" si="40"/>
        <v/>
      </c>
      <c r="D145" s="87" t="str">
        <f t="shared" si="39"/>
        <v/>
      </c>
      <c r="E145" s="157" t="str">
        <f t="shared" si="25"/>
        <v/>
      </c>
      <c r="F145" s="156" t="str">
        <f t="shared" si="26"/>
        <v/>
      </c>
      <c r="G145" s="78" t="str">
        <f t="shared" si="27"/>
        <v/>
      </c>
      <c r="H145" s="44" t="str">
        <f t="shared" si="23"/>
        <v/>
      </c>
      <c r="I145" s="44" t="str">
        <f t="shared" si="28"/>
        <v/>
      </c>
      <c r="J145" s="44" t="str">
        <f t="shared" si="29"/>
        <v/>
      </c>
      <c r="K145" s="46" t="str">
        <f t="shared" si="24"/>
        <v/>
      </c>
      <c r="L145" s="46" t="str">
        <f t="shared" si="30"/>
        <v/>
      </c>
      <c r="M145" s="26" t="str">
        <f t="shared" si="31"/>
        <v/>
      </c>
      <c r="N145" s="2" t="str">
        <f t="shared" si="32"/>
        <v/>
      </c>
      <c r="P145" s="2" t="str">
        <f t="shared" si="33"/>
        <v/>
      </c>
      <c r="Q145" s="2" t="str">
        <f t="shared" si="34"/>
        <v/>
      </c>
      <c r="R145" s="2" t="str">
        <f t="shared" si="35"/>
        <v/>
      </c>
      <c r="S145" s="2" t="e">
        <f t="shared" si="36"/>
        <v>#VALUE!</v>
      </c>
      <c r="T145" s="2" t="str">
        <f t="shared" si="37"/>
        <v/>
      </c>
    </row>
    <row r="146" spans="2:20" ht="11.45" customHeight="1" x14ac:dyDescent="0.25">
      <c r="B146" s="86" t="str">
        <f t="shared" si="38"/>
        <v/>
      </c>
      <c r="C146" s="88" t="str">
        <f t="shared" si="40"/>
        <v/>
      </c>
      <c r="D146" s="87" t="str">
        <f t="shared" si="39"/>
        <v/>
      </c>
      <c r="E146" s="157" t="str">
        <f t="shared" si="25"/>
        <v/>
      </c>
      <c r="F146" s="156" t="str">
        <f t="shared" si="26"/>
        <v/>
      </c>
      <c r="G146" s="78" t="str">
        <f t="shared" si="27"/>
        <v/>
      </c>
      <c r="H146" s="44" t="str">
        <f t="shared" si="23"/>
        <v/>
      </c>
      <c r="I146" s="44" t="str">
        <f t="shared" si="28"/>
        <v/>
      </c>
      <c r="J146" s="44" t="str">
        <f t="shared" si="29"/>
        <v/>
      </c>
      <c r="K146" s="46" t="str">
        <f t="shared" si="24"/>
        <v/>
      </c>
      <c r="L146" s="46" t="str">
        <f t="shared" si="30"/>
        <v/>
      </c>
      <c r="M146" s="26" t="str">
        <f t="shared" si="31"/>
        <v/>
      </c>
      <c r="N146" s="2" t="str">
        <f t="shared" si="32"/>
        <v/>
      </c>
      <c r="P146" s="2" t="str">
        <f t="shared" si="33"/>
        <v/>
      </c>
      <c r="Q146" s="2" t="str">
        <f t="shared" si="34"/>
        <v/>
      </c>
      <c r="R146" s="2" t="str">
        <f t="shared" si="35"/>
        <v/>
      </c>
      <c r="S146" s="2" t="e">
        <f t="shared" si="36"/>
        <v>#VALUE!</v>
      </c>
      <c r="T146" s="2" t="str">
        <f t="shared" si="37"/>
        <v/>
      </c>
    </row>
    <row r="147" spans="2:20" ht="11.45" customHeight="1" x14ac:dyDescent="0.25">
      <c r="B147" s="86" t="str">
        <f t="shared" si="38"/>
        <v/>
      </c>
      <c r="C147" s="88" t="str">
        <f t="shared" si="40"/>
        <v/>
      </c>
      <c r="D147" s="87" t="str">
        <f t="shared" si="39"/>
        <v/>
      </c>
      <c r="E147" s="157" t="str">
        <f t="shared" si="25"/>
        <v/>
      </c>
      <c r="F147" s="156" t="str">
        <f t="shared" si="26"/>
        <v/>
      </c>
      <c r="G147" s="78" t="str">
        <f t="shared" si="27"/>
        <v/>
      </c>
      <c r="H147" s="44" t="str">
        <f t="shared" si="23"/>
        <v/>
      </c>
      <c r="I147" s="44" t="str">
        <f t="shared" si="28"/>
        <v/>
      </c>
      <c r="J147" s="44" t="str">
        <f t="shared" si="29"/>
        <v/>
      </c>
      <c r="K147" s="46" t="str">
        <f t="shared" si="24"/>
        <v/>
      </c>
      <c r="L147" s="46" t="str">
        <f t="shared" si="30"/>
        <v/>
      </c>
      <c r="M147" s="26" t="str">
        <f t="shared" si="31"/>
        <v/>
      </c>
      <c r="N147" s="2" t="str">
        <f t="shared" si="32"/>
        <v/>
      </c>
      <c r="P147" s="2" t="str">
        <f t="shared" si="33"/>
        <v/>
      </c>
      <c r="Q147" s="2" t="str">
        <f t="shared" si="34"/>
        <v/>
      </c>
      <c r="R147" s="2" t="str">
        <f t="shared" si="35"/>
        <v/>
      </c>
      <c r="S147" s="2" t="e">
        <f t="shared" si="36"/>
        <v>#VALUE!</v>
      </c>
      <c r="T147" s="2" t="str">
        <f t="shared" si="37"/>
        <v/>
      </c>
    </row>
    <row r="148" spans="2:20" ht="11.45" customHeight="1" x14ac:dyDescent="0.25">
      <c r="B148" s="86" t="str">
        <f t="shared" si="38"/>
        <v/>
      </c>
      <c r="C148" s="88" t="str">
        <f t="shared" si="40"/>
        <v/>
      </c>
      <c r="D148" s="87" t="str">
        <f t="shared" si="39"/>
        <v/>
      </c>
      <c r="E148" s="157" t="str">
        <f t="shared" si="25"/>
        <v/>
      </c>
      <c r="F148" s="156" t="str">
        <f t="shared" si="26"/>
        <v/>
      </c>
      <c r="G148" s="78" t="str">
        <f t="shared" si="27"/>
        <v/>
      </c>
      <c r="H148" s="44" t="str">
        <f t="shared" si="23"/>
        <v/>
      </c>
      <c r="I148" s="44" t="str">
        <f t="shared" si="28"/>
        <v/>
      </c>
      <c r="J148" s="44" t="str">
        <f t="shared" si="29"/>
        <v/>
      </c>
      <c r="K148" s="46" t="str">
        <f t="shared" si="24"/>
        <v/>
      </c>
      <c r="L148" s="46" t="str">
        <f t="shared" si="30"/>
        <v/>
      </c>
      <c r="M148" s="26" t="str">
        <f t="shared" si="31"/>
        <v/>
      </c>
      <c r="N148" s="2" t="str">
        <f t="shared" si="32"/>
        <v/>
      </c>
      <c r="P148" s="2" t="str">
        <f t="shared" si="33"/>
        <v/>
      </c>
      <c r="Q148" s="2" t="str">
        <f t="shared" si="34"/>
        <v/>
      </c>
      <c r="R148" s="2" t="str">
        <f t="shared" si="35"/>
        <v/>
      </c>
      <c r="S148" s="2" t="e">
        <f t="shared" si="36"/>
        <v>#VALUE!</v>
      </c>
      <c r="T148" s="2" t="str">
        <f t="shared" si="37"/>
        <v/>
      </c>
    </row>
    <row r="149" spans="2:20" ht="11.45" customHeight="1" x14ac:dyDescent="0.25">
      <c r="B149" s="86" t="str">
        <f t="shared" si="38"/>
        <v/>
      </c>
      <c r="C149" s="88" t="str">
        <f t="shared" si="40"/>
        <v/>
      </c>
      <c r="D149" s="87" t="str">
        <f t="shared" si="39"/>
        <v/>
      </c>
      <c r="E149" s="157" t="str">
        <f t="shared" si="25"/>
        <v/>
      </c>
      <c r="F149" s="156" t="str">
        <f t="shared" si="26"/>
        <v/>
      </c>
      <c r="G149" s="78" t="str">
        <f t="shared" si="27"/>
        <v/>
      </c>
      <c r="H149" s="44" t="str">
        <f t="shared" si="23"/>
        <v/>
      </c>
      <c r="I149" s="44" t="str">
        <f t="shared" si="28"/>
        <v/>
      </c>
      <c r="J149" s="44" t="str">
        <f t="shared" si="29"/>
        <v/>
      </c>
      <c r="K149" s="46" t="str">
        <f t="shared" si="24"/>
        <v/>
      </c>
      <c r="L149" s="46" t="str">
        <f t="shared" si="30"/>
        <v/>
      </c>
      <c r="M149" s="26" t="str">
        <f t="shared" si="31"/>
        <v/>
      </c>
      <c r="N149" s="2" t="str">
        <f t="shared" si="32"/>
        <v/>
      </c>
      <c r="P149" s="2" t="str">
        <f t="shared" si="33"/>
        <v/>
      </c>
      <c r="Q149" s="2" t="str">
        <f t="shared" si="34"/>
        <v/>
      </c>
      <c r="R149" s="2" t="str">
        <f t="shared" si="35"/>
        <v/>
      </c>
      <c r="S149" s="2" t="e">
        <f t="shared" si="36"/>
        <v>#VALUE!</v>
      </c>
      <c r="T149" s="2" t="str">
        <f t="shared" si="37"/>
        <v/>
      </c>
    </row>
    <row r="150" spans="2:20" ht="11.45" customHeight="1" x14ac:dyDescent="0.25">
      <c r="B150" s="86" t="str">
        <f t="shared" si="38"/>
        <v/>
      </c>
      <c r="C150" s="88"/>
      <c r="D150" s="87" t="str">
        <f t="shared" si="39"/>
        <v/>
      </c>
      <c r="E150" s="157" t="str">
        <f t="shared" si="25"/>
        <v/>
      </c>
      <c r="F150" s="156" t="str">
        <f t="shared" si="26"/>
        <v/>
      </c>
      <c r="G150" s="78" t="str">
        <f t="shared" si="27"/>
        <v/>
      </c>
      <c r="H150" s="44" t="str">
        <f t="shared" si="23"/>
        <v/>
      </c>
      <c r="I150" s="44" t="str">
        <f t="shared" si="28"/>
        <v/>
      </c>
      <c r="J150" s="44" t="str">
        <f t="shared" si="29"/>
        <v/>
      </c>
      <c r="K150" s="46" t="str">
        <f t="shared" si="24"/>
        <v/>
      </c>
      <c r="L150" s="46" t="str">
        <f t="shared" si="30"/>
        <v/>
      </c>
      <c r="M150" s="26" t="str">
        <f t="shared" si="31"/>
        <v/>
      </c>
      <c r="N150" s="2" t="str">
        <f t="shared" si="32"/>
        <v/>
      </c>
      <c r="P150" s="2" t="str">
        <f t="shared" si="33"/>
        <v/>
      </c>
      <c r="Q150" s="2" t="str">
        <f t="shared" si="34"/>
        <v/>
      </c>
      <c r="R150" s="2" t="str">
        <f t="shared" si="35"/>
        <v/>
      </c>
      <c r="S150" s="2" t="str">
        <f t="shared" si="36"/>
        <v/>
      </c>
      <c r="T150" s="2" t="str">
        <f t="shared" si="37"/>
        <v/>
      </c>
    </row>
    <row r="151" spans="2:20" ht="11.45" customHeight="1" x14ac:dyDescent="0.25">
      <c r="B151" s="86" t="str">
        <f t="shared" si="38"/>
        <v/>
      </c>
      <c r="C151" s="88"/>
      <c r="D151" s="87" t="str">
        <f t="shared" si="39"/>
        <v/>
      </c>
      <c r="E151" s="157" t="str">
        <f t="shared" si="25"/>
        <v/>
      </c>
      <c r="F151" s="156" t="str">
        <f t="shared" si="26"/>
        <v/>
      </c>
      <c r="G151" s="78" t="str">
        <f t="shared" si="27"/>
        <v/>
      </c>
      <c r="H151" s="44" t="str">
        <f t="shared" si="23"/>
        <v/>
      </c>
      <c r="I151" s="44" t="str">
        <f t="shared" si="28"/>
        <v/>
      </c>
      <c r="J151" s="44" t="str">
        <f t="shared" si="29"/>
        <v/>
      </c>
      <c r="K151" s="46" t="str">
        <f t="shared" si="24"/>
        <v/>
      </c>
      <c r="L151" s="46" t="str">
        <f t="shared" si="30"/>
        <v/>
      </c>
      <c r="M151" s="26" t="str">
        <f t="shared" si="31"/>
        <v/>
      </c>
      <c r="N151" s="2" t="str">
        <f t="shared" si="32"/>
        <v/>
      </c>
      <c r="P151" s="2" t="str">
        <f t="shared" si="33"/>
        <v/>
      </c>
      <c r="Q151" s="2" t="str">
        <f t="shared" si="34"/>
        <v/>
      </c>
      <c r="R151" s="2" t="str">
        <f t="shared" si="35"/>
        <v/>
      </c>
      <c r="S151" s="2" t="str">
        <f t="shared" si="36"/>
        <v/>
      </c>
      <c r="T151" s="2" t="str">
        <f t="shared" si="37"/>
        <v/>
      </c>
    </row>
    <row r="152" spans="2:20" ht="11.45" customHeight="1" x14ac:dyDescent="0.25">
      <c r="B152" s="86" t="str">
        <f t="shared" si="38"/>
        <v/>
      </c>
      <c r="C152" s="88"/>
      <c r="D152" s="87" t="str">
        <f t="shared" si="39"/>
        <v/>
      </c>
      <c r="E152" s="157" t="str">
        <f t="shared" si="25"/>
        <v/>
      </c>
      <c r="F152" s="156" t="str">
        <f t="shared" si="26"/>
        <v/>
      </c>
      <c r="G152" s="78" t="str">
        <f t="shared" si="27"/>
        <v/>
      </c>
      <c r="H152" s="44" t="str">
        <f t="shared" ref="H152:H215" si="41">IF(B152="","",IF($C$13=$P$22,P152,IF($C$13=$Q$22,Q152,IF($C$13=$R$22,R152,IF($C$13=$S$22,S152,"")))))</f>
        <v/>
      </c>
      <c r="I152" s="44" t="str">
        <f t="shared" si="28"/>
        <v/>
      </c>
      <c r="J152" s="44" t="str">
        <f t="shared" si="29"/>
        <v/>
      </c>
      <c r="K152" s="46" t="str">
        <f t="shared" ref="K152:K215" si="42">IF(B152="","",$F$9-B152)</f>
        <v/>
      </c>
      <c r="L152" s="46" t="str">
        <f t="shared" si="30"/>
        <v/>
      </c>
      <c r="M152" s="26" t="str">
        <f t="shared" si="31"/>
        <v/>
      </c>
      <c r="N152" s="2" t="str">
        <f t="shared" si="32"/>
        <v/>
      </c>
      <c r="P152" s="2" t="str">
        <f t="shared" si="33"/>
        <v/>
      </c>
      <c r="Q152" s="2" t="str">
        <f t="shared" si="34"/>
        <v/>
      </c>
      <c r="R152" s="2" t="str">
        <f t="shared" si="35"/>
        <v/>
      </c>
      <c r="S152" s="2" t="str">
        <f t="shared" si="36"/>
        <v/>
      </c>
      <c r="T152" s="2" t="str">
        <f t="shared" si="37"/>
        <v/>
      </c>
    </row>
    <row r="153" spans="2:20" ht="11.45" customHeight="1" x14ac:dyDescent="0.25">
      <c r="B153" s="86" t="str">
        <f t="shared" si="38"/>
        <v/>
      </c>
      <c r="C153" s="88"/>
      <c r="D153" s="87" t="str">
        <f t="shared" si="39"/>
        <v/>
      </c>
      <c r="E153" s="157" t="str">
        <f t="shared" ref="E153:E216" si="43">IF(B153="","",J152)</f>
        <v/>
      </c>
      <c r="F153" s="156" t="str">
        <f t="shared" ref="F153:F216" si="44">IF(B153="","",$C$14)</f>
        <v/>
      </c>
      <c r="G153" s="78" t="str">
        <f t="shared" ref="G153:G216" si="45">IF(B153&lt;$F$9,I153-H153,IF(B153=$F$9,J152,""))</f>
        <v/>
      </c>
      <c r="H153" s="44" t="str">
        <f t="shared" si="41"/>
        <v/>
      </c>
      <c r="I153" s="44" t="str">
        <f t="shared" ref="I153:I216" si="46">IF(B153="","",IF(OR(B153&lt;$F$11,B153=$F$11),H153,IF(B153=$F$9,J152+H153,IF($F$12="Monthly",-1*PMT($C$14/12,$F$10,$C$8),IF($F$12="Quarterly",-1*PMT($C$14/4,$F$10,$C$8),IF($F$12="Semi-Annually",-1*PMT($C$14/2,$F$10,$C$8),IF($F$12="Annually",-1*PMT($C$14,$F$10,$C$8))))))))</f>
        <v/>
      </c>
      <c r="J153" s="44" t="str">
        <f t="shared" ref="J153:J216" si="47">IF(B153="","",IF(B153=$F$9,0,J152-G153))</f>
        <v/>
      </c>
      <c r="K153" s="46" t="str">
        <f t="shared" si="42"/>
        <v/>
      </c>
      <c r="L153" s="46" t="str">
        <f t="shared" ref="L153:L216" si="48">IF(B153="","",IF(G153=0,L152,IF(G153&gt;0,L152-1,$F$139-B153)))</f>
        <v/>
      </c>
      <c r="M153" s="26" t="str">
        <f t="shared" ref="M153:M216" si="49">IF($F$9="","",IF(OR(B154&gt;$F$9,B154=""),"",DATE(YEAR(C153),MONTH(C153),DAY(C153))-DATE(YEAR(C153)-1,MONTH(C153),DAY(C153))))</f>
        <v/>
      </c>
      <c r="N153" s="2" t="str">
        <f t="shared" ref="N153:N216" si="50">IF($F$9="","",IF(OR(B154&gt;$F$9,B154=""),"",F153/M153))</f>
        <v/>
      </c>
      <c r="P153" s="2" t="str">
        <f t="shared" ref="P153:P216" si="51">IF(B153="","",IF($F$12="Monthly",F152*(D152/360)*J152,IF($F$12="Quarterly",F152*(D152/360)*3*J152,IF($F$12="Semi-Annually",F152*(D152/360)*6*J152,IF($F$12="Annually",F152*(D152/360)*12*J152)))))</f>
        <v/>
      </c>
      <c r="Q153" s="2" t="str">
        <f t="shared" ref="Q153:Q216" si="52">IF(B153="","",IF($F$12="Monthly",F153*(30/360)*J152,IF($F$12="Quarterly",F153*(30/360)*3*J152,IF($F$12="Semi-Annually",F153*(30/360)*6*J152,IF($F$12="Annually",F153*(30/360)*12*J152)))))</f>
        <v/>
      </c>
      <c r="R153" s="2" t="str">
        <f t="shared" ref="R153:R216" si="53">IF(B153="","",IF($F$12="Monthly",F153*(D153/365)*J152,IF($F$12="Quarterly",F153*(D153/365)*J152,IF($F$12="Semi-Annually",F153*(D153/365)*J152,IF($F$12="Annually",F153*(D153/365)*J152)))))</f>
        <v/>
      </c>
      <c r="S153" s="2" t="str">
        <f t="shared" ref="S153:S216" si="54">IF(B148="","",IF($F$12="Monthly",F153*(D153/360)*J152,IF($F$12="Quarterly",F153*(D153/360)*J152,IF($F$12="Semi-Annually",F153*(D153/360)*J152,IF($F$12="Annually",F153*(D153/360)*J152)))))</f>
        <v/>
      </c>
      <c r="T153" s="2" t="str">
        <f t="shared" ref="T153:T216" si="55">IF(B153="","",IF($F$12="Monthly",F153*(D153/M153)*J152,IF($F$12="Quarterly",F153*(D153/M153)*J152,IF($F$12="Semi-Annually",F153*(D153/M153)*J152,IF($F$12="Annually",F153*(D153/M153)*J152)))))</f>
        <v/>
      </c>
    </row>
    <row r="154" spans="2:20" ht="11.45" customHeight="1" x14ac:dyDescent="0.25">
      <c r="B154" s="86" t="str">
        <f t="shared" ref="B154:B217" si="56">IF(OR(B153=$F$9,B153&gt;$F$9),"",B153+1)</f>
        <v/>
      </c>
      <c r="C154" s="88"/>
      <c r="D154" s="87" t="str">
        <f t="shared" ref="D154:D217" si="57">IF(B154="","",C154-C153)</f>
        <v/>
      </c>
      <c r="E154" s="157" t="str">
        <f t="shared" si="43"/>
        <v/>
      </c>
      <c r="F154" s="156" t="str">
        <f t="shared" si="44"/>
        <v/>
      </c>
      <c r="G154" s="78" t="str">
        <f t="shared" si="45"/>
        <v/>
      </c>
      <c r="H154" s="44" t="str">
        <f t="shared" si="41"/>
        <v/>
      </c>
      <c r="I154" s="44" t="str">
        <f t="shared" si="46"/>
        <v/>
      </c>
      <c r="J154" s="44" t="str">
        <f t="shared" si="47"/>
        <v/>
      </c>
      <c r="K154" s="46" t="str">
        <f t="shared" si="42"/>
        <v/>
      </c>
      <c r="L154" s="46" t="str">
        <f t="shared" si="48"/>
        <v/>
      </c>
      <c r="M154" s="26" t="str">
        <f t="shared" si="49"/>
        <v/>
      </c>
      <c r="N154" s="2" t="str">
        <f t="shared" si="50"/>
        <v/>
      </c>
      <c r="P154" s="2" t="str">
        <f t="shared" si="51"/>
        <v/>
      </c>
      <c r="Q154" s="2" t="str">
        <f t="shared" si="52"/>
        <v/>
      </c>
      <c r="R154" s="2" t="str">
        <f t="shared" si="53"/>
        <v/>
      </c>
      <c r="S154" s="2" t="str">
        <f t="shared" si="54"/>
        <v/>
      </c>
      <c r="T154" s="2" t="str">
        <f t="shared" si="55"/>
        <v/>
      </c>
    </row>
    <row r="155" spans="2:20" ht="11.45" customHeight="1" x14ac:dyDescent="0.25">
      <c r="B155" s="86" t="str">
        <f t="shared" si="56"/>
        <v/>
      </c>
      <c r="C155" s="88"/>
      <c r="D155" s="87" t="str">
        <f t="shared" si="57"/>
        <v/>
      </c>
      <c r="E155" s="157" t="str">
        <f t="shared" si="43"/>
        <v/>
      </c>
      <c r="F155" s="156" t="str">
        <f t="shared" si="44"/>
        <v/>
      </c>
      <c r="G155" s="78" t="str">
        <f t="shared" si="45"/>
        <v/>
      </c>
      <c r="H155" s="44" t="str">
        <f t="shared" si="41"/>
        <v/>
      </c>
      <c r="I155" s="44" t="str">
        <f t="shared" si="46"/>
        <v/>
      </c>
      <c r="J155" s="44" t="str">
        <f t="shared" si="47"/>
        <v/>
      </c>
      <c r="K155" s="46" t="str">
        <f t="shared" si="42"/>
        <v/>
      </c>
      <c r="L155" s="46" t="str">
        <f t="shared" si="48"/>
        <v/>
      </c>
      <c r="M155" s="26" t="str">
        <f t="shared" si="49"/>
        <v/>
      </c>
      <c r="N155" s="2" t="str">
        <f t="shared" si="50"/>
        <v/>
      </c>
      <c r="P155" s="2" t="str">
        <f t="shared" si="51"/>
        <v/>
      </c>
      <c r="Q155" s="2" t="str">
        <f t="shared" si="52"/>
        <v/>
      </c>
      <c r="R155" s="2" t="str">
        <f t="shared" si="53"/>
        <v/>
      </c>
      <c r="S155" s="2" t="str">
        <f t="shared" si="54"/>
        <v/>
      </c>
      <c r="T155" s="2" t="str">
        <f t="shared" si="55"/>
        <v/>
      </c>
    </row>
    <row r="156" spans="2:20" ht="11.45" customHeight="1" x14ac:dyDescent="0.25">
      <c r="B156" s="86" t="str">
        <f t="shared" si="56"/>
        <v/>
      </c>
      <c r="C156" s="88"/>
      <c r="D156" s="87" t="str">
        <f t="shared" si="57"/>
        <v/>
      </c>
      <c r="E156" s="157" t="str">
        <f t="shared" si="43"/>
        <v/>
      </c>
      <c r="F156" s="156" t="str">
        <f t="shared" si="44"/>
        <v/>
      </c>
      <c r="G156" s="78" t="str">
        <f t="shared" si="45"/>
        <v/>
      </c>
      <c r="H156" s="44" t="str">
        <f t="shared" si="41"/>
        <v/>
      </c>
      <c r="I156" s="44" t="str">
        <f t="shared" si="46"/>
        <v/>
      </c>
      <c r="J156" s="44" t="str">
        <f t="shared" si="47"/>
        <v/>
      </c>
      <c r="K156" s="46" t="str">
        <f t="shared" si="42"/>
        <v/>
      </c>
      <c r="L156" s="46" t="str">
        <f t="shared" si="48"/>
        <v/>
      </c>
      <c r="M156" s="26" t="str">
        <f t="shared" si="49"/>
        <v/>
      </c>
      <c r="N156" s="2" t="str">
        <f t="shared" si="50"/>
        <v/>
      </c>
      <c r="P156" s="2" t="str">
        <f t="shared" si="51"/>
        <v/>
      </c>
      <c r="Q156" s="2" t="str">
        <f t="shared" si="52"/>
        <v/>
      </c>
      <c r="R156" s="2" t="str">
        <f t="shared" si="53"/>
        <v/>
      </c>
      <c r="S156" s="2" t="str">
        <f t="shared" si="54"/>
        <v/>
      </c>
      <c r="T156" s="2" t="str">
        <f t="shared" si="55"/>
        <v/>
      </c>
    </row>
    <row r="157" spans="2:20" ht="11.45" customHeight="1" x14ac:dyDescent="0.25">
      <c r="B157" s="86" t="str">
        <f t="shared" si="56"/>
        <v/>
      </c>
      <c r="C157" s="88"/>
      <c r="D157" s="87" t="str">
        <f t="shared" si="57"/>
        <v/>
      </c>
      <c r="E157" s="157" t="str">
        <f t="shared" si="43"/>
        <v/>
      </c>
      <c r="F157" s="156" t="str">
        <f t="shared" si="44"/>
        <v/>
      </c>
      <c r="G157" s="78" t="str">
        <f t="shared" si="45"/>
        <v/>
      </c>
      <c r="H157" s="44" t="str">
        <f t="shared" si="41"/>
        <v/>
      </c>
      <c r="I157" s="44" t="str">
        <f t="shared" si="46"/>
        <v/>
      </c>
      <c r="J157" s="44" t="str">
        <f t="shared" si="47"/>
        <v/>
      </c>
      <c r="K157" s="46" t="str">
        <f t="shared" si="42"/>
        <v/>
      </c>
      <c r="L157" s="46" t="str">
        <f t="shared" si="48"/>
        <v/>
      </c>
      <c r="M157" s="26" t="str">
        <f t="shared" si="49"/>
        <v/>
      </c>
      <c r="N157" s="2" t="str">
        <f t="shared" si="50"/>
        <v/>
      </c>
      <c r="P157" s="2" t="str">
        <f t="shared" si="51"/>
        <v/>
      </c>
      <c r="Q157" s="2" t="str">
        <f t="shared" si="52"/>
        <v/>
      </c>
      <c r="R157" s="2" t="str">
        <f t="shared" si="53"/>
        <v/>
      </c>
      <c r="S157" s="2" t="str">
        <f t="shared" si="54"/>
        <v/>
      </c>
      <c r="T157" s="2" t="str">
        <f t="shared" si="55"/>
        <v/>
      </c>
    </row>
    <row r="158" spans="2:20" ht="11.45" customHeight="1" x14ac:dyDescent="0.25">
      <c r="B158" s="86" t="str">
        <f t="shared" si="56"/>
        <v/>
      </c>
      <c r="C158" s="88"/>
      <c r="D158" s="87" t="str">
        <f t="shared" si="57"/>
        <v/>
      </c>
      <c r="E158" s="157" t="str">
        <f t="shared" si="43"/>
        <v/>
      </c>
      <c r="F158" s="156" t="str">
        <f t="shared" si="44"/>
        <v/>
      </c>
      <c r="G158" s="78" t="str">
        <f t="shared" si="45"/>
        <v/>
      </c>
      <c r="H158" s="44" t="str">
        <f t="shared" si="41"/>
        <v/>
      </c>
      <c r="I158" s="44" t="str">
        <f t="shared" si="46"/>
        <v/>
      </c>
      <c r="J158" s="44" t="str">
        <f t="shared" si="47"/>
        <v/>
      </c>
      <c r="K158" s="46" t="str">
        <f t="shared" si="42"/>
        <v/>
      </c>
      <c r="L158" s="46" t="str">
        <f t="shared" si="48"/>
        <v/>
      </c>
      <c r="M158" s="26" t="str">
        <f t="shared" si="49"/>
        <v/>
      </c>
      <c r="N158" s="2" t="str">
        <f t="shared" si="50"/>
        <v/>
      </c>
      <c r="P158" s="2" t="str">
        <f t="shared" si="51"/>
        <v/>
      </c>
      <c r="Q158" s="2" t="str">
        <f t="shared" si="52"/>
        <v/>
      </c>
      <c r="R158" s="2" t="str">
        <f t="shared" si="53"/>
        <v/>
      </c>
      <c r="S158" s="2" t="str">
        <f t="shared" si="54"/>
        <v/>
      </c>
      <c r="T158" s="2" t="str">
        <f t="shared" si="55"/>
        <v/>
      </c>
    </row>
    <row r="159" spans="2:20" ht="11.45" customHeight="1" x14ac:dyDescent="0.25">
      <c r="B159" s="86" t="str">
        <f t="shared" si="56"/>
        <v/>
      </c>
      <c r="C159" s="88"/>
      <c r="D159" s="87" t="str">
        <f t="shared" si="57"/>
        <v/>
      </c>
      <c r="E159" s="157" t="str">
        <f t="shared" si="43"/>
        <v/>
      </c>
      <c r="F159" s="156" t="str">
        <f t="shared" si="44"/>
        <v/>
      </c>
      <c r="G159" s="78" t="str">
        <f t="shared" si="45"/>
        <v/>
      </c>
      <c r="H159" s="44" t="str">
        <f t="shared" si="41"/>
        <v/>
      </c>
      <c r="I159" s="44" t="str">
        <f t="shared" si="46"/>
        <v/>
      </c>
      <c r="J159" s="44" t="str">
        <f t="shared" si="47"/>
        <v/>
      </c>
      <c r="K159" s="46" t="str">
        <f t="shared" si="42"/>
        <v/>
      </c>
      <c r="L159" s="46" t="str">
        <f t="shared" si="48"/>
        <v/>
      </c>
      <c r="M159" s="26" t="str">
        <f t="shared" si="49"/>
        <v/>
      </c>
      <c r="N159" s="2" t="str">
        <f t="shared" si="50"/>
        <v/>
      </c>
      <c r="P159" s="2" t="str">
        <f t="shared" si="51"/>
        <v/>
      </c>
      <c r="Q159" s="2" t="str">
        <f t="shared" si="52"/>
        <v/>
      </c>
      <c r="R159" s="2" t="str">
        <f t="shared" si="53"/>
        <v/>
      </c>
      <c r="S159" s="2" t="str">
        <f t="shared" si="54"/>
        <v/>
      </c>
      <c r="T159" s="2" t="str">
        <f t="shared" si="55"/>
        <v/>
      </c>
    </row>
    <row r="160" spans="2:20" ht="11.45" customHeight="1" x14ac:dyDescent="0.25">
      <c r="B160" s="86" t="str">
        <f t="shared" si="56"/>
        <v/>
      </c>
      <c r="C160" s="88"/>
      <c r="D160" s="87" t="str">
        <f t="shared" si="57"/>
        <v/>
      </c>
      <c r="E160" s="157" t="str">
        <f t="shared" si="43"/>
        <v/>
      </c>
      <c r="F160" s="156" t="str">
        <f t="shared" si="44"/>
        <v/>
      </c>
      <c r="G160" s="78" t="str">
        <f t="shared" si="45"/>
        <v/>
      </c>
      <c r="H160" s="44" t="str">
        <f t="shared" si="41"/>
        <v/>
      </c>
      <c r="I160" s="44" t="str">
        <f t="shared" si="46"/>
        <v/>
      </c>
      <c r="J160" s="44" t="str">
        <f t="shared" si="47"/>
        <v/>
      </c>
      <c r="K160" s="46" t="str">
        <f t="shared" si="42"/>
        <v/>
      </c>
      <c r="L160" s="46" t="str">
        <f t="shared" si="48"/>
        <v/>
      </c>
      <c r="M160" s="26" t="str">
        <f t="shared" si="49"/>
        <v/>
      </c>
      <c r="N160" s="2" t="str">
        <f t="shared" si="50"/>
        <v/>
      </c>
      <c r="P160" s="2" t="str">
        <f t="shared" si="51"/>
        <v/>
      </c>
      <c r="Q160" s="2" t="str">
        <f t="shared" si="52"/>
        <v/>
      </c>
      <c r="R160" s="2" t="str">
        <f t="shared" si="53"/>
        <v/>
      </c>
      <c r="S160" s="2" t="str">
        <f t="shared" si="54"/>
        <v/>
      </c>
      <c r="T160" s="2" t="str">
        <f t="shared" si="55"/>
        <v/>
      </c>
    </row>
    <row r="161" spans="2:20" ht="11.45" customHeight="1" x14ac:dyDescent="0.25">
      <c r="B161" s="86" t="str">
        <f t="shared" si="56"/>
        <v/>
      </c>
      <c r="C161" s="88"/>
      <c r="D161" s="87" t="str">
        <f t="shared" si="57"/>
        <v/>
      </c>
      <c r="E161" s="157" t="str">
        <f t="shared" si="43"/>
        <v/>
      </c>
      <c r="F161" s="156" t="str">
        <f t="shared" si="44"/>
        <v/>
      </c>
      <c r="G161" s="78" t="str">
        <f t="shared" si="45"/>
        <v/>
      </c>
      <c r="H161" s="44" t="str">
        <f t="shared" si="41"/>
        <v/>
      </c>
      <c r="I161" s="44" t="str">
        <f t="shared" si="46"/>
        <v/>
      </c>
      <c r="J161" s="44" t="str">
        <f t="shared" si="47"/>
        <v/>
      </c>
      <c r="K161" s="46" t="str">
        <f t="shared" si="42"/>
        <v/>
      </c>
      <c r="L161" s="46" t="str">
        <f t="shared" si="48"/>
        <v/>
      </c>
      <c r="M161" s="26" t="str">
        <f t="shared" si="49"/>
        <v/>
      </c>
      <c r="N161" s="2" t="str">
        <f t="shared" si="50"/>
        <v/>
      </c>
      <c r="P161" s="2" t="str">
        <f t="shared" si="51"/>
        <v/>
      </c>
      <c r="Q161" s="2" t="str">
        <f t="shared" si="52"/>
        <v/>
      </c>
      <c r="R161" s="2" t="str">
        <f t="shared" si="53"/>
        <v/>
      </c>
      <c r="S161" s="2" t="str">
        <f t="shared" si="54"/>
        <v/>
      </c>
      <c r="T161" s="2" t="str">
        <f t="shared" si="55"/>
        <v/>
      </c>
    </row>
    <row r="162" spans="2:20" ht="11.45" customHeight="1" x14ac:dyDescent="0.25">
      <c r="B162" s="86" t="str">
        <f t="shared" si="56"/>
        <v/>
      </c>
      <c r="C162" s="88"/>
      <c r="D162" s="87" t="str">
        <f t="shared" si="57"/>
        <v/>
      </c>
      <c r="E162" s="157" t="str">
        <f t="shared" si="43"/>
        <v/>
      </c>
      <c r="F162" s="156" t="str">
        <f t="shared" si="44"/>
        <v/>
      </c>
      <c r="G162" s="78" t="str">
        <f t="shared" si="45"/>
        <v/>
      </c>
      <c r="H162" s="44" t="str">
        <f t="shared" si="41"/>
        <v/>
      </c>
      <c r="I162" s="44" t="str">
        <f t="shared" si="46"/>
        <v/>
      </c>
      <c r="J162" s="44" t="str">
        <f t="shared" si="47"/>
        <v/>
      </c>
      <c r="K162" s="46" t="str">
        <f t="shared" si="42"/>
        <v/>
      </c>
      <c r="L162" s="46" t="str">
        <f t="shared" si="48"/>
        <v/>
      </c>
      <c r="M162" s="26" t="str">
        <f t="shared" si="49"/>
        <v/>
      </c>
      <c r="N162" s="2" t="str">
        <f t="shared" si="50"/>
        <v/>
      </c>
      <c r="P162" s="2" t="str">
        <f t="shared" si="51"/>
        <v/>
      </c>
      <c r="Q162" s="2" t="str">
        <f t="shared" si="52"/>
        <v/>
      </c>
      <c r="R162" s="2" t="str">
        <f t="shared" si="53"/>
        <v/>
      </c>
      <c r="S162" s="2" t="str">
        <f t="shared" si="54"/>
        <v/>
      </c>
      <c r="T162" s="2" t="str">
        <f t="shared" si="55"/>
        <v/>
      </c>
    </row>
    <row r="163" spans="2:20" ht="11.45" customHeight="1" x14ac:dyDescent="0.25">
      <c r="B163" s="86" t="str">
        <f t="shared" si="56"/>
        <v/>
      </c>
      <c r="C163" s="88"/>
      <c r="D163" s="87" t="str">
        <f t="shared" si="57"/>
        <v/>
      </c>
      <c r="E163" s="157" t="str">
        <f t="shared" si="43"/>
        <v/>
      </c>
      <c r="F163" s="156" t="str">
        <f t="shared" si="44"/>
        <v/>
      </c>
      <c r="G163" s="78" t="str">
        <f t="shared" si="45"/>
        <v/>
      </c>
      <c r="H163" s="44" t="str">
        <f t="shared" si="41"/>
        <v/>
      </c>
      <c r="I163" s="44" t="str">
        <f t="shared" si="46"/>
        <v/>
      </c>
      <c r="J163" s="44" t="str">
        <f t="shared" si="47"/>
        <v/>
      </c>
      <c r="K163" s="46" t="str">
        <f t="shared" si="42"/>
        <v/>
      </c>
      <c r="L163" s="46" t="str">
        <f t="shared" si="48"/>
        <v/>
      </c>
      <c r="M163" s="26" t="str">
        <f t="shared" si="49"/>
        <v/>
      </c>
      <c r="N163" s="2" t="str">
        <f t="shared" si="50"/>
        <v/>
      </c>
      <c r="P163" s="2" t="str">
        <f t="shared" si="51"/>
        <v/>
      </c>
      <c r="Q163" s="2" t="str">
        <f t="shared" si="52"/>
        <v/>
      </c>
      <c r="R163" s="2" t="str">
        <f t="shared" si="53"/>
        <v/>
      </c>
      <c r="S163" s="2" t="str">
        <f t="shared" si="54"/>
        <v/>
      </c>
      <c r="T163" s="2" t="str">
        <f t="shared" si="55"/>
        <v/>
      </c>
    </row>
    <row r="164" spans="2:20" ht="11.45" customHeight="1" x14ac:dyDescent="0.25">
      <c r="B164" s="86" t="str">
        <f t="shared" si="56"/>
        <v/>
      </c>
      <c r="C164" s="88"/>
      <c r="D164" s="87" t="str">
        <f t="shared" si="57"/>
        <v/>
      </c>
      <c r="E164" s="157" t="str">
        <f t="shared" si="43"/>
        <v/>
      </c>
      <c r="F164" s="156" t="str">
        <f t="shared" si="44"/>
        <v/>
      </c>
      <c r="G164" s="78" t="str">
        <f t="shared" si="45"/>
        <v/>
      </c>
      <c r="H164" s="44" t="str">
        <f t="shared" si="41"/>
        <v/>
      </c>
      <c r="I164" s="44" t="str">
        <f t="shared" si="46"/>
        <v/>
      </c>
      <c r="J164" s="44" t="str">
        <f t="shared" si="47"/>
        <v/>
      </c>
      <c r="K164" s="46" t="str">
        <f t="shared" si="42"/>
        <v/>
      </c>
      <c r="L164" s="46" t="str">
        <f t="shared" si="48"/>
        <v/>
      </c>
      <c r="M164" s="26" t="str">
        <f t="shared" si="49"/>
        <v/>
      </c>
      <c r="N164" s="2" t="str">
        <f t="shared" si="50"/>
        <v/>
      </c>
      <c r="P164" s="2" t="str">
        <f t="shared" si="51"/>
        <v/>
      </c>
      <c r="Q164" s="2" t="str">
        <f t="shared" si="52"/>
        <v/>
      </c>
      <c r="R164" s="2" t="str">
        <f t="shared" si="53"/>
        <v/>
      </c>
      <c r="S164" s="2" t="str">
        <f t="shared" si="54"/>
        <v/>
      </c>
      <c r="T164" s="2" t="str">
        <f t="shared" si="55"/>
        <v/>
      </c>
    </row>
    <row r="165" spans="2:20" ht="11.45" customHeight="1" x14ac:dyDescent="0.25">
      <c r="B165" s="86" t="str">
        <f t="shared" si="56"/>
        <v/>
      </c>
      <c r="C165" s="88"/>
      <c r="D165" s="87" t="str">
        <f t="shared" si="57"/>
        <v/>
      </c>
      <c r="E165" s="157" t="str">
        <f t="shared" si="43"/>
        <v/>
      </c>
      <c r="F165" s="156" t="str">
        <f t="shared" si="44"/>
        <v/>
      </c>
      <c r="G165" s="78" t="str">
        <f t="shared" si="45"/>
        <v/>
      </c>
      <c r="H165" s="44" t="str">
        <f t="shared" si="41"/>
        <v/>
      </c>
      <c r="I165" s="44" t="str">
        <f t="shared" si="46"/>
        <v/>
      </c>
      <c r="J165" s="44" t="str">
        <f t="shared" si="47"/>
        <v/>
      </c>
      <c r="K165" s="46" t="str">
        <f t="shared" si="42"/>
        <v/>
      </c>
      <c r="L165" s="46" t="str">
        <f t="shared" si="48"/>
        <v/>
      </c>
      <c r="M165" s="26" t="str">
        <f t="shared" si="49"/>
        <v/>
      </c>
      <c r="N165" s="2" t="str">
        <f t="shared" si="50"/>
        <v/>
      </c>
      <c r="P165" s="2" t="str">
        <f t="shared" si="51"/>
        <v/>
      </c>
      <c r="Q165" s="2" t="str">
        <f t="shared" si="52"/>
        <v/>
      </c>
      <c r="R165" s="2" t="str">
        <f t="shared" si="53"/>
        <v/>
      </c>
      <c r="S165" s="2" t="str">
        <f t="shared" si="54"/>
        <v/>
      </c>
      <c r="T165" s="2" t="str">
        <f t="shared" si="55"/>
        <v/>
      </c>
    </row>
    <row r="166" spans="2:20" ht="11.45" customHeight="1" x14ac:dyDescent="0.25">
      <c r="B166" s="86" t="str">
        <f t="shared" si="56"/>
        <v/>
      </c>
      <c r="C166" s="88"/>
      <c r="D166" s="87" t="str">
        <f t="shared" si="57"/>
        <v/>
      </c>
      <c r="E166" s="157" t="str">
        <f t="shared" si="43"/>
        <v/>
      </c>
      <c r="F166" s="156" t="str">
        <f t="shared" si="44"/>
        <v/>
      </c>
      <c r="G166" s="78" t="str">
        <f t="shared" si="45"/>
        <v/>
      </c>
      <c r="H166" s="44" t="str">
        <f t="shared" si="41"/>
        <v/>
      </c>
      <c r="I166" s="44" t="str">
        <f t="shared" si="46"/>
        <v/>
      </c>
      <c r="J166" s="44" t="str">
        <f t="shared" si="47"/>
        <v/>
      </c>
      <c r="K166" s="46" t="str">
        <f t="shared" si="42"/>
        <v/>
      </c>
      <c r="L166" s="46" t="str">
        <f t="shared" si="48"/>
        <v/>
      </c>
      <c r="M166" s="26" t="str">
        <f t="shared" si="49"/>
        <v/>
      </c>
      <c r="N166" s="2" t="str">
        <f t="shared" si="50"/>
        <v/>
      </c>
      <c r="P166" s="2" t="str">
        <f t="shared" si="51"/>
        <v/>
      </c>
      <c r="Q166" s="2" t="str">
        <f t="shared" si="52"/>
        <v/>
      </c>
      <c r="R166" s="2" t="str">
        <f t="shared" si="53"/>
        <v/>
      </c>
      <c r="S166" s="2" t="str">
        <f t="shared" si="54"/>
        <v/>
      </c>
      <c r="T166" s="2" t="str">
        <f t="shared" si="55"/>
        <v/>
      </c>
    </row>
    <row r="167" spans="2:20" ht="11.45" customHeight="1" x14ac:dyDescent="0.25">
      <c r="B167" s="86" t="str">
        <f t="shared" si="56"/>
        <v/>
      </c>
      <c r="C167" s="88"/>
      <c r="D167" s="87" t="str">
        <f t="shared" si="57"/>
        <v/>
      </c>
      <c r="E167" s="157" t="str">
        <f t="shared" si="43"/>
        <v/>
      </c>
      <c r="F167" s="156" t="str">
        <f t="shared" si="44"/>
        <v/>
      </c>
      <c r="G167" s="78" t="str">
        <f t="shared" si="45"/>
        <v/>
      </c>
      <c r="H167" s="44" t="str">
        <f t="shared" si="41"/>
        <v/>
      </c>
      <c r="I167" s="44" t="str">
        <f t="shared" si="46"/>
        <v/>
      </c>
      <c r="J167" s="44" t="str">
        <f t="shared" si="47"/>
        <v/>
      </c>
      <c r="K167" s="46" t="str">
        <f t="shared" si="42"/>
        <v/>
      </c>
      <c r="L167" s="46" t="str">
        <f t="shared" si="48"/>
        <v/>
      </c>
      <c r="M167" s="26" t="str">
        <f t="shared" si="49"/>
        <v/>
      </c>
      <c r="N167" s="2" t="str">
        <f t="shared" si="50"/>
        <v/>
      </c>
      <c r="P167" s="2" t="str">
        <f t="shared" si="51"/>
        <v/>
      </c>
      <c r="Q167" s="2" t="str">
        <f t="shared" si="52"/>
        <v/>
      </c>
      <c r="R167" s="2" t="str">
        <f t="shared" si="53"/>
        <v/>
      </c>
      <c r="S167" s="2" t="str">
        <f t="shared" si="54"/>
        <v/>
      </c>
      <c r="T167" s="2" t="str">
        <f t="shared" si="55"/>
        <v/>
      </c>
    </row>
    <row r="168" spans="2:20" ht="11.45" customHeight="1" x14ac:dyDescent="0.25">
      <c r="B168" s="86" t="str">
        <f t="shared" si="56"/>
        <v/>
      </c>
      <c r="C168" s="88"/>
      <c r="D168" s="87" t="str">
        <f t="shared" si="57"/>
        <v/>
      </c>
      <c r="E168" s="157" t="str">
        <f t="shared" si="43"/>
        <v/>
      </c>
      <c r="F168" s="156" t="str">
        <f t="shared" si="44"/>
        <v/>
      </c>
      <c r="G168" s="78" t="str">
        <f t="shared" si="45"/>
        <v/>
      </c>
      <c r="H168" s="44" t="str">
        <f t="shared" si="41"/>
        <v/>
      </c>
      <c r="I168" s="44" t="str">
        <f t="shared" si="46"/>
        <v/>
      </c>
      <c r="J168" s="44" t="str">
        <f t="shared" si="47"/>
        <v/>
      </c>
      <c r="K168" s="46" t="str">
        <f t="shared" si="42"/>
        <v/>
      </c>
      <c r="L168" s="46" t="str">
        <f t="shared" si="48"/>
        <v/>
      </c>
      <c r="M168" s="26" t="str">
        <f t="shared" si="49"/>
        <v/>
      </c>
      <c r="N168" s="2" t="str">
        <f t="shared" si="50"/>
        <v/>
      </c>
      <c r="P168" s="2" t="str">
        <f t="shared" si="51"/>
        <v/>
      </c>
      <c r="Q168" s="2" t="str">
        <f t="shared" si="52"/>
        <v/>
      </c>
      <c r="R168" s="2" t="str">
        <f t="shared" si="53"/>
        <v/>
      </c>
      <c r="S168" s="2" t="str">
        <f t="shared" si="54"/>
        <v/>
      </c>
      <c r="T168" s="2" t="str">
        <f t="shared" si="55"/>
        <v/>
      </c>
    </row>
    <row r="169" spans="2:20" ht="11.45" customHeight="1" x14ac:dyDescent="0.25">
      <c r="B169" s="86" t="str">
        <f t="shared" si="56"/>
        <v/>
      </c>
      <c r="C169" s="88"/>
      <c r="D169" s="87" t="str">
        <f t="shared" si="57"/>
        <v/>
      </c>
      <c r="E169" s="157" t="str">
        <f t="shared" si="43"/>
        <v/>
      </c>
      <c r="F169" s="156" t="str">
        <f t="shared" si="44"/>
        <v/>
      </c>
      <c r="G169" s="78" t="str">
        <f t="shared" si="45"/>
        <v/>
      </c>
      <c r="H169" s="44" t="str">
        <f t="shared" si="41"/>
        <v/>
      </c>
      <c r="I169" s="44" t="str">
        <f t="shared" si="46"/>
        <v/>
      </c>
      <c r="J169" s="44" t="str">
        <f t="shared" si="47"/>
        <v/>
      </c>
      <c r="K169" s="46" t="str">
        <f t="shared" si="42"/>
        <v/>
      </c>
      <c r="L169" s="46" t="str">
        <f t="shared" si="48"/>
        <v/>
      </c>
      <c r="M169" s="26" t="str">
        <f t="shared" si="49"/>
        <v/>
      </c>
      <c r="N169" s="2" t="str">
        <f t="shared" si="50"/>
        <v/>
      </c>
      <c r="P169" s="2" t="str">
        <f t="shared" si="51"/>
        <v/>
      </c>
      <c r="Q169" s="2" t="str">
        <f t="shared" si="52"/>
        <v/>
      </c>
      <c r="R169" s="2" t="str">
        <f t="shared" si="53"/>
        <v/>
      </c>
      <c r="S169" s="2" t="str">
        <f t="shared" si="54"/>
        <v/>
      </c>
      <c r="T169" s="2" t="str">
        <f t="shared" si="55"/>
        <v/>
      </c>
    </row>
    <row r="170" spans="2:20" ht="11.45" customHeight="1" x14ac:dyDescent="0.25">
      <c r="B170" s="86" t="str">
        <f t="shared" si="56"/>
        <v/>
      </c>
      <c r="C170" s="88"/>
      <c r="D170" s="87" t="str">
        <f t="shared" si="57"/>
        <v/>
      </c>
      <c r="E170" s="157" t="str">
        <f t="shared" si="43"/>
        <v/>
      </c>
      <c r="F170" s="156" t="str">
        <f t="shared" si="44"/>
        <v/>
      </c>
      <c r="G170" s="78" t="str">
        <f t="shared" si="45"/>
        <v/>
      </c>
      <c r="H170" s="44" t="str">
        <f t="shared" si="41"/>
        <v/>
      </c>
      <c r="I170" s="44" t="str">
        <f t="shared" si="46"/>
        <v/>
      </c>
      <c r="J170" s="44" t="str">
        <f t="shared" si="47"/>
        <v/>
      </c>
      <c r="K170" s="46" t="str">
        <f t="shared" si="42"/>
        <v/>
      </c>
      <c r="L170" s="46" t="str">
        <f t="shared" si="48"/>
        <v/>
      </c>
      <c r="M170" s="26" t="str">
        <f t="shared" si="49"/>
        <v/>
      </c>
      <c r="N170" s="2" t="str">
        <f t="shared" si="50"/>
        <v/>
      </c>
      <c r="P170" s="2" t="str">
        <f t="shared" si="51"/>
        <v/>
      </c>
      <c r="Q170" s="2" t="str">
        <f t="shared" si="52"/>
        <v/>
      </c>
      <c r="R170" s="2" t="str">
        <f t="shared" si="53"/>
        <v/>
      </c>
      <c r="S170" s="2" t="str">
        <f t="shared" si="54"/>
        <v/>
      </c>
      <c r="T170" s="2" t="str">
        <f t="shared" si="55"/>
        <v/>
      </c>
    </row>
    <row r="171" spans="2:20" ht="11.45" customHeight="1" x14ac:dyDescent="0.25">
      <c r="B171" s="86" t="str">
        <f t="shared" si="56"/>
        <v/>
      </c>
      <c r="C171" s="88"/>
      <c r="D171" s="87" t="str">
        <f t="shared" si="57"/>
        <v/>
      </c>
      <c r="E171" s="157" t="str">
        <f t="shared" si="43"/>
        <v/>
      </c>
      <c r="F171" s="156" t="str">
        <f t="shared" si="44"/>
        <v/>
      </c>
      <c r="G171" s="78" t="str">
        <f t="shared" si="45"/>
        <v/>
      </c>
      <c r="H171" s="44" t="str">
        <f t="shared" si="41"/>
        <v/>
      </c>
      <c r="I171" s="44" t="str">
        <f t="shared" si="46"/>
        <v/>
      </c>
      <c r="J171" s="44" t="str">
        <f t="shared" si="47"/>
        <v/>
      </c>
      <c r="K171" s="46" t="str">
        <f t="shared" si="42"/>
        <v/>
      </c>
      <c r="L171" s="46" t="str">
        <f t="shared" si="48"/>
        <v/>
      </c>
      <c r="M171" s="26" t="str">
        <f t="shared" si="49"/>
        <v/>
      </c>
      <c r="N171" s="2" t="str">
        <f t="shared" si="50"/>
        <v/>
      </c>
      <c r="P171" s="2" t="str">
        <f t="shared" si="51"/>
        <v/>
      </c>
      <c r="Q171" s="2" t="str">
        <f t="shared" si="52"/>
        <v/>
      </c>
      <c r="R171" s="2" t="str">
        <f t="shared" si="53"/>
        <v/>
      </c>
      <c r="S171" s="2" t="str">
        <f t="shared" si="54"/>
        <v/>
      </c>
      <c r="T171" s="2" t="str">
        <f t="shared" si="55"/>
        <v/>
      </c>
    </row>
    <row r="172" spans="2:20" ht="11.45" customHeight="1" x14ac:dyDescent="0.25">
      <c r="B172" s="86" t="str">
        <f t="shared" si="56"/>
        <v/>
      </c>
      <c r="C172" s="88"/>
      <c r="D172" s="87" t="str">
        <f t="shared" si="57"/>
        <v/>
      </c>
      <c r="E172" s="157" t="str">
        <f t="shared" si="43"/>
        <v/>
      </c>
      <c r="F172" s="156" t="str">
        <f t="shared" si="44"/>
        <v/>
      </c>
      <c r="G172" s="78" t="str">
        <f t="shared" si="45"/>
        <v/>
      </c>
      <c r="H172" s="44" t="str">
        <f t="shared" si="41"/>
        <v/>
      </c>
      <c r="I172" s="44" t="str">
        <f t="shared" si="46"/>
        <v/>
      </c>
      <c r="J172" s="44" t="str">
        <f t="shared" si="47"/>
        <v/>
      </c>
      <c r="K172" s="46" t="str">
        <f t="shared" si="42"/>
        <v/>
      </c>
      <c r="L172" s="46" t="str">
        <f t="shared" si="48"/>
        <v/>
      </c>
      <c r="M172" s="26" t="str">
        <f t="shared" si="49"/>
        <v/>
      </c>
      <c r="N172" s="2" t="str">
        <f t="shared" si="50"/>
        <v/>
      </c>
      <c r="P172" s="2" t="str">
        <f t="shared" si="51"/>
        <v/>
      </c>
      <c r="Q172" s="2" t="str">
        <f t="shared" si="52"/>
        <v/>
      </c>
      <c r="R172" s="2" t="str">
        <f t="shared" si="53"/>
        <v/>
      </c>
      <c r="S172" s="2" t="str">
        <f t="shared" si="54"/>
        <v/>
      </c>
      <c r="T172" s="2" t="str">
        <f t="shared" si="55"/>
        <v/>
      </c>
    </row>
    <row r="173" spans="2:20" ht="11.45" customHeight="1" x14ac:dyDescent="0.25">
      <c r="B173" s="86" t="str">
        <f t="shared" si="56"/>
        <v/>
      </c>
      <c r="C173" s="88"/>
      <c r="D173" s="87" t="str">
        <f t="shared" si="57"/>
        <v/>
      </c>
      <c r="E173" s="157" t="str">
        <f t="shared" si="43"/>
        <v/>
      </c>
      <c r="F173" s="156" t="str">
        <f t="shared" si="44"/>
        <v/>
      </c>
      <c r="G173" s="78" t="str">
        <f t="shared" si="45"/>
        <v/>
      </c>
      <c r="H173" s="44" t="str">
        <f t="shared" si="41"/>
        <v/>
      </c>
      <c r="I173" s="44" t="str">
        <f t="shared" si="46"/>
        <v/>
      </c>
      <c r="J173" s="44" t="str">
        <f t="shared" si="47"/>
        <v/>
      </c>
      <c r="K173" s="46" t="str">
        <f t="shared" si="42"/>
        <v/>
      </c>
      <c r="L173" s="46" t="str">
        <f t="shared" si="48"/>
        <v/>
      </c>
      <c r="M173" s="26" t="str">
        <f t="shared" si="49"/>
        <v/>
      </c>
      <c r="N173" s="2" t="str">
        <f t="shared" si="50"/>
        <v/>
      </c>
      <c r="P173" s="2" t="str">
        <f t="shared" si="51"/>
        <v/>
      </c>
      <c r="Q173" s="2" t="str">
        <f t="shared" si="52"/>
        <v/>
      </c>
      <c r="R173" s="2" t="str">
        <f t="shared" si="53"/>
        <v/>
      </c>
      <c r="S173" s="2" t="str">
        <f t="shared" si="54"/>
        <v/>
      </c>
      <c r="T173" s="2" t="str">
        <f t="shared" si="55"/>
        <v/>
      </c>
    </row>
    <row r="174" spans="2:20" ht="11.45" customHeight="1" x14ac:dyDescent="0.25">
      <c r="B174" s="86" t="str">
        <f t="shared" si="56"/>
        <v/>
      </c>
      <c r="C174" s="88"/>
      <c r="D174" s="87" t="str">
        <f t="shared" si="57"/>
        <v/>
      </c>
      <c r="E174" s="157" t="str">
        <f t="shared" si="43"/>
        <v/>
      </c>
      <c r="F174" s="156" t="str">
        <f t="shared" si="44"/>
        <v/>
      </c>
      <c r="G174" s="78" t="str">
        <f t="shared" si="45"/>
        <v/>
      </c>
      <c r="H174" s="44" t="str">
        <f t="shared" si="41"/>
        <v/>
      </c>
      <c r="I174" s="44" t="str">
        <f t="shared" si="46"/>
        <v/>
      </c>
      <c r="J174" s="44" t="str">
        <f t="shared" si="47"/>
        <v/>
      </c>
      <c r="K174" s="46" t="str">
        <f t="shared" si="42"/>
        <v/>
      </c>
      <c r="L174" s="46" t="str">
        <f t="shared" si="48"/>
        <v/>
      </c>
      <c r="M174" s="26" t="str">
        <f t="shared" si="49"/>
        <v/>
      </c>
      <c r="N174" s="2" t="str">
        <f t="shared" si="50"/>
        <v/>
      </c>
      <c r="P174" s="2" t="str">
        <f t="shared" si="51"/>
        <v/>
      </c>
      <c r="Q174" s="2" t="str">
        <f t="shared" si="52"/>
        <v/>
      </c>
      <c r="R174" s="2" t="str">
        <f t="shared" si="53"/>
        <v/>
      </c>
      <c r="S174" s="2" t="str">
        <f t="shared" si="54"/>
        <v/>
      </c>
      <c r="T174" s="2" t="str">
        <f t="shared" si="55"/>
        <v/>
      </c>
    </row>
    <row r="175" spans="2:20" ht="11.45" customHeight="1" x14ac:dyDescent="0.25">
      <c r="B175" s="86" t="str">
        <f t="shared" si="56"/>
        <v/>
      </c>
      <c r="C175" s="88"/>
      <c r="D175" s="87" t="str">
        <f t="shared" si="57"/>
        <v/>
      </c>
      <c r="E175" s="157" t="str">
        <f t="shared" si="43"/>
        <v/>
      </c>
      <c r="F175" s="156" t="str">
        <f t="shared" si="44"/>
        <v/>
      </c>
      <c r="G175" s="78" t="str">
        <f t="shared" si="45"/>
        <v/>
      </c>
      <c r="H175" s="44" t="str">
        <f t="shared" si="41"/>
        <v/>
      </c>
      <c r="I175" s="44" t="str">
        <f t="shared" si="46"/>
        <v/>
      </c>
      <c r="J175" s="44" t="str">
        <f t="shared" si="47"/>
        <v/>
      </c>
      <c r="K175" s="46" t="str">
        <f t="shared" si="42"/>
        <v/>
      </c>
      <c r="L175" s="46" t="str">
        <f t="shared" si="48"/>
        <v/>
      </c>
      <c r="M175" s="26" t="str">
        <f t="shared" si="49"/>
        <v/>
      </c>
      <c r="N175" s="2" t="str">
        <f t="shared" si="50"/>
        <v/>
      </c>
      <c r="P175" s="2" t="str">
        <f t="shared" si="51"/>
        <v/>
      </c>
      <c r="Q175" s="2" t="str">
        <f t="shared" si="52"/>
        <v/>
      </c>
      <c r="R175" s="2" t="str">
        <f t="shared" si="53"/>
        <v/>
      </c>
      <c r="S175" s="2" t="str">
        <f t="shared" si="54"/>
        <v/>
      </c>
      <c r="T175" s="2" t="str">
        <f t="shared" si="55"/>
        <v/>
      </c>
    </row>
    <row r="176" spans="2:20" ht="11.45" customHeight="1" x14ac:dyDescent="0.25">
      <c r="B176" s="86" t="str">
        <f t="shared" si="56"/>
        <v/>
      </c>
      <c r="C176" s="88"/>
      <c r="D176" s="87" t="str">
        <f t="shared" si="57"/>
        <v/>
      </c>
      <c r="E176" s="157" t="str">
        <f t="shared" si="43"/>
        <v/>
      </c>
      <c r="F176" s="156" t="str">
        <f t="shared" si="44"/>
        <v/>
      </c>
      <c r="G176" s="78" t="str">
        <f t="shared" si="45"/>
        <v/>
      </c>
      <c r="H176" s="44" t="str">
        <f t="shared" si="41"/>
        <v/>
      </c>
      <c r="I176" s="44" t="str">
        <f t="shared" si="46"/>
        <v/>
      </c>
      <c r="J176" s="44" t="str">
        <f t="shared" si="47"/>
        <v/>
      </c>
      <c r="K176" s="46" t="str">
        <f t="shared" si="42"/>
        <v/>
      </c>
      <c r="L176" s="46" t="str">
        <f t="shared" si="48"/>
        <v/>
      </c>
      <c r="M176" s="26" t="str">
        <f t="shared" si="49"/>
        <v/>
      </c>
      <c r="N176" s="2" t="str">
        <f t="shared" si="50"/>
        <v/>
      </c>
      <c r="P176" s="2" t="str">
        <f t="shared" si="51"/>
        <v/>
      </c>
      <c r="Q176" s="2" t="str">
        <f t="shared" si="52"/>
        <v/>
      </c>
      <c r="R176" s="2" t="str">
        <f t="shared" si="53"/>
        <v/>
      </c>
      <c r="S176" s="2" t="str">
        <f t="shared" si="54"/>
        <v/>
      </c>
      <c r="T176" s="2" t="str">
        <f t="shared" si="55"/>
        <v/>
      </c>
    </row>
    <row r="177" spans="2:20" ht="11.45" customHeight="1" x14ac:dyDescent="0.25">
      <c r="B177" s="86" t="str">
        <f t="shared" si="56"/>
        <v/>
      </c>
      <c r="C177" s="88"/>
      <c r="D177" s="87" t="str">
        <f t="shared" si="57"/>
        <v/>
      </c>
      <c r="E177" s="157" t="str">
        <f t="shared" si="43"/>
        <v/>
      </c>
      <c r="F177" s="156" t="str">
        <f t="shared" si="44"/>
        <v/>
      </c>
      <c r="G177" s="78" t="str">
        <f t="shared" si="45"/>
        <v/>
      </c>
      <c r="H177" s="44" t="str">
        <f t="shared" si="41"/>
        <v/>
      </c>
      <c r="I177" s="44" t="str">
        <f t="shared" si="46"/>
        <v/>
      </c>
      <c r="J177" s="44" t="str">
        <f t="shared" si="47"/>
        <v/>
      </c>
      <c r="K177" s="46" t="str">
        <f t="shared" si="42"/>
        <v/>
      </c>
      <c r="L177" s="46" t="str">
        <f t="shared" si="48"/>
        <v/>
      </c>
      <c r="M177" s="26" t="str">
        <f t="shared" si="49"/>
        <v/>
      </c>
      <c r="N177" s="2" t="str">
        <f t="shared" si="50"/>
        <v/>
      </c>
      <c r="P177" s="2" t="str">
        <f t="shared" si="51"/>
        <v/>
      </c>
      <c r="Q177" s="2" t="str">
        <f t="shared" si="52"/>
        <v/>
      </c>
      <c r="R177" s="2" t="str">
        <f t="shared" si="53"/>
        <v/>
      </c>
      <c r="S177" s="2" t="str">
        <f t="shared" si="54"/>
        <v/>
      </c>
      <c r="T177" s="2" t="str">
        <f t="shared" si="55"/>
        <v/>
      </c>
    </row>
    <row r="178" spans="2:20" ht="11.45" customHeight="1" x14ac:dyDescent="0.25">
      <c r="B178" s="86" t="str">
        <f t="shared" si="56"/>
        <v/>
      </c>
      <c r="C178" s="88"/>
      <c r="D178" s="87" t="str">
        <f t="shared" si="57"/>
        <v/>
      </c>
      <c r="E178" s="157" t="str">
        <f t="shared" si="43"/>
        <v/>
      </c>
      <c r="F178" s="156" t="str">
        <f t="shared" si="44"/>
        <v/>
      </c>
      <c r="G178" s="78" t="str">
        <f t="shared" si="45"/>
        <v/>
      </c>
      <c r="H178" s="44" t="str">
        <f t="shared" si="41"/>
        <v/>
      </c>
      <c r="I178" s="44" t="str">
        <f t="shared" si="46"/>
        <v/>
      </c>
      <c r="J178" s="44" t="str">
        <f t="shared" si="47"/>
        <v/>
      </c>
      <c r="K178" s="46" t="str">
        <f t="shared" si="42"/>
        <v/>
      </c>
      <c r="L178" s="46" t="str">
        <f t="shared" si="48"/>
        <v/>
      </c>
      <c r="M178" s="26" t="str">
        <f t="shared" si="49"/>
        <v/>
      </c>
      <c r="N178" s="2" t="str">
        <f t="shared" si="50"/>
        <v/>
      </c>
      <c r="P178" s="2" t="str">
        <f t="shared" si="51"/>
        <v/>
      </c>
      <c r="Q178" s="2" t="str">
        <f t="shared" si="52"/>
        <v/>
      </c>
      <c r="R178" s="2" t="str">
        <f t="shared" si="53"/>
        <v/>
      </c>
      <c r="S178" s="2" t="str">
        <f t="shared" si="54"/>
        <v/>
      </c>
      <c r="T178" s="2" t="str">
        <f t="shared" si="55"/>
        <v/>
      </c>
    </row>
    <row r="179" spans="2:20" ht="11.45" customHeight="1" x14ac:dyDescent="0.25">
      <c r="B179" s="86" t="str">
        <f t="shared" si="56"/>
        <v/>
      </c>
      <c r="C179" s="88"/>
      <c r="D179" s="87" t="str">
        <f t="shared" si="57"/>
        <v/>
      </c>
      <c r="E179" s="157" t="str">
        <f t="shared" si="43"/>
        <v/>
      </c>
      <c r="F179" s="156" t="str">
        <f t="shared" si="44"/>
        <v/>
      </c>
      <c r="G179" s="78" t="str">
        <f t="shared" si="45"/>
        <v/>
      </c>
      <c r="H179" s="44" t="str">
        <f t="shared" si="41"/>
        <v/>
      </c>
      <c r="I179" s="44" t="str">
        <f t="shared" si="46"/>
        <v/>
      </c>
      <c r="J179" s="44" t="str">
        <f t="shared" si="47"/>
        <v/>
      </c>
      <c r="K179" s="46" t="str">
        <f t="shared" si="42"/>
        <v/>
      </c>
      <c r="L179" s="46" t="str">
        <f t="shared" si="48"/>
        <v/>
      </c>
      <c r="M179" s="26" t="str">
        <f t="shared" si="49"/>
        <v/>
      </c>
      <c r="N179" s="2" t="str">
        <f t="shared" si="50"/>
        <v/>
      </c>
      <c r="P179" s="2" t="str">
        <f t="shared" si="51"/>
        <v/>
      </c>
      <c r="Q179" s="2" t="str">
        <f t="shared" si="52"/>
        <v/>
      </c>
      <c r="R179" s="2" t="str">
        <f t="shared" si="53"/>
        <v/>
      </c>
      <c r="S179" s="2" t="str">
        <f t="shared" si="54"/>
        <v/>
      </c>
      <c r="T179" s="2" t="str">
        <f t="shared" si="55"/>
        <v/>
      </c>
    </row>
    <row r="180" spans="2:20" ht="11.45" customHeight="1" x14ac:dyDescent="0.25">
      <c r="B180" s="86" t="str">
        <f t="shared" si="56"/>
        <v/>
      </c>
      <c r="C180" s="88"/>
      <c r="D180" s="87" t="str">
        <f t="shared" si="57"/>
        <v/>
      </c>
      <c r="E180" s="157" t="str">
        <f t="shared" si="43"/>
        <v/>
      </c>
      <c r="F180" s="156" t="str">
        <f t="shared" si="44"/>
        <v/>
      </c>
      <c r="G180" s="78" t="str">
        <f t="shared" si="45"/>
        <v/>
      </c>
      <c r="H180" s="44" t="str">
        <f t="shared" si="41"/>
        <v/>
      </c>
      <c r="I180" s="44" t="str">
        <f t="shared" si="46"/>
        <v/>
      </c>
      <c r="J180" s="44" t="str">
        <f t="shared" si="47"/>
        <v/>
      </c>
      <c r="K180" s="46" t="str">
        <f t="shared" si="42"/>
        <v/>
      </c>
      <c r="L180" s="46" t="str">
        <f t="shared" si="48"/>
        <v/>
      </c>
      <c r="M180" s="26" t="str">
        <f t="shared" si="49"/>
        <v/>
      </c>
      <c r="N180" s="2" t="str">
        <f t="shared" si="50"/>
        <v/>
      </c>
      <c r="P180" s="2" t="str">
        <f t="shared" si="51"/>
        <v/>
      </c>
      <c r="Q180" s="2" t="str">
        <f t="shared" si="52"/>
        <v/>
      </c>
      <c r="R180" s="2" t="str">
        <f t="shared" si="53"/>
        <v/>
      </c>
      <c r="S180" s="2" t="str">
        <f t="shared" si="54"/>
        <v/>
      </c>
      <c r="T180" s="2" t="str">
        <f t="shared" si="55"/>
        <v/>
      </c>
    </row>
    <row r="181" spans="2:20" ht="11.45" customHeight="1" x14ac:dyDescent="0.25">
      <c r="B181" s="86" t="str">
        <f t="shared" si="56"/>
        <v/>
      </c>
      <c r="C181" s="88"/>
      <c r="D181" s="87" t="str">
        <f t="shared" si="57"/>
        <v/>
      </c>
      <c r="E181" s="157" t="str">
        <f t="shared" si="43"/>
        <v/>
      </c>
      <c r="F181" s="156" t="str">
        <f t="shared" si="44"/>
        <v/>
      </c>
      <c r="G181" s="78" t="str">
        <f t="shared" si="45"/>
        <v/>
      </c>
      <c r="H181" s="44" t="str">
        <f t="shared" si="41"/>
        <v/>
      </c>
      <c r="I181" s="44" t="str">
        <f t="shared" si="46"/>
        <v/>
      </c>
      <c r="J181" s="44" t="str">
        <f t="shared" si="47"/>
        <v/>
      </c>
      <c r="K181" s="46" t="str">
        <f t="shared" si="42"/>
        <v/>
      </c>
      <c r="L181" s="46" t="str">
        <f t="shared" si="48"/>
        <v/>
      </c>
      <c r="M181" s="26" t="str">
        <f t="shared" si="49"/>
        <v/>
      </c>
      <c r="N181" s="2" t="str">
        <f t="shared" si="50"/>
        <v/>
      </c>
      <c r="P181" s="2" t="str">
        <f t="shared" si="51"/>
        <v/>
      </c>
      <c r="Q181" s="2" t="str">
        <f t="shared" si="52"/>
        <v/>
      </c>
      <c r="R181" s="2" t="str">
        <f t="shared" si="53"/>
        <v/>
      </c>
      <c r="S181" s="2" t="str">
        <f t="shared" si="54"/>
        <v/>
      </c>
      <c r="T181" s="2" t="str">
        <f t="shared" si="55"/>
        <v/>
      </c>
    </row>
    <row r="182" spans="2:20" ht="11.45" customHeight="1" x14ac:dyDescent="0.25">
      <c r="B182" s="86" t="str">
        <f t="shared" si="56"/>
        <v/>
      </c>
      <c r="C182" s="88"/>
      <c r="D182" s="87" t="str">
        <f t="shared" si="57"/>
        <v/>
      </c>
      <c r="E182" s="157" t="str">
        <f t="shared" si="43"/>
        <v/>
      </c>
      <c r="F182" s="156" t="str">
        <f t="shared" si="44"/>
        <v/>
      </c>
      <c r="G182" s="78" t="str">
        <f t="shared" si="45"/>
        <v/>
      </c>
      <c r="H182" s="44" t="str">
        <f t="shared" si="41"/>
        <v/>
      </c>
      <c r="I182" s="44" t="str">
        <f t="shared" si="46"/>
        <v/>
      </c>
      <c r="J182" s="44" t="str">
        <f t="shared" si="47"/>
        <v/>
      </c>
      <c r="K182" s="46" t="str">
        <f t="shared" si="42"/>
        <v/>
      </c>
      <c r="L182" s="46" t="str">
        <f t="shared" si="48"/>
        <v/>
      </c>
      <c r="M182" s="26" t="str">
        <f t="shared" si="49"/>
        <v/>
      </c>
      <c r="N182" s="2" t="str">
        <f t="shared" si="50"/>
        <v/>
      </c>
      <c r="P182" s="2" t="str">
        <f t="shared" si="51"/>
        <v/>
      </c>
      <c r="Q182" s="2" t="str">
        <f t="shared" si="52"/>
        <v/>
      </c>
      <c r="R182" s="2" t="str">
        <f t="shared" si="53"/>
        <v/>
      </c>
      <c r="S182" s="2" t="str">
        <f t="shared" si="54"/>
        <v/>
      </c>
      <c r="T182" s="2" t="str">
        <f t="shared" si="55"/>
        <v/>
      </c>
    </row>
    <row r="183" spans="2:20" ht="11.45" customHeight="1" x14ac:dyDescent="0.25">
      <c r="B183" s="86" t="str">
        <f t="shared" si="56"/>
        <v/>
      </c>
      <c r="C183" s="88"/>
      <c r="D183" s="87" t="str">
        <f t="shared" si="57"/>
        <v/>
      </c>
      <c r="E183" s="157" t="str">
        <f t="shared" si="43"/>
        <v/>
      </c>
      <c r="F183" s="156" t="str">
        <f t="shared" si="44"/>
        <v/>
      </c>
      <c r="G183" s="78" t="str">
        <f t="shared" si="45"/>
        <v/>
      </c>
      <c r="H183" s="44" t="str">
        <f t="shared" si="41"/>
        <v/>
      </c>
      <c r="I183" s="44" t="str">
        <f t="shared" si="46"/>
        <v/>
      </c>
      <c r="J183" s="44" t="str">
        <f t="shared" si="47"/>
        <v/>
      </c>
      <c r="K183" s="46" t="str">
        <f t="shared" si="42"/>
        <v/>
      </c>
      <c r="L183" s="46" t="str">
        <f t="shared" si="48"/>
        <v/>
      </c>
      <c r="M183" s="26" t="str">
        <f t="shared" si="49"/>
        <v/>
      </c>
      <c r="N183" s="2" t="str">
        <f t="shared" si="50"/>
        <v/>
      </c>
      <c r="P183" s="2" t="str">
        <f t="shared" si="51"/>
        <v/>
      </c>
      <c r="Q183" s="2" t="str">
        <f t="shared" si="52"/>
        <v/>
      </c>
      <c r="R183" s="2" t="str">
        <f t="shared" si="53"/>
        <v/>
      </c>
      <c r="S183" s="2" t="str">
        <f t="shared" si="54"/>
        <v/>
      </c>
      <c r="T183" s="2" t="str">
        <f t="shared" si="55"/>
        <v/>
      </c>
    </row>
    <row r="184" spans="2:20" ht="11.45" customHeight="1" x14ac:dyDescent="0.25">
      <c r="B184" s="86" t="str">
        <f t="shared" si="56"/>
        <v/>
      </c>
      <c r="C184" s="88"/>
      <c r="D184" s="87" t="str">
        <f t="shared" si="57"/>
        <v/>
      </c>
      <c r="E184" s="157" t="str">
        <f t="shared" si="43"/>
        <v/>
      </c>
      <c r="F184" s="156" t="str">
        <f t="shared" si="44"/>
        <v/>
      </c>
      <c r="G184" s="78" t="str">
        <f t="shared" si="45"/>
        <v/>
      </c>
      <c r="H184" s="44" t="str">
        <f t="shared" si="41"/>
        <v/>
      </c>
      <c r="I184" s="44" t="str">
        <f t="shared" si="46"/>
        <v/>
      </c>
      <c r="J184" s="44" t="str">
        <f t="shared" si="47"/>
        <v/>
      </c>
      <c r="K184" s="46" t="str">
        <f t="shared" si="42"/>
        <v/>
      </c>
      <c r="L184" s="46" t="str">
        <f t="shared" si="48"/>
        <v/>
      </c>
      <c r="M184" s="26" t="str">
        <f t="shared" si="49"/>
        <v/>
      </c>
      <c r="N184" s="2" t="str">
        <f t="shared" si="50"/>
        <v/>
      </c>
      <c r="P184" s="2" t="str">
        <f t="shared" si="51"/>
        <v/>
      </c>
      <c r="Q184" s="2" t="str">
        <f t="shared" si="52"/>
        <v/>
      </c>
      <c r="R184" s="2" t="str">
        <f t="shared" si="53"/>
        <v/>
      </c>
      <c r="S184" s="2" t="str">
        <f t="shared" si="54"/>
        <v/>
      </c>
      <c r="T184" s="2" t="str">
        <f t="shared" si="55"/>
        <v/>
      </c>
    </row>
    <row r="185" spans="2:20" ht="11.45" customHeight="1" x14ac:dyDescent="0.25">
      <c r="B185" s="86" t="str">
        <f t="shared" si="56"/>
        <v/>
      </c>
      <c r="C185" s="88"/>
      <c r="D185" s="87" t="str">
        <f t="shared" si="57"/>
        <v/>
      </c>
      <c r="E185" s="157" t="str">
        <f t="shared" si="43"/>
        <v/>
      </c>
      <c r="F185" s="156" t="str">
        <f t="shared" si="44"/>
        <v/>
      </c>
      <c r="G185" s="78" t="str">
        <f t="shared" si="45"/>
        <v/>
      </c>
      <c r="H185" s="44" t="str">
        <f t="shared" si="41"/>
        <v/>
      </c>
      <c r="I185" s="44" t="str">
        <f t="shared" si="46"/>
        <v/>
      </c>
      <c r="J185" s="44" t="str">
        <f t="shared" si="47"/>
        <v/>
      </c>
      <c r="K185" s="46" t="str">
        <f t="shared" si="42"/>
        <v/>
      </c>
      <c r="L185" s="46" t="str">
        <f t="shared" si="48"/>
        <v/>
      </c>
      <c r="M185" s="26" t="str">
        <f t="shared" si="49"/>
        <v/>
      </c>
      <c r="N185" s="2" t="str">
        <f t="shared" si="50"/>
        <v/>
      </c>
      <c r="P185" s="2" t="str">
        <f t="shared" si="51"/>
        <v/>
      </c>
      <c r="Q185" s="2" t="str">
        <f t="shared" si="52"/>
        <v/>
      </c>
      <c r="R185" s="2" t="str">
        <f t="shared" si="53"/>
        <v/>
      </c>
      <c r="S185" s="2" t="str">
        <f t="shared" si="54"/>
        <v/>
      </c>
      <c r="T185" s="2" t="str">
        <f t="shared" si="55"/>
        <v/>
      </c>
    </row>
    <row r="186" spans="2:20" ht="11.45" customHeight="1" x14ac:dyDescent="0.25">
      <c r="B186" s="86" t="str">
        <f t="shared" si="56"/>
        <v/>
      </c>
      <c r="C186" s="88"/>
      <c r="D186" s="87" t="str">
        <f t="shared" si="57"/>
        <v/>
      </c>
      <c r="E186" s="157" t="str">
        <f t="shared" si="43"/>
        <v/>
      </c>
      <c r="F186" s="156" t="str">
        <f t="shared" si="44"/>
        <v/>
      </c>
      <c r="G186" s="78" t="str">
        <f t="shared" si="45"/>
        <v/>
      </c>
      <c r="H186" s="44" t="str">
        <f t="shared" si="41"/>
        <v/>
      </c>
      <c r="I186" s="44" t="str">
        <f t="shared" si="46"/>
        <v/>
      </c>
      <c r="J186" s="44" t="str">
        <f t="shared" si="47"/>
        <v/>
      </c>
      <c r="K186" s="46" t="str">
        <f t="shared" si="42"/>
        <v/>
      </c>
      <c r="L186" s="46" t="str">
        <f t="shared" si="48"/>
        <v/>
      </c>
      <c r="M186" s="26" t="str">
        <f t="shared" si="49"/>
        <v/>
      </c>
      <c r="N186" s="2" t="str">
        <f t="shared" si="50"/>
        <v/>
      </c>
      <c r="P186" s="2" t="str">
        <f t="shared" si="51"/>
        <v/>
      </c>
      <c r="Q186" s="2" t="str">
        <f t="shared" si="52"/>
        <v/>
      </c>
      <c r="R186" s="2" t="str">
        <f t="shared" si="53"/>
        <v/>
      </c>
      <c r="S186" s="2" t="str">
        <f t="shared" si="54"/>
        <v/>
      </c>
      <c r="T186" s="2" t="str">
        <f t="shared" si="55"/>
        <v/>
      </c>
    </row>
    <row r="187" spans="2:20" ht="11.45" customHeight="1" x14ac:dyDescent="0.25">
      <c r="B187" s="86" t="str">
        <f t="shared" si="56"/>
        <v/>
      </c>
      <c r="C187" s="88"/>
      <c r="D187" s="87" t="str">
        <f t="shared" si="57"/>
        <v/>
      </c>
      <c r="E187" s="157" t="str">
        <f t="shared" si="43"/>
        <v/>
      </c>
      <c r="F187" s="156" t="str">
        <f t="shared" si="44"/>
        <v/>
      </c>
      <c r="G187" s="78" t="str">
        <f t="shared" si="45"/>
        <v/>
      </c>
      <c r="H187" s="44" t="str">
        <f t="shared" si="41"/>
        <v/>
      </c>
      <c r="I187" s="44" t="str">
        <f t="shared" si="46"/>
        <v/>
      </c>
      <c r="J187" s="44" t="str">
        <f t="shared" si="47"/>
        <v/>
      </c>
      <c r="K187" s="46" t="str">
        <f t="shared" si="42"/>
        <v/>
      </c>
      <c r="L187" s="46" t="str">
        <f t="shared" si="48"/>
        <v/>
      </c>
      <c r="M187" s="26" t="str">
        <f t="shared" si="49"/>
        <v/>
      </c>
      <c r="N187" s="2" t="str">
        <f t="shared" si="50"/>
        <v/>
      </c>
      <c r="P187" s="2" t="str">
        <f t="shared" si="51"/>
        <v/>
      </c>
      <c r="Q187" s="2" t="str">
        <f t="shared" si="52"/>
        <v/>
      </c>
      <c r="R187" s="2" t="str">
        <f t="shared" si="53"/>
        <v/>
      </c>
      <c r="S187" s="2" t="str">
        <f t="shared" si="54"/>
        <v/>
      </c>
      <c r="T187" s="2" t="str">
        <f t="shared" si="55"/>
        <v/>
      </c>
    </row>
    <row r="188" spans="2:20" ht="11.45" customHeight="1" x14ac:dyDescent="0.25">
      <c r="B188" s="86" t="str">
        <f t="shared" si="56"/>
        <v/>
      </c>
      <c r="C188" s="88"/>
      <c r="D188" s="87" t="str">
        <f t="shared" si="57"/>
        <v/>
      </c>
      <c r="E188" s="157" t="str">
        <f t="shared" si="43"/>
        <v/>
      </c>
      <c r="F188" s="156" t="str">
        <f t="shared" si="44"/>
        <v/>
      </c>
      <c r="G188" s="78" t="str">
        <f t="shared" si="45"/>
        <v/>
      </c>
      <c r="H188" s="44" t="str">
        <f t="shared" si="41"/>
        <v/>
      </c>
      <c r="I188" s="44" t="str">
        <f t="shared" si="46"/>
        <v/>
      </c>
      <c r="J188" s="44" t="str">
        <f t="shared" si="47"/>
        <v/>
      </c>
      <c r="K188" s="46" t="str">
        <f t="shared" si="42"/>
        <v/>
      </c>
      <c r="L188" s="46" t="str">
        <f t="shared" si="48"/>
        <v/>
      </c>
      <c r="M188" s="26" t="str">
        <f t="shared" si="49"/>
        <v/>
      </c>
      <c r="N188" s="2" t="str">
        <f t="shared" si="50"/>
        <v/>
      </c>
      <c r="P188" s="2" t="str">
        <f t="shared" si="51"/>
        <v/>
      </c>
      <c r="Q188" s="2" t="str">
        <f t="shared" si="52"/>
        <v/>
      </c>
      <c r="R188" s="2" t="str">
        <f t="shared" si="53"/>
        <v/>
      </c>
      <c r="S188" s="2" t="str">
        <f t="shared" si="54"/>
        <v/>
      </c>
      <c r="T188" s="2" t="str">
        <f t="shared" si="55"/>
        <v/>
      </c>
    </row>
    <row r="189" spans="2:20" ht="11.45" customHeight="1" x14ac:dyDescent="0.25">
      <c r="B189" s="86" t="str">
        <f t="shared" si="56"/>
        <v/>
      </c>
      <c r="C189" s="88"/>
      <c r="D189" s="87" t="str">
        <f t="shared" si="57"/>
        <v/>
      </c>
      <c r="E189" s="157" t="str">
        <f t="shared" si="43"/>
        <v/>
      </c>
      <c r="F189" s="156" t="str">
        <f t="shared" si="44"/>
        <v/>
      </c>
      <c r="G189" s="78" t="str">
        <f t="shared" si="45"/>
        <v/>
      </c>
      <c r="H189" s="44" t="str">
        <f t="shared" si="41"/>
        <v/>
      </c>
      <c r="I189" s="44" t="str">
        <f t="shared" si="46"/>
        <v/>
      </c>
      <c r="J189" s="44" t="str">
        <f t="shared" si="47"/>
        <v/>
      </c>
      <c r="K189" s="46" t="str">
        <f t="shared" si="42"/>
        <v/>
      </c>
      <c r="L189" s="46" t="str">
        <f t="shared" si="48"/>
        <v/>
      </c>
      <c r="M189" s="26" t="str">
        <f t="shared" si="49"/>
        <v/>
      </c>
      <c r="N189" s="2" t="str">
        <f t="shared" si="50"/>
        <v/>
      </c>
      <c r="P189" s="2" t="str">
        <f t="shared" si="51"/>
        <v/>
      </c>
      <c r="Q189" s="2" t="str">
        <f t="shared" si="52"/>
        <v/>
      </c>
      <c r="R189" s="2" t="str">
        <f t="shared" si="53"/>
        <v/>
      </c>
      <c r="S189" s="2" t="str">
        <f t="shared" si="54"/>
        <v/>
      </c>
      <c r="T189" s="2" t="str">
        <f t="shared" si="55"/>
        <v/>
      </c>
    </row>
    <row r="190" spans="2:20" ht="11.45" customHeight="1" x14ac:dyDescent="0.25">
      <c r="B190" s="86" t="str">
        <f t="shared" si="56"/>
        <v/>
      </c>
      <c r="C190" s="88"/>
      <c r="D190" s="87" t="str">
        <f t="shared" si="57"/>
        <v/>
      </c>
      <c r="E190" s="157" t="str">
        <f t="shared" si="43"/>
        <v/>
      </c>
      <c r="F190" s="156" t="str">
        <f t="shared" si="44"/>
        <v/>
      </c>
      <c r="G190" s="78" t="str">
        <f t="shared" si="45"/>
        <v/>
      </c>
      <c r="H190" s="44" t="str">
        <f t="shared" si="41"/>
        <v/>
      </c>
      <c r="I190" s="44" t="str">
        <f t="shared" si="46"/>
        <v/>
      </c>
      <c r="J190" s="44" t="str">
        <f t="shared" si="47"/>
        <v/>
      </c>
      <c r="K190" s="46" t="str">
        <f t="shared" si="42"/>
        <v/>
      </c>
      <c r="L190" s="46" t="str">
        <f t="shared" si="48"/>
        <v/>
      </c>
      <c r="M190" s="26" t="str">
        <f t="shared" si="49"/>
        <v/>
      </c>
      <c r="N190" s="2" t="str">
        <f t="shared" si="50"/>
        <v/>
      </c>
      <c r="P190" s="2" t="str">
        <f t="shared" si="51"/>
        <v/>
      </c>
      <c r="Q190" s="2" t="str">
        <f t="shared" si="52"/>
        <v/>
      </c>
      <c r="R190" s="2" t="str">
        <f t="shared" si="53"/>
        <v/>
      </c>
      <c r="S190" s="2" t="str">
        <f t="shared" si="54"/>
        <v/>
      </c>
      <c r="T190" s="2" t="str">
        <f t="shared" si="55"/>
        <v/>
      </c>
    </row>
    <row r="191" spans="2:20" ht="11.45" customHeight="1" x14ac:dyDescent="0.25">
      <c r="B191" s="86" t="str">
        <f t="shared" si="56"/>
        <v/>
      </c>
      <c r="C191" s="88"/>
      <c r="D191" s="87" t="str">
        <f t="shared" si="57"/>
        <v/>
      </c>
      <c r="E191" s="157" t="str">
        <f t="shared" si="43"/>
        <v/>
      </c>
      <c r="F191" s="156" t="str">
        <f t="shared" si="44"/>
        <v/>
      </c>
      <c r="G191" s="78" t="str">
        <f t="shared" si="45"/>
        <v/>
      </c>
      <c r="H191" s="44" t="str">
        <f t="shared" si="41"/>
        <v/>
      </c>
      <c r="I191" s="44" t="str">
        <f t="shared" si="46"/>
        <v/>
      </c>
      <c r="J191" s="44" t="str">
        <f t="shared" si="47"/>
        <v/>
      </c>
      <c r="K191" s="46" t="str">
        <f t="shared" si="42"/>
        <v/>
      </c>
      <c r="L191" s="46" t="str">
        <f t="shared" si="48"/>
        <v/>
      </c>
      <c r="M191" s="26" t="str">
        <f t="shared" si="49"/>
        <v/>
      </c>
      <c r="N191" s="2" t="str">
        <f t="shared" si="50"/>
        <v/>
      </c>
      <c r="P191" s="2" t="str">
        <f t="shared" si="51"/>
        <v/>
      </c>
      <c r="Q191" s="2" t="str">
        <f t="shared" si="52"/>
        <v/>
      </c>
      <c r="R191" s="2" t="str">
        <f t="shared" si="53"/>
        <v/>
      </c>
      <c r="S191" s="2" t="str">
        <f t="shared" si="54"/>
        <v/>
      </c>
      <c r="T191" s="2" t="str">
        <f t="shared" si="55"/>
        <v/>
      </c>
    </row>
    <row r="192" spans="2:20" ht="11.45" customHeight="1" x14ac:dyDescent="0.25">
      <c r="B192" s="86" t="str">
        <f t="shared" si="56"/>
        <v/>
      </c>
      <c r="C192" s="88"/>
      <c r="D192" s="87" t="str">
        <f t="shared" si="57"/>
        <v/>
      </c>
      <c r="E192" s="157" t="str">
        <f t="shared" si="43"/>
        <v/>
      </c>
      <c r="F192" s="156" t="str">
        <f t="shared" si="44"/>
        <v/>
      </c>
      <c r="G192" s="78" t="str">
        <f t="shared" si="45"/>
        <v/>
      </c>
      <c r="H192" s="44" t="str">
        <f t="shared" si="41"/>
        <v/>
      </c>
      <c r="I192" s="44" t="str">
        <f t="shared" si="46"/>
        <v/>
      </c>
      <c r="J192" s="44" t="str">
        <f t="shared" si="47"/>
        <v/>
      </c>
      <c r="K192" s="46" t="str">
        <f t="shared" si="42"/>
        <v/>
      </c>
      <c r="L192" s="46" t="str">
        <f t="shared" si="48"/>
        <v/>
      </c>
      <c r="M192" s="26" t="str">
        <f t="shared" si="49"/>
        <v/>
      </c>
      <c r="N192" s="2" t="str">
        <f t="shared" si="50"/>
        <v/>
      </c>
      <c r="P192" s="2" t="str">
        <f t="shared" si="51"/>
        <v/>
      </c>
      <c r="Q192" s="2" t="str">
        <f t="shared" si="52"/>
        <v/>
      </c>
      <c r="R192" s="2" t="str">
        <f t="shared" si="53"/>
        <v/>
      </c>
      <c r="S192" s="2" t="str">
        <f t="shared" si="54"/>
        <v/>
      </c>
      <c r="T192" s="2" t="str">
        <f t="shared" si="55"/>
        <v/>
      </c>
    </row>
    <row r="193" spans="2:20" ht="11.45" customHeight="1" x14ac:dyDescent="0.25">
      <c r="B193" s="86" t="str">
        <f t="shared" si="56"/>
        <v/>
      </c>
      <c r="C193" s="88"/>
      <c r="D193" s="87" t="str">
        <f t="shared" si="57"/>
        <v/>
      </c>
      <c r="E193" s="157" t="str">
        <f t="shared" si="43"/>
        <v/>
      </c>
      <c r="F193" s="156" t="str">
        <f t="shared" si="44"/>
        <v/>
      </c>
      <c r="G193" s="78" t="str">
        <f t="shared" si="45"/>
        <v/>
      </c>
      <c r="H193" s="44" t="str">
        <f t="shared" si="41"/>
        <v/>
      </c>
      <c r="I193" s="44" t="str">
        <f t="shared" si="46"/>
        <v/>
      </c>
      <c r="J193" s="44" t="str">
        <f t="shared" si="47"/>
        <v/>
      </c>
      <c r="K193" s="46" t="str">
        <f t="shared" si="42"/>
        <v/>
      </c>
      <c r="L193" s="46" t="str">
        <f t="shared" si="48"/>
        <v/>
      </c>
      <c r="M193" s="26" t="str">
        <f t="shared" si="49"/>
        <v/>
      </c>
      <c r="N193" s="2" t="str">
        <f t="shared" si="50"/>
        <v/>
      </c>
      <c r="P193" s="2" t="str">
        <f t="shared" si="51"/>
        <v/>
      </c>
      <c r="Q193" s="2" t="str">
        <f t="shared" si="52"/>
        <v/>
      </c>
      <c r="R193" s="2" t="str">
        <f t="shared" si="53"/>
        <v/>
      </c>
      <c r="S193" s="2" t="str">
        <f t="shared" si="54"/>
        <v/>
      </c>
      <c r="T193" s="2" t="str">
        <f t="shared" si="55"/>
        <v/>
      </c>
    </row>
    <row r="194" spans="2:20" ht="11.45" customHeight="1" x14ac:dyDescent="0.25">
      <c r="B194" s="86" t="str">
        <f t="shared" si="56"/>
        <v/>
      </c>
      <c r="C194" s="88"/>
      <c r="D194" s="87" t="str">
        <f t="shared" si="57"/>
        <v/>
      </c>
      <c r="E194" s="157" t="str">
        <f t="shared" si="43"/>
        <v/>
      </c>
      <c r="F194" s="156" t="str">
        <f t="shared" si="44"/>
        <v/>
      </c>
      <c r="G194" s="78" t="str">
        <f t="shared" si="45"/>
        <v/>
      </c>
      <c r="H194" s="44" t="str">
        <f t="shared" si="41"/>
        <v/>
      </c>
      <c r="I194" s="44" t="str">
        <f t="shared" si="46"/>
        <v/>
      </c>
      <c r="J194" s="44" t="str">
        <f t="shared" si="47"/>
        <v/>
      </c>
      <c r="K194" s="46" t="str">
        <f t="shared" si="42"/>
        <v/>
      </c>
      <c r="L194" s="46" t="str">
        <f t="shared" si="48"/>
        <v/>
      </c>
      <c r="M194" s="26" t="str">
        <f t="shared" si="49"/>
        <v/>
      </c>
      <c r="N194" s="2" t="str">
        <f t="shared" si="50"/>
        <v/>
      </c>
      <c r="P194" s="2" t="str">
        <f t="shared" si="51"/>
        <v/>
      </c>
      <c r="Q194" s="2" t="str">
        <f t="shared" si="52"/>
        <v/>
      </c>
      <c r="R194" s="2" t="str">
        <f t="shared" si="53"/>
        <v/>
      </c>
      <c r="S194" s="2" t="str">
        <f t="shared" si="54"/>
        <v/>
      </c>
      <c r="T194" s="2" t="str">
        <f t="shared" si="55"/>
        <v/>
      </c>
    </row>
    <row r="195" spans="2:20" ht="11.45" customHeight="1" x14ac:dyDescent="0.25">
      <c r="B195" s="86" t="str">
        <f t="shared" si="56"/>
        <v/>
      </c>
      <c r="C195" s="88"/>
      <c r="D195" s="87" t="str">
        <f t="shared" si="57"/>
        <v/>
      </c>
      <c r="E195" s="157" t="str">
        <f t="shared" si="43"/>
        <v/>
      </c>
      <c r="F195" s="156" t="str">
        <f t="shared" si="44"/>
        <v/>
      </c>
      <c r="G195" s="78" t="str">
        <f t="shared" si="45"/>
        <v/>
      </c>
      <c r="H195" s="44" t="str">
        <f t="shared" si="41"/>
        <v/>
      </c>
      <c r="I195" s="44" t="str">
        <f t="shared" si="46"/>
        <v/>
      </c>
      <c r="J195" s="44" t="str">
        <f t="shared" si="47"/>
        <v/>
      </c>
      <c r="K195" s="46" t="str">
        <f t="shared" si="42"/>
        <v/>
      </c>
      <c r="L195" s="46" t="str">
        <f t="shared" si="48"/>
        <v/>
      </c>
      <c r="M195" s="26" t="str">
        <f t="shared" si="49"/>
        <v/>
      </c>
      <c r="N195" s="2" t="str">
        <f t="shared" si="50"/>
        <v/>
      </c>
      <c r="P195" s="2" t="str">
        <f t="shared" si="51"/>
        <v/>
      </c>
      <c r="Q195" s="2" t="str">
        <f t="shared" si="52"/>
        <v/>
      </c>
      <c r="R195" s="2" t="str">
        <f t="shared" si="53"/>
        <v/>
      </c>
      <c r="S195" s="2" t="str">
        <f t="shared" si="54"/>
        <v/>
      </c>
      <c r="T195" s="2" t="str">
        <f t="shared" si="55"/>
        <v/>
      </c>
    </row>
    <row r="196" spans="2:20" ht="11.45" customHeight="1" x14ac:dyDescent="0.25">
      <c r="B196" s="86" t="str">
        <f t="shared" si="56"/>
        <v/>
      </c>
      <c r="C196" s="88"/>
      <c r="D196" s="87" t="str">
        <f t="shared" si="57"/>
        <v/>
      </c>
      <c r="E196" s="157" t="str">
        <f t="shared" si="43"/>
        <v/>
      </c>
      <c r="F196" s="156" t="str">
        <f t="shared" si="44"/>
        <v/>
      </c>
      <c r="G196" s="78" t="str">
        <f t="shared" si="45"/>
        <v/>
      </c>
      <c r="H196" s="44" t="str">
        <f t="shared" si="41"/>
        <v/>
      </c>
      <c r="I196" s="44" t="str">
        <f t="shared" si="46"/>
        <v/>
      </c>
      <c r="J196" s="44" t="str">
        <f t="shared" si="47"/>
        <v/>
      </c>
      <c r="K196" s="46" t="str">
        <f t="shared" si="42"/>
        <v/>
      </c>
      <c r="L196" s="46" t="str">
        <f t="shared" si="48"/>
        <v/>
      </c>
      <c r="M196" s="26" t="str">
        <f t="shared" si="49"/>
        <v/>
      </c>
      <c r="N196" s="2" t="str">
        <f t="shared" si="50"/>
        <v/>
      </c>
      <c r="P196" s="2" t="str">
        <f t="shared" si="51"/>
        <v/>
      </c>
      <c r="Q196" s="2" t="str">
        <f t="shared" si="52"/>
        <v/>
      </c>
      <c r="R196" s="2" t="str">
        <f t="shared" si="53"/>
        <v/>
      </c>
      <c r="S196" s="2" t="str">
        <f t="shared" si="54"/>
        <v/>
      </c>
      <c r="T196" s="2" t="str">
        <f t="shared" si="55"/>
        <v/>
      </c>
    </row>
    <row r="197" spans="2:20" ht="11.45" customHeight="1" x14ac:dyDescent="0.25">
      <c r="B197" s="86" t="str">
        <f t="shared" si="56"/>
        <v/>
      </c>
      <c r="C197" s="88"/>
      <c r="D197" s="87" t="str">
        <f t="shared" si="57"/>
        <v/>
      </c>
      <c r="E197" s="157" t="str">
        <f t="shared" si="43"/>
        <v/>
      </c>
      <c r="F197" s="156" t="str">
        <f t="shared" si="44"/>
        <v/>
      </c>
      <c r="G197" s="78" t="str">
        <f t="shared" si="45"/>
        <v/>
      </c>
      <c r="H197" s="44" t="str">
        <f t="shared" si="41"/>
        <v/>
      </c>
      <c r="I197" s="44" t="str">
        <f t="shared" si="46"/>
        <v/>
      </c>
      <c r="J197" s="44" t="str">
        <f t="shared" si="47"/>
        <v/>
      </c>
      <c r="K197" s="46" t="str">
        <f t="shared" si="42"/>
        <v/>
      </c>
      <c r="L197" s="46" t="str">
        <f t="shared" si="48"/>
        <v/>
      </c>
      <c r="M197" s="26" t="str">
        <f t="shared" si="49"/>
        <v/>
      </c>
      <c r="N197" s="2" t="str">
        <f t="shared" si="50"/>
        <v/>
      </c>
      <c r="P197" s="2" t="str">
        <f t="shared" si="51"/>
        <v/>
      </c>
      <c r="Q197" s="2" t="str">
        <f t="shared" si="52"/>
        <v/>
      </c>
      <c r="R197" s="2" t="str">
        <f t="shared" si="53"/>
        <v/>
      </c>
      <c r="S197" s="2" t="str">
        <f t="shared" si="54"/>
        <v/>
      </c>
      <c r="T197" s="2" t="str">
        <f t="shared" si="55"/>
        <v/>
      </c>
    </row>
    <row r="198" spans="2:20" ht="11.45" customHeight="1" x14ac:dyDescent="0.25">
      <c r="B198" s="86" t="str">
        <f t="shared" si="56"/>
        <v/>
      </c>
      <c r="C198" s="88"/>
      <c r="D198" s="87" t="str">
        <f t="shared" si="57"/>
        <v/>
      </c>
      <c r="E198" s="157" t="str">
        <f t="shared" si="43"/>
        <v/>
      </c>
      <c r="F198" s="156" t="str">
        <f t="shared" si="44"/>
        <v/>
      </c>
      <c r="G198" s="78" t="str">
        <f t="shared" si="45"/>
        <v/>
      </c>
      <c r="H198" s="44" t="str">
        <f t="shared" si="41"/>
        <v/>
      </c>
      <c r="I198" s="44" t="str">
        <f t="shared" si="46"/>
        <v/>
      </c>
      <c r="J198" s="44" t="str">
        <f t="shared" si="47"/>
        <v/>
      </c>
      <c r="K198" s="46" t="str">
        <f t="shared" si="42"/>
        <v/>
      </c>
      <c r="L198" s="46" t="str">
        <f t="shared" si="48"/>
        <v/>
      </c>
      <c r="M198" s="26" t="str">
        <f t="shared" si="49"/>
        <v/>
      </c>
      <c r="N198" s="2" t="str">
        <f t="shared" si="50"/>
        <v/>
      </c>
      <c r="P198" s="2" t="str">
        <f t="shared" si="51"/>
        <v/>
      </c>
      <c r="Q198" s="2" t="str">
        <f t="shared" si="52"/>
        <v/>
      </c>
      <c r="R198" s="2" t="str">
        <f t="shared" si="53"/>
        <v/>
      </c>
      <c r="S198" s="2" t="str">
        <f t="shared" si="54"/>
        <v/>
      </c>
      <c r="T198" s="2" t="str">
        <f t="shared" si="55"/>
        <v/>
      </c>
    </row>
    <row r="199" spans="2:20" ht="11.45" customHeight="1" x14ac:dyDescent="0.25">
      <c r="B199" s="86" t="str">
        <f t="shared" si="56"/>
        <v/>
      </c>
      <c r="C199" s="88"/>
      <c r="D199" s="87" t="str">
        <f t="shared" si="57"/>
        <v/>
      </c>
      <c r="E199" s="157" t="str">
        <f t="shared" si="43"/>
        <v/>
      </c>
      <c r="F199" s="156" t="str">
        <f t="shared" si="44"/>
        <v/>
      </c>
      <c r="G199" s="78" t="str">
        <f t="shared" si="45"/>
        <v/>
      </c>
      <c r="H199" s="44" t="str">
        <f t="shared" si="41"/>
        <v/>
      </c>
      <c r="I199" s="44" t="str">
        <f t="shared" si="46"/>
        <v/>
      </c>
      <c r="J199" s="44" t="str">
        <f t="shared" si="47"/>
        <v/>
      </c>
      <c r="K199" s="46" t="str">
        <f t="shared" si="42"/>
        <v/>
      </c>
      <c r="L199" s="46" t="str">
        <f t="shared" si="48"/>
        <v/>
      </c>
      <c r="M199" s="26" t="str">
        <f t="shared" si="49"/>
        <v/>
      </c>
      <c r="N199" s="2" t="str">
        <f t="shared" si="50"/>
        <v/>
      </c>
      <c r="P199" s="2" t="str">
        <f t="shared" si="51"/>
        <v/>
      </c>
      <c r="Q199" s="2" t="str">
        <f t="shared" si="52"/>
        <v/>
      </c>
      <c r="R199" s="2" t="str">
        <f t="shared" si="53"/>
        <v/>
      </c>
      <c r="S199" s="2" t="str">
        <f t="shared" si="54"/>
        <v/>
      </c>
      <c r="T199" s="2" t="str">
        <f t="shared" si="55"/>
        <v/>
      </c>
    </row>
    <row r="200" spans="2:20" ht="11.45" customHeight="1" x14ac:dyDescent="0.25">
      <c r="B200" s="86" t="str">
        <f t="shared" si="56"/>
        <v/>
      </c>
      <c r="C200" s="88"/>
      <c r="D200" s="87" t="str">
        <f t="shared" si="57"/>
        <v/>
      </c>
      <c r="E200" s="157" t="str">
        <f t="shared" si="43"/>
        <v/>
      </c>
      <c r="F200" s="156" t="str">
        <f t="shared" si="44"/>
        <v/>
      </c>
      <c r="G200" s="78" t="str">
        <f t="shared" si="45"/>
        <v/>
      </c>
      <c r="H200" s="44" t="str">
        <f t="shared" si="41"/>
        <v/>
      </c>
      <c r="I200" s="44" t="str">
        <f t="shared" si="46"/>
        <v/>
      </c>
      <c r="J200" s="44" t="str">
        <f t="shared" si="47"/>
        <v/>
      </c>
      <c r="K200" s="46" t="str">
        <f t="shared" si="42"/>
        <v/>
      </c>
      <c r="L200" s="46" t="str">
        <f t="shared" si="48"/>
        <v/>
      </c>
      <c r="M200" s="26" t="str">
        <f t="shared" si="49"/>
        <v/>
      </c>
      <c r="N200" s="2" t="str">
        <f t="shared" si="50"/>
        <v/>
      </c>
      <c r="P200" s="2" t="str">
        <f t="shared" si="51"/>
        <v/>
      </c>
      <c r="Q200" s="2" t="str">
        <f t="shared" si="52"/>
        <v/>
      </c>
      <c r="R200" s="2" t="str">
        <f t="shared" si="53"/>
        <v/>
      </c>
      <c r="S200" s="2" t="str">
        <f t="shared" si="54"/>
        <v/>
      </c>
      <c r="T200" s="2" t="str">
        <f t="shared" si="55"/>
        <v/>
      </c>
    </row>
    <row r="201" spans="2:20" ht="11.45" customHeight="1" x14ac:dyDescent="0.25">
      <c r="B201" s="86" t="str">
        <f t="shared" si="56"/>
        <v/>
      </c>
      <c r="C201" s="88"/>
      <c r="D201" s="87" t="str">
        <f t="shared" si="57"/>
        <v/>
      </c>
      <c r="E201" s="157" t="str">
        <f t="shared" si="43"/>
        <v/>
      </c>
      <c r="F201" s="156" t="str">
        <f t="shared" si="44"/>
        <v/>
      </c>
      <c r="G201" s="78" t="str">
        <f t="shared" si="45"/>
        <v/>
      </c>
      <c r="H201" s="44" t="str">
        <f t="shared" si="41"/>
        <v/>
      </c>
      <c r="I201" s="44" t="str">
        <f t="shared" si="46"/>
        <v/>
      </c>
      <c r="J201" s="44" t="str">
        <f t="shared" si="47"/>
        <v/>
      </c>
      <c r="K201" s="46" t="str">
        <f t="shared" si="42"/>
        <v/>
      </c>
      <c r="L201" s="46" t="str">
        <f t="shared" si="48"/>
        <v/>
      </c>
      <c r="M201" s="26" t="str">
        <f t="shared" si="49"/>
        <v/>
      </c>
      <c r="N201" s="2" t="str">
        <f t="shared" si="50"/>
        <v/>
      </c>
      <c r="P201" s="2" t="str">
        <f t="shared" si="51"/>
        <v/>
      </c>
      <c r="Q201" s="2" t="str">
        <f t="shared" si="52"/>
        <v/>
      </c>
      <c r="R201" s="2" t="str">
        <f t="shared" si="53"/>
        <v/>
      </c>
      <c r="S201" s="2" t="str">
        <f t="shared" si="54"/>
        <v/>
      </c>
      <c r="T201" s="2" t="str">
        <f t="shared" si="55"/>
        <v/>
      </c>
    </row>
    <row r="202" spans="2:20" ht="11.45" customHeight="1" x14ac:dyDescent="0.25">
      <c r="B202" s="86" t="str">
        <f t="shared" si="56"/>
        <v/>
      </c>
      <c r="C202" s="88"/>
      <c r="D202" s="87" t="str">
        <f t="shared" si="57"/>
        <v/>
      </c>
      <c r="E202" s="157" t="str">
        <f t="shared" si="43"/>
        <v/>
      </c>
      <c r="F202" s="156" t="str">
        <f t="shared" si="44"/>
        <v/>
      </c>
      <c r="G202" s="78" t="str">
        <f t="shared" si="45"/>
        <v/>
      </c>
      <c r="H202" s="44" t="str">
        <f t="shared" si="41"/>
        <v/>
      </c>
      <c r="I202" s="44" t="str">
        <f t="shared" si="46"/>
        <v/>
      </c>
      <c r="J202" s="44" t="str">
        <f t="shared" si="47"/>
        <v/>
      </c>
      <c r="K202" s="46" t="str">
        <f t="shared" si="42"/>
        <v/>
      </c>
      <c r="L202" s="46" t="str">
        <f t="shared" si="48"/>
        <v/>
      </c>
      <c r="M202" s="26" t="str">
        <f t="shared" si="49"/>
        <v/>
      </c>
      <c r="N202" s="2" t="str">
        <f t="shared" si="50"/>
        <v/>
      </c>
      <c r="P202" s="2" t="str">
        <f t="shared" si="51"/>
        <v/>
      </c>
      <c r="Q202" s="2" t="str">
        <f t="shared" si="52"/>
        <v/>
      </c>
      <c r="R202" s="2" t="str">
        <f t="shared" si="53"/>
        <v/>
      </c>
      <c r="S202" s="2" t="str">
        <f t="shared" si="54"/>
        <v/>
      </c>
      <c r="T202" s="2" t="str">
        <f t="shared" si="55"/>
        <v/>
      </c>
    </row>
    <row r="203" spans="2:20" ht="11.45" customHeight="1" x14ac:dyDescent="0.25">
      <c r="B203" s="86" t="str">
        <f t="shared" si="56"/>
        <v/>
      </c>
      <c r="C203" s="88"/>
      <c r="D203" s="87" t="str">
        <f t="shared" si="57"/>
        <v/>
      </c>
      <c r="E203" s="157" t="str">
        <f t="shared" si="43"/>
        <v/>
      </c>
      <c r="F203" s="156" t="str">
        <f t="shared" si="44"/>
        <v/>
      </c>
      <c r="G203" s="78" t="str">
        <f t="shared" si="45"/>
        <v/>
      </c>
      <c r="H203" s="44" t="str">
        <f t="shared" si="41"/>
        <v/>
      </c>
      <c r="I203" s="44" t="str">
        <f t="shared" si="46"/>
        <v/>
      </c>
      <c r="J203" s="44" t="str">
        <f t="shared" si="47"/>
        <v/>
      </c>
      <c r="K203" s="46" t="str">
        <f t="shared" si="42"/>
        <v/>
      </c>
      <c r="L203" s="46" t="str">
        <f t="shared" si="48"/>
        <v/>
      </c>
      <c r="M203" s="26" t="str">
        <f t="shared" si="49"/>
        <v/>
      </c>
      <c r="N203" s="2" t="str">
        <f t="shared" si="50"/>
        <v/>
      </c>
      <c r="P203" s="2" t="str">
        <f t="shared" si="51"/>
        <v/>
      </c>
      <c r="Q203" s="2" t="str">
        <f t="shared" si="52"/>
        <v/>
      </c>
      <c r="R203" s="2" t="str">
        <f t="shared" si="53"/>
        <v/>
      </c>
      <c r="S203" s="2" t="str">
        <f t="shared" si="54"/>
        <v/>
      </c>
      <c r="T203" s="2" t="str">
        <f t="shared" si="55"/>
        <v/>
      </c>
    </row>
    <row r="204" spans="2:20" ht="11.45" customHeight="1" x14ac:dyDescent="0.25">
      <c r="B204" s="86" t="str">
        <f t="shared" si="56"/>
        <v/>
      </c>
      <c r="C204" s="88"/>
      <c r="D204" s="87" t="str">
        <f t="shared" si="57"/>
        <v/>
      </c>
      <c r="E204" s="157" t="str">
        <f t="shared" si="43"/>
        <v/>
      </c>
      <c r="F204" s="156" t="str">
        <f t="shared" si="44"/>
        <v/>
      </c>
      <c r="G204" s="78" t="str">
        <f t="shared" si="45"/>
        <v/>
      </c>
      <c r="H204" s="44" t="str">
        <f t="shared" si="41"/>
        <v/>
      </c>
      <c r="I204" s="44" t="str">
        <f t="shared" si="46"/>
        <v/>
      </c>
      <c r="J204" s="44" t="str">
        <f t="shared" si="47"/>
        <v/>
      </c>
      <c r="K204" s="46" t="str">
        <f t="shared" si="42"/>
        <v/>
      </c>
      <c r="L204" s="46" t="str">
        <f t="shared" si="48"/>
        <v/>
      </c>
      <c r="M204" s="26" t="str">
        <f t="shared" si="49"/>
        <v/>
      </c>
      <c r="N204" s="2" t="str">
        <f t="shared" si="50"/>
        <v/>
      </c>
      <c r="P204" s="2" t="str">
        <f t="shared" si="51"/>
        <v/>
      </c>
      <c r="Q204" s="2" t="str">
        <f t="shared" si="52"/>
        <v/>
      </c>
      <c r="R204" s="2" t="str">
        <f t="shared" si="53"/>
        <v/>
      </c>
      <c r="S204" s="2" t="str">
        <f t="shared" si="54"/>
        <v/>
      </c>
      <c r="T204" s="2" t="str">
        <f t="shared" si="55"/>
        <v/>
      </c>
    </row>
    <row r="205" spans="2:20" ht="11.45" customHeight="1" x14ac:dyDescent="0.25">
      <c r="B205" s="86" t="str">
        <f t="shared" si="56"/>
        <v/>
      </c>
      <c r="C205" s="88"/>
      <c r="D205" s="87" t="str">
        <f t="shared" si="57"/>
        <v/>
      </c>
      <c r="E205" s="157" t="str">
        <f t="shared" si="43"/>
        <v/>
      </c>
      <c r="F205" s="156" t="str">
        <f t="shared" si="44"/>
        <v/>
      </c>
      <c r="G205" s="78" t="str">
        <f t="shared" si="45"/>
        <v/>
      </c>
      <c r="H205" s="44" t="str">
        <f t="shared" si="41"/>
        <v/>
      </c>
      <c r="I205" s="44" t="str">
        <f t="shared" si="46"/>
        <v/>
      </c>
      <c r="J205" s="44" t="str">
        <f t="shared" si="47"/>
        <v/>
      </c>
      <c r="K205" s="46" t="str">
        <f t="shared" si="42"/>
        <v/>
      </c>
      <c r="L205" s="46" t="str">
        <f t="shared" si="48"/>
        <v/>
      </c>
      <c r="M205" s="26" t="str">
        <f t="shared" si="49"/>
        <v/>
      </c>
      <c r="N205" s="2" t="str">
        <f t="shared" si="50"/>
        <v/>
      </c>
      <c r="P205" s="2" t="str">
        <f t="shared" si="51"/>
        <v/>
      </c>
      <c r="Q205" s="2" t="str">
        <f t="shared" si="52"/>
        <v/>
      </c>
      <c r="R205" s="2" t="str">
        <f t="shared" si="53"/>
        <v/>
      </c>
      <c r="S205" s="2" t="str">
        <f t="shared" si="54"/>
        <v/>
      </c>
      <c r="T205" s="2" t="str">
        <f t="shared" si="55"/>
        <v/>
      </c>
    </row>
    <row r="206" spans="2:20" ht="11.45" customHeight="1" x14ac:dyDescent="0.25">
      <c r="B206" s="86" t="str">
        <f t="shared" si="56"/>
        <v/>
      </c>
      <c r="C206" s="88"/>
      <c r="D206" s="87" t="str">
        <f t="shared" si="57"/>
        <v/>
      </c>
      <c r="E206" s="157" t="str">
        <f t="shared" si="43"/>
        <v/>
      </c>
      <c r="F206" s="156" t="str">
        <f t="shared" si="44"/>
        <v/>
      </c>
      <c r="G206" s="78" t="str">
        <f t="shared" si="45"/>
        <v/>
      </c>
      <c r="H206" s="44" t="str">
        <f t="shared" si="41"/>
        <v/>
      </c>
      <c r="I206" s="44" t="str">
        <f t="shared" si="46"/>
        <v/>
      </c>
      <c r="J206" s="44" t="str">
        <f t="shared" si="47"/>
        <v/>
      </c>
      <c r="K206" s="46" t="str">
        <f t="shared" si="42"/>
        <v/>
      </c>
      <c r="L206" s="46" t="str">
        <f t="shared" si="48"/>
        <v/>
      </c>
      <c r="M206" s="26" t="str">
        <f t="shared" si="49"/>
        <v/>
      </c>
      <c r="N206" s="2" t="str">
        <f t="shared" si="50"/>
        <v/>
      </c>
      <c r="P206" s="2" t="str">
        <f t="shared" si="51"/>
        <v/>
      </c>
      <c r="Q206" s="2" t="str">
        <f t="shared" si="52"/>
        <v/>
      </c>
      <c r="R206" s="2" t="str">
        <f t="shared" si="53"/>
        <v/>
      </c>
      <c r="S206" s="2" t="str">
        <f t="shared" si="54"/>
        <v/>
      </c>
      <c r="T206" s="2" t="str">
        <f t="shared" si="55"/>
        <v/>
      </c>
    </row>
    <row r="207" spans="2:20" ht="11.45" customHeight="1" x14ac:dyDescent="0.25">
      <c r="B207" s="86" t="str">
        <f t="shared" si="56"/>
        <v/>
      </c>
      <c r="C207" s="88"/>
      <c r="D207" s="87" t="str">
        <f t="shared" si="57"/>
        <v/>
      </c>
      <c r="E207" s="157" t="str">
        <f t="shared" si="43"/>
        <v/>
      </c>
      <c r="F207" s="156" t="str">
        <f t="shared" si="44"/>
        <v/>
      </c>
      <c r="G207" s="78" t="str">
        <f t="shared" si="45"/>
        <v/>
      </c>
      <c r="H207" s="44" t="str">
        <f t="shared" si="41"/>
        <v/>
      </c>
      <c r="I207" s="44" t="str">
        <f t="shared" si="46"/>
        <v/>
      </c>
      <c r="J207" s="44" t="str">
        <f t="shared" si="47"/>
        <v/>
      </c>
      <c r="K207" s="46" t="str">
        <f t="shared" si="42"/>
        <v/>
      </c>
      <c r="L207" s="46" t="str">
        <f t="shared" si="48"/>
        <v/>
      </c>
      <c r="M207" s="26" t="str">
        <f t="shared" si="49"/>
        <v/>
      </c>
      <c r="N207" s="2" t="str">
        <f t="shared" si="50"/>
        <v/>
      </c>
      <c r="P207" s="2" t="str">
        <f t="shared" si="51"/>
        <v/>
      </c>
      <c r="Q207" s="2" t="str">
        <f t="shared" si="52"/>
        <v/>
      </c>
      <c r="R207" s="2" t="str">
        <f t="shared" si="53"/>
        <v/>
      </c>
      <c r="S207" s="2" t="str">
        <f t="shared" si="54"/>
        <v/>
      </c>
      <c r="T207" s="2" t="str">
        <f t="shared" si="55"/>
        <v/>
      </c>
    </row>
    <row r="208" spans="2:20" ht="11.45" customHeight="1" x14ac:dyDescent="0.25">
      <c r="B208" s="86" t="str">
        <f t="shared" si="56"/>
        <v/>
      </c>
      <c r="C208" s="88"/>
      <c r="D208" s="87" t="str">
        <f t="shared" si="57"/>
        <v/>
      </c>
      <c r="E208" s="157" t="str">
        <f t="shared" si="43"/>
        <v/>
      </c>
      <c r="F208" s="156" t="str">
        <f t="shared" si="44"/>
        <v/>
      </c>
      <c r="G208" s="78" t="str">
        <f t="shared" si="45"/>
        <v/>
      </c>
      <c r="H208" s="44" t="str">
        <f t="shared" si="41"/>
        <v/>
      </c>
      <c r="I208" s="44" t="str">
        <f t="shared" si="46"/>
        <v/>
      </c>
      <c r="J208" s="44" t="str">
        <f t="shared" si="47"/>
        <v/>
      </c>
      <c r="K208" s="46" t="str">
        <f t="shared" si="42"/>
        <v/>
      </c>
      <c r="L208" s="46" t="str">
        <f t="shared" si="48"/>
        <v/>
      </c>
      <c r="M208" s="26" t="str">
        <f t="shared" si="49"/>
        <v/>
      </c>
      <c r="N208" s="2" t="str">
        <f t="shared" si="50"/>
        <v/>
      </c>
      <c r="P208" s="2" t="str">
        <f t="shared" si="51"/>
        <v/>
      </c>
      <c r="Q208" s="2" t="str">
        <f t="shared" si="52"/>
        <v/>
      </c>
      <c r="R208" s="2" t="str">
        <f t="shared" si="53"/>
        <v/>
      </c>
      <c r="S208" s="2" t="str">
        <f t="shared" si="54"/>
        <v/>
      </c>
      <c r="T208" s="2" t="str">
        <f t="shared" si="55"/>
        <v/>
      </c>
    </row>
    <row r="209" spans="2:20" ht="11.45" customHeight="1" x14ac:dyDescent="0.25">
      <c r="B209" s="86" t="str">
        <f t="shared" si="56"/>
        <v/>
      </c>
      <c r="C209" s="88"/>
      <c r="D209" s="87" t="str">
        <f t="shared" si="57"/>
        <v/>
      </c>
      <c r="E209" s="157" t="str">
        <f t="shared" si="43"/>
        <v/>
      </c>
      <c r="F209" s="156" t="str">
        <f t="shared" si="44"/>
        <v/>
      </c>
      <c r="G209" s="78" t="str">
        <f t="shared" si="45"/>
        <v/>
      </c>
      <c r="H209" s="44" t="str">
        <f t="shared" si="41"/>
        <v/>
      </c>
      <c r="I209" s="44" t="str">
        <f t="shared" si="46"/>
        <v/>
      </c>
      <c r="J209" s="44" t="str">
        <f t="shared" si="47"/>
        <v/>
      </c>
      <c r="K209" s="46" t="str">
        <f t="shared" si="42"/>
        <v/>
      </c>
      <c r="L209" s="46" t="str">
        <f t="shared" si="48"/>
        <v/>
      </c>
      <c r="M209" s="26" t="str">
        <f t="shared" si="49"/>
        <v/>
      </c>
      <c r="N209" s="2" t="str">
        <f t="shared" si="50"/>
        <v/>
      </c>
      <c r="P209" s="2" t="str">
        <f t="shared" si="51"/>
        <v/>
      </c>
      <c r="Q209" s="2" t="str">
        <f t="shared" si="52"/>
        <v/>
      </c>
      <c r="R209" s="2" t="str">
        <f t="shared" si="53"/>
        <v/>
      </c>
      <c r="S209" s="2" t="str">
        <f t="shared" si="54"/>
        <v/>
      </c>
      <c r="T209" s="2" t="str">
        <f t="shared" si="55"/>
        <v/>
      </c>
    </row>
    <row r="210" spans="2:20" ht="11.45" customHeight="1" x14ac:dyDescent="0.25">
      <c r="B210" s="86" t="str">
        <f t="shared" si="56"/>
        <v/>
      </c>
      <c r="C210" s="88"/>
      <c r="D210" s="87" t="str">
        <f t="shared" si="57"/>
        <v/>
      </c>
      <c r="E210" s="157" t="str">
        <f t="shared" si="43"/>
        <v/>
      </c>
      <c r="F210" s="156" t="str">
        <f t="shared" si="44"/>
        <v/>
      </c>
      <c r="G210" s="78" t="str">
        <f t="shared" si="45"/>
        <v/>
      </c>
      <c r="H210" s="44" t="str">
        <f t="shared" si="41"/>
        <v/>
      </c>
      <c r="I210" s="44" t="str">
        <f t="shared" si="46"/>
        <v/>
      </c>
      <c r="J210" s="44" t="str">
        <f t="shared" si="47"/>
        <v/>
      </c>
      <c r="K210" s="46" t="str">
        <f t="shared" si="42"/>
        <v/>
      </c>
      <c r="L210" s="46" t="str">
        <f t="shared" si="48"/>
        <v/>
      </c>
      <c r="M210" s="26" t="str">
        <f t="shared" si="49"/>
        <v/>
      </c>
      <c r="N210" s="2" t="str">
        <f t="shared" si="50"/>
        <v/>
      </c>
      <c r="P210" s="2" t="str">
        <f t="shared" si="51"/>
        <v/>
      </c>
      <c r="Q210" s="2" t="str">
        <f t="shared" si="52"/>
        <v/>
      </c>
      <c r="R210" s="2" t="str">
        <f t="shared" si="53"/>
        <v/>
      </c>
      <c r="S210" s="2" t="str">
        <f t="shared" si="54"/>
        <v/>
      </c>
      <c r="T210" s="2" t="str">
        <f t="shared" si="55"/>
        <v/>
      </c>
    </row>
    <row r="211" spans="2:20" ht="11.45" customHeight="1" x14ac:dyDescent="0.25">
      <c r="B211" s="86" t="str">
        <f t="shared" si="56"/>
        <v/>
      </c>
      <c r="C211" s="88"/>
      <c r="D211" s="87" t="str">
        <f t="shared" si="57"/>
        <v/>
      </c>
      <c r="E211" s="157" t="str">
        <f t="shared" si="43"/>
        <v/>
      </c>
      <c r="F211" s="156" t="str">
        <f t="shared" si="44"/>
        <v/>
      </c>
      <c r="G211" s="78" t="str">
        <f t="shared" si="45"/>
        <v/>
      </c>
      <c r="H211" s="44" t="str">
        <f t="shared" si="41"/>
        <v/>
      </c>
      <c r="I211" s="44" t="str">
        <f t="shared" si="46"/>
        <v/>
      </c>
      <c r="J211" s="44" t="str">
        <f t="shared" si="47"/>
        <v/>
      </c>
      <c r="K211" s="46" t="str">
        <f t="shared" si="42"/>
        <v/>
      </c>
      <c r="L211" s="46" t="str">
        <f t="shared" si="48"/>
        <v/>
      </c>
      <c r="M211" s="26" t="str">
        <f t="shared" si="49"/>
        <v/>
      </c>
      <c r="N211" s="2" t="str">
        <f t="shared" si="50"/>
        <v/>
      </c>
      <c r="P211" s="2" t="str">
        <f t="shared" si="51"/>
        <v/>
      </c>
      <c r="Q211" s="2" t="str">
        <f t="shared" si="52"/>
        <v/>
      </c>
      <c r="R211" s="2" t="str">
        <f t="shared" si="53"/>
        <v/>
      </c>
      <c r="S211" s="2" t="str">
        <f t="shared" si="54"/>
        <v/>
      </c>
      <c r="T211" s="2" t="str">
        <f t="shared" si="55"/>
        <v/>
      </c>
    </row>
    <row r="212" spans="2:20" ht="11.45" customHeight="1" x14ac:dyDescent="0.25">
      <c r="B212" s="86" t="str">
        <f t="shared" si="56"/>
        <v/>
      </c>
      <c r="C212" s="88"/>
      <c r="D212" s="87" t="str">
        <f t="shared" si="57"/>
        <v/>
      </c>
      <c r="E212" s="157" t="str">
        <f t="shared" si="43"/>
        <v/>
      </c>
      <c r="F212" s="156" t="str">
        <f t="shared" si="44"/>
        <v/>
      </c>
      <c r="G212" s="78" t="str">
        <f t="shared" si="45"/>
        <v/>
      </c>
      <c r="H212" s="44" t="str">
        <f t="shared" si="41"/>
        <v/>
      </c>
      <c r="I212" s="44" t="str">
        <f t="shared" si="46"/>
        <v/>
      </c>
      <c r="J212" s="44" t="str">
        <f t="shared" si="47"/>
        <v/>
      </c>
      <c r="K212" s="46" t="str">
        <f t="shared" si="42"/>
        <v/>
      </c>
      <c r="L212" s="46" t="str">
        <f t="shared" si="48"/>
        <v/>
      </c>
      <c r="M212" s="26" t="str">
        <f t="shared" si="49"/>
        <v/>
      </c>
      <c r="N212" s="2" t="str">
        <f t="shared" si="50"/>
        <v/>
      </c>
      <c r="P212" s="2" t="str">
        <f t="shared" si="51"/>
        <v/>
      </c>
      <c r="Q212" s="2" t="str">
        <f t="shared" si="52"/>
        <v/>
      </c>
      <c r="R212" s="2" t="str">
        <f t="shared" si="53"/>
        <v/>
      </c>
      <c r="S212" s="2" t="str">
        <f t="shared" si="54"/>
        <v/>
      </c>
      <c r="T212" s="2" t="str">
        <f t="shared" si="55"/>
        <v/>
      </c>
    </row>
    <row r="213" spans="2:20" ht="11.45" customHeight="1" x14ac:dyDescent="0.25">
      <c r="B213" s="86" t="str">
        <f t="shared" si="56"/>
        <v/>
      </c>
      <c r="C213" s="88"/>
      <c r="D213" s="87" t="str">
        <f t="shared" si="57"/>
        <v/>
      </c>
      <c r="E213" s="157" t="str">
        <f t="shared" si="43"/>
        <v/>
      </c>
      <c r="F213" s="156" t="str">
        <f t="shared" si="44"/>
        <v/>
      </c>
      <c r="G213" s="78" t="str">
        <f t="shared" si="45"/>
        <v/>
      </c>
      <c r="H213" s="44" t="str">
        <f t="shared" si="41"/>
        <v/>
      </c>
      <c r="I213" s="44" t="str">
        <f t="shared" si="46"/>
        <v/>
      </c>
      <c r="J213" s="44" t="str">
        <f t="shared" si="47"/>
        <v/>
      </c>
      <c r="K213" s="46" t="str">
        <f t="shared" si="42"/>
        <v/>
      </c>
      <c r="L213" s="46" t="str">
        <f t="shared" si="48"/>
        <v/>
      </c>
      <c r="M213" s="26" t="str">
        <f t="shared" si="49"/>
        <v/>
      </c>
      <c r="N213" s="2" t="str">
        <f t="shared" si="50"/>
        <v/>
      </c>
      <c r="P213" s="2" t="str">
        <f t="shared" si="51"/>
        <v/>
      </c>
      <c r="Q213" s="2" t="str">
        <f t="shared" si="52"/>
        <v/>
      </c>
      <c r="R213" s="2" t="str">
        <f t="shared" si="53"/>
        <v/>
      </c>
      <c r="S213" s="2" t="str">
        <f t="shared" si="54"/>
        <v/>
      </c>
      <c r="T213" s="2" t="str">
        <f t="shared" si="55"/>
        <v/>
      </c>
    </row>
    <row r="214" spans="2:20" ht="11.45" customHeight="1" x14ac:dyDescent="0.25">
      <c r="B214" s="86" t="str">
        <f t="shared" si="56"/>
        <v/>
      </c>
      <c r="C214" s="88"/>
      <c r="D214" s="87" t="str">
        <f t="shared" si="57"/>
        <v/>
      </c>
      <c r="E214" s="157" t="str">
        <f t="shared" si="43"/>
        <v/>
      </c>
      <c r="F214" s="156" t="str">
        <f t="shared" si="44"/>
        <v/>
      </c>
      <c r="G214" s="78" t="str">
        <f t="shared" si="45"/>
        <v/>
      </c>
      <c r="H214" s="44" t="str">
        <f t="shared" si="41"/>
        <v/>
      </c>
      <c r="I214" s="44" t="str">
        <f t="shared" si="46"/>
        <v/>
      </c>
      <c r="J214" s="44" t="str">
        <f t="shared" si="47"/>
        <v/>
      </c>
      <c r="K214" s="46" t="str">
        <f t="shared" si="42"/>
        <v/>
      </c>
      <c r="L214" s="46" t="str">
        <f t="shared" si="48"/>
        <v/>
      </c>
      <c r="M214" s="26" t="str">
        <f t="shared" si="49"/>
        <v/>
      </c>
      <c r="N214" s="2" t="str">
        <f t="shared" si="50"/>
        <v/>
      </c>
      <c r="P214" s="2" t="str">
        <f t="shared" si="51"/>
        <v/>
      </c>
      <c r="Q214" s="2" t="str">
        <f t="shared" si="52"/>
        <v/>
      </c>
      <c r="R214" s="2" t="str">
        <f t="shared" si="53"/>
        <v/>
      </c>
      <c r="S214" s="2" t="str">
        <f t="shared" si="54"/>
        <v/>
      </c>
      <c r="T214" s="2" t="str">
        <f t="shared" si="55"/>
        <v/>
      </c>
    </row>
    <row r="215" spans="2:20" ht="11.45" customHeight="1" x14ac:dyDescent="0.25">
      <c r="B215" s="86" t="str">
        <f t="shared" si="56"/>
        <v/>
      </c>
      <c r="C215" s="88"/>
      <c r="D215" s="87" t="str">
        <f t="shared" si="57"/>
        <v/>
      </c>
      <c r="E215" s="157" t="str">
        <f t="shared" si="43"/>
        <v/>
      </c>
      <c r="F215" s="156" t="str">
        <f t="shared" si="44"/>
        <v/>
      </c>
      <c r="G215" s="78" t="str">
        <f t="shared" si="45"/>
        <v/>
      </c>
      <c r="H215" s="44" t="str">
        <f t="shared" si="41"/>
        <v/>
      </c>
      <c r="I215" s="44" t="str">
        <f t="shared" si="46"/>
        <v/>
      </c>
      <c r="J215" s="44" t="str">
        <f t="shared" si="47"/>
        <v/>
      </c>
      <c r="K215" s="46" t="str">
        <f t="shared" si="42"/>
        <v/>
      </c>
      <c r="L215" s="46" t="str">
        <f t="shared" si="48"/>
        <v/>
      </c>
      <c r="M215" s="26" t="str">
        <f t="shared" si="49"/>
        <v/>
      </c>
      <c r="N215" s="2" t="str">
        <f t="shared" si="50"/>
        <v/>
      </c>
      <c r="P215" s="2" t="str">
        <f t="shared" si="51"/>
        <v/>
      </c>
      <c r="Q215" s="2" t="str">
        <f t="shared" si="52"/>
        <v/>
      </c>
      <c r="R215" s="2" t="str">
        <f t="shared" si="53"/>
        <v/>
      </c>
      <c r="S215" s="2" t="str">
        <f t="shared" si="54"/>
        <v/>
      </c>
      <c r="T215" s="2" t="str">
        <f t="shared" si="55"/>
        <v/>
      </c>
    </row>
    <row r="216" spans="2:20" ht="11.45" customHeight="1" x14ac:dyDescent="0.25">
      <c r="B216" s="86" t="str">
        <f t="shared" si="56"/>
        <v/>
      </c>
      <c r="C216" s="88"/>
      <c r="D216" s="87" t="str">
        <f t="shared" si="57"/>
        <v/>
      </c>
      <c r="E216" s="157" t="str">
        <f t="shared" si="43"/>
        <v/>
      </c>
      <c r="F216" s="156" t="str">
        <f t="shared" si="44"/>
        <v/>
      </c>
      <c r="G216" s="78" t="str">
        <f t="shared" si="45"/>
        <v/>
      </c>
      <c r="H216" s="44" t="str">
        <f t="shared" ref="H216:H279" si="58">IF(B216="","",IF($C$13=$P$22,P216,IF($C$13=$Q$22,Q216,IF($C$13=$R$22,R216,IF($C$13=$S$22,S216,"")))))</f>
        <v/>
      </c>
      <c r="I216" s="44" t="str">
        <f t="shared" si="46"/>
        <v/>
      </c>
      <c r="J216" s="44" t="str">
        <f t="shared" si="47"/>
        <v/>
      </c>
      <c r="K216" s="46" t="str">
        <f t="shared" ref="K216:K279" si="59">IF(B216="","",$F$9-B216)</f>
        <v/>
      </c>
      <c r="L216" s="46" t="str">
        <f t="shared" si="48"/>
        <v/>
      </c>
      <c r="M216" s="26" t="str">
        <f t="shared" si="49"/>
        <v/>
      </c>
      <c r="N216" s="2" t="str">
        <f t="shared" si="50"/>
        <v/>
      </c>
      <c r="P216" s="2" t="str">
        <f t="shared" si="51"/>
        <v/>
      </c>
      <c r="Q216" s="2" t="str">
        <f t="shared" si="52"/>
        <v/>
      </c>
      <c r="R216" s="2" t="str">
        <f t="shared" si="53"/>
        <v/>
      </c>
      <c r="S216" s="2" t="str">
        <f t="shared" si="54"/>
        <v/>
      </c>
      <c r="T216" s="2" t="str">
        <f t="shared" si="55"/>
        <v/>
      </c>
    </row>
    <row r="217" spans="2:20" ht="11.45" customHeight="1" x14ac:dyDescent="0.25">
      <c r="B217" s="86" t="str">
        <f t="shared" si="56"/>
        <v/>
      </c>
      <c r="C217" s="88"/>
      <c r="D217" s="87" t="str">
        <f t="shared" si="57"/>
        <v/>
      </c>
      <c r="E217" s="157" t="str">
        <f t="shared" ref="E217:E280" si="60">IF(B217="","",J216)</f>
        <v/>
      </c>
      <c r="F217" s="156" t="str">
        <f t="shared" ref="F217:F280" si="61">IF(B217="","",$C$14)</f>
        <v/>
      </c>
      <c r="G217" s="78" t="str">
        <f t="shared" ref="G217:G280" si="62">IF(B217&lt;$F$9,I217-H217,IF(B217=$F$9,J216,""))</f>
        <v/>
      </c>
      <c r="H217" s="44" t="str">
        <f t="shared" si="58"/>
        <v/>
      </c>
      <c r="I217" s="44" t="str">
        <f t="shared" ref="I217:I280" si="63">IF(B217="","",IF(OR(B217&lt;$F$11,B217=$F$11),H217,IF(B217=$F$9,J216+H217,IF($F$12="Monthly",-1*PMT($C$14/12,$F$10,$C$8),IF($F$12="Quarterly",-1*PMT($C$14/4,$F$10,$C$8),IF($F$12="Semi-Annually",-1*PMT($C$14/2,$F$10,$C$8),IF($F$12="Annually",-1*PMT($C$14,$F$10,$C$8))))))))</f>
        <v/>
      </c>
      <c r="J217" s="44" t="str">
        <f t="shared" ref="J217:J280" si="64">IF(B217="","",IF(B217=$F$9,0,J216-G217))</f>
        <v/>
      </c>
      <c r="K217" s="46" t="str">
        <f t="shared" si="59"/>
        <v/>
      </c>
      <c r="L217" s="46" t="str">
        <f t="shared" ref="L217:L280" si="65">IF(B217="","",IF(G217=0,L216,IF(G217&gt;0,L216-1,$F$139-B217)))</f>
        <v/>
      </c>
      <c r="M217" s="26" t="str">
        <f t="shared" ref="M217:M280" si="66">IF($F$9="","",IF(OR(B218&gt;$F$9,B218=""),"",DATE(YEAR(C217),MONTH(C217),DAY(C217))-DATE(YEAR(C217)-1,MONTH(C217),DAY(C217))))</f>
        <v/>
      </c>
      <c r="N217" s="2" t="str">
        <f t="shared" ref="N217:N280" si="67">IF($F$9="","",IF(OR(B218&gt;$F$9,B218=""),"",F217/M217))</f>
        <v/>
      </c>
      <c r="P217" s="2" t="str">
        <f t="shared" ref="P217:P280" si="68">IF(B217="","",IF($F$12="Monthly",F216*(D216/360)*J216,IF($F$12="Quarterly",F216*(D216/360)*3*J216,IF($F$12="Semi-Annually",F216*(D216/360)*6*J216,IF($F$12="Annually",F216*(D216/360)*12*J216)))))</f>
        <v/>
      </c>
      <c r="Q217" s="2" t="str">
        <f t="shared" ref="Q217:Q280" si="69">IF(B217="","",IF($F$12="Monthly",F217*(30/360)*J216,IF($F$12="Quarterly",F217*(30/360)*3*J216,IF($F$12="Semi-Annually",F217*(30/360)*6*J216,IF($F$12="Annually",F217*(30/360)*12*J216)))))</f>
        <v/>
      </c>
      <c r="R217" s="2" t="str">
        <f t="shared" ref="R217:R280" si="70">IF(B217="","",IF($F$12="Monthly",F217*(D217/365)*J216,IF($F$12="Quarterly",F217*(D217/365)*J216,IF($F$12="Semi-Annually",F217*(D217/365)*J216,IF($F$12="Annually",F217*(D217/365)*J216)))))</f>
        <v/>
      </c>
      <c r="S217" s="2" t="str">
        <f t="shared" ref="S217:S280" si="71">IF(B212="","",IF($F$12="Monthly",F217*(D217/360)*J216,IF($F$12="Quarterly",F217*(D217/360)*J216,IF($F$12="Semi-Annually",F217*(D217/360)*J216,IF($F$12="Annually",F217*(D217/360)*J216)))))</f>
        <v/>
      </c>
      <c r="T217" s="2" t="str">
        <f t="shared" ref="T217:T280" si="72">IF(B217="","",IF($F$12="Monthly",F217*(D217/M217)*J216,IF($F$12="Quarterly",F217*(D217/M217)*J216,IF($F$12="Semi-Annually",F217*(D217/M217)*J216,IF($F$12="Annually",F217*(D217/M217)*J216)))))</f>
        <v/>
      </c>
    </row>
    <row r="218" spans="2:20" ht="11.45" customHeight="1" x14ac:dyDescent="0.25">
      <c r="B218" s="86" t="str">
        <f t="shared" ref="B218:B281" si="73">IF(OR(B217=$F$9,B217&gt;$F$9),"",B217+1)</f>
        <v/>
      </c>
      <c r="C218" s="88"/>
      <c r="D218" s="87" t="str">
        <f t="shared" ref="D218:D281" si="74">IF(B218="","",C218-C217)</f>
        <v/>
      </c>
      <c r="E218" s="157" t="str">
        <f t="shared" si="60"/>
        <v/>
      </c>
      <c r="F218" s="156" t="str">
        <f t="shared" si="61"/>
        <v/>
      </c>
      <c r="G218" s="78" t="str">
        <f t="shared" si="62"/>
        <v/>
      </c>
      <c r="H218" s="44" t="str">
        <f t="shared" si="58"/>
        <v/>
      </c>
      <c r="I218" s="44" t="str">
        <f t="shared" si="63"/>
        <v/>
      </c>
      <c r="J218" s="44" t="str">
        <f t="shared" si="64"/>
        <v/>
      </c>
      <c r="K218" s="46" t="str">
        <f t="shared" si="59"/>
        <v/>
      </c>
      <c r="L218" s="46" t="str">
        <f t="shared" si="65"/>
        <v/>
      </c>
      <c r="M218" s="26" t="str">
        <f t="shared" si="66"/>
        <v/>
      </c>
      <c r="N218" s="2" t="str">
        <f t="shared" si="67"/>
        <v/>
      </c>
      <c r="P218" s="2" t="str">
        <f t="shared" si="68"/>
        <v/>
      </c>
      <c r="Q218" s="2" t="str">
        <f t="shared" si="69"/>
        <v/>
      </c>
      <c r="R218" s="2" t="str">
        <f t="shared" si="70"/>
        <v/>
      </c>
      <c r="S218" s="2" t="str">
        <f t="shared" si="71"/>
        <v/>
      </c>
      <c r="T218" s="2" t="str">
        <f t="shared" si="72"/>
        <v/>
      </c>
    </row>
    <row r="219" spans="2:20" ht="11.45" customHeight="1" x14ac:dyDescent="0.25">
      <c r="B219" s="86" t="str">
        <f t="shared" si="73"/>
        <v/>
      </c>
      <c r="C219" s="88"/>
      <c r="D219" s="87" t="str">
        <f t="shared" si="74"/>
        <v/>
      </c>
      <c r="E219" s="157" t="str">
        <f t="shared" si="60"/>
        <v/>
      </c>
      <c r="F219" s="156" t="str">
        <f t="shared" si="61"/>
        <v/>
      </c>
      <c r="G219" s="78" t="str">
        <f t="shared" si="62"/>
        <v/>
      </c>
      <c r="H219" s="44" t="str">
        <f t="shared" si="58"/>
        <v/>
      </c>
      <c r="I219" s="44" t="str">
        <f t="shared" si="63"/>
        <v/>
      </c>
      <c r="J219" s="44" t="str">
        <f t="shared" si="64"/>
        <v/>
      </c>
      <c r="K219" s="46" t="str">
        <f t="shared" si="59"/>
        <v/>
      </c>
      <c r="L219" s="46" t="str">
        <f t="shared" si="65"/>
        <v/>
      </c>
      <c r="M219" s="26" t="str">
        <f t="shared" si="66"/>
        <v/>
      </c>
      <c r="N219" s="2" t="str">
        <f t="shared" si="67"/>
        <v/>
      </c>
      <c r="P219" s="2" t="str">
        <f t="shared" si="68"/>
        <v/>
      </c>
      <c r="Q219" s="2" t="str">
        <f t="shared" si="69"/>
        <v/>
      </c>
      <c r="R219" s="2" t="str">
        <f t="shared" si="70"/>
        <v/>
      </c>
      <c r="S219" s="2" t="str">
        <f t="shared" si="71"/>
        <v/>
      </c>
      <c r="T219" s="2" t="str">
        <f t="shared" si="72"/>
        <v/>
      </c>
    </row>
    <row r="220" spans="2:20" ht="11.45" customHeight="1" x14ac:dyDescent="0.25">
      <c r="B220" s="86" t="str">
        <f t="shared" si="73"/>
        <v/>
      </c>
      <c r="C220" s="88"/>
      <c r="D220" s="87" t="str">
        <f t="shared" si="74"/>
        <v/>
      </c>
      <c r="E220" s="157" t="str">
        <f t="shared" si="60"/>
        <v/>
      </c>
      <c r="F220" s="156" t="str">
        <f t="shared" si="61"/>
        <v/>
      </c>
      <c r="G220" s="78" t="str">
        <f t="shared" si="62"/>
        <v/>
      </c>
      <c r="H220" s="44" t="str">
        <f t="shared" si="58"/>
        <v/>
      </c>
      <c r="I220" s="44" t="str">
        <f t="shared" si="63"/>
        <v/>
      </c>
      <c r="J220" s="44" t="str">
        <f t="shared" si="64"/>
        <v/>
      </c>
      <c r="K220" s="46" t="str">
        <f t="shared" si="59"/>
        <v/>
      </c>
      <c r="L220" s="46" t="str">
        <f t="shared" si="65"/>
        <v/>
      </c>
      <c r="M220" s="26" t="str">
        <f t="shared" si="66"/>
        <v/>
      </c>
      <c r="N220" s="2" t="str">
        <f t="shared" si="67"/>
        <v/>
      </c>
      <c r="P220" s="2" t="str">
        <f t="shared" si="68"/>
        <v/>
      </c>
      <c r="Q220" s="2" t="str">
        <f t="shared" si="69"/>
        <v/>
      </c>
      <c r="R220" s="2" t="str">
        <f t="shared" si="70"/>
        <v/>
      </c>
      <c r="S220" s="2" t="str">
        <f t="shared" si="71"/>
        <v/>
      </c>
      <c r="T220" s="2" t="str">
        <f t="shared" si="72"/>
        <v/>
      </c>
    </row>
    <row r="221" spans="2:20" ht="11.45" customHeight="1" x14ac:dyDescent="0.25">
      <c r="B221" s="86" t="str">
        <f t="shared" si="73"/>
        <v/>
      </c>
      <c r="C221" s="88"/>
      <c r="D221" s="87" t="str">
        <f t="shared" si="74"/>
        <v/>
      </c>
      <c r="E221" s="157" t="str">
        <f t="shared" si="60"/>
        <v/>
      </c>
      <c r="F221" s="156" t="str">
        <f t="shared" si="61"/>
        <v/>
      </c>
      <c r="G221" s="78" t="str">
        <f t="shared" si="62"/>
        <v/>
      </c>
      <c r="H221" s="44" t="str">
        <f t="shared" si="58"/>
        <v/>
      </c>
      <c r="I221" s="44" t="str">
        <f t="shared" si="63"/>
        <v/>
      </c>
      <c r="J221" s="44" t="str">
        <f t="shared" si="64"/>
        <v/>
      </c>
      <c r="K221" s="46" t="str">
        <f t="shared" si="59"/>
        <v/>
      </c>
      <c r="L221" s="46" t="str">
        <f t="shared" si="65"/>
        <v/>
      </c>
      <c r="M221" s="26" t="str">
        <f t="shared" si="66"/>
        <v/>
      </c>
      <c r="N221" s="2" t="str">
        <f t="shared" si="67"/>
        <v/>
      </c>
      <c r="P221" s="2" t="str">
        <f t="shared" si="68"/>
        <v/>
      </c>
      <c r="Q221" s="2" t="str">
        <f t="shared" si="69"/>
        <v/>
      </c>
      <c r="R221" s="2" t="str">
        <f t="shared" si="70"/>
        <v/>
      </c>
      <c r="S221" s="2" t="str">
        <f t="shared" si="71"/>
        <v/>
      </c>
      <c r="T221" s="2" t="str">
        <f t="shared" si="72"/>
        <v/>
      </c>
    </row>
    <row r="222" spans="2:20" ht="11.45" customHeight="1" x14ac:dyDescent="0.25">
      <c r="B222" s="86" t="str">
        <f t="shared" si="73"/>
        <v/>
      </c>
      <c r="C222" s="88"/>
      <c r="D222" s="87" t="str">
        <f t="shared" si="74"/>
        <v/>
      </c>
      <c r="E222" s="157" t="str">
        <f t="shared" si="60"/>
        <v/>
      </c>
      <c r="F222" s="156" t="str">
        <f t="shared" si="61"/>
        <v/>
      </c>
      <c r="G222" s="78" t="str">
        <f t="shared" si="62"/>
        <v/>
      </c>
      <c r="H222" s="44" t="str">
        <f t="shared" si="58"/>
        <v/>
      </c>
      <c r="I222" s="44" t="str">
        <f t="shared" si="63"/>
        <v/>
      </c>
      <c r="J222" s="44" t="str">
        <f t="shared" si="64"/>
        <v/>
      </c>
      <c r="K222" s="46" t="str">
        <f t="shared" si="59"/>
        <v/>
      </c>
      <c r="L222" s="46" t="str">
        <f t="shared" si="65"/>
        <v/>
      </c>
      <c r="M222" s="26" t="str">
        <f t="shared" si="66"/>
        <v/>
      </c>
      <c r="N222" s="2" t="str">
        <f t="shared" si="67"/>
        <v/>
      </c>
      <c r="P222" s="2" t="str">
        <f t="shared" si="68"/>
        <v/>
      </c>
      <c r="Q222" s="2" t="str">
        <f t="shared" si="69"/>
        <v/>
      </c>
      <c r="R222" s="2" t="str">
        <f t="shared" si="70"/>
        <v/>
      </c>
      <c r="S222" s="2" t="str">
        <f t="shared" si="71"/>
        <v/>
      </c>
      <c r="T222" s="2" t="str">
        <f t="shared" si="72"/>
        <v/>
      </c>
    </row>
    <row r="223" spans="2:20" ht="11.45" customHeight="1" x14ac:dyDescent="0.25">
      <c r="B223" s="86" t="str">
        <f t="shared" si="73"/>
        <v/>
      </c>
      <c r="C223" s="88"/>
      <c r="D223" s="87" t="str">
        <f t="shared" si="74"/>
        <v/>
      </c>
      <c r="E223" s="157" t="str">
        <f t="shared" si="60"/>
        <v/>
      </c>
      <c r="F223" s="156" t="str">
        <f t="shared" si="61"/>
        <v/>
      </c>
      <c r="G223" s="78" t="str">
        <f t="shared" si="62"/>
        <v/>
      </c>
      <c r="H223" s="44" t="str">
        <f t="shared" si="58"/>
        <v/>
      </c>
      <c r="I223" s="44" t="str">
        <f t="shared" si="63"/>
        <v/>
      </c>
      <c r="J223" s="44" t="str">
        <f t="shared" si="64"/>
        <v/>
      </c>
      <c r="K223" s="46" t="str">
        <f t="shared" si="59"/>
        <v/>
      </c>
      <c r="L223" s="46" t="str">
        <f t="shared" si="65"/>
        <v/>
      </c>
      <c r="M223" s="26" t="str">
        <f t="shared" si="66"/>
        <v/>
      </c>
      <c r="N223" s="2" t="str">
        <f t="shared" si="67"/>
        <v/>
      </c>
      <c r="P223" s="2" t="str">
        <f t="shared" si="68"/>
        <v/>
      </c>
      <c r="Q223" s="2" t="str">
        <f t="shared" si="69"/>
        <v/>
      </c>
      <c r="R223" s="2" t="str">
        <f t="shared" si="70"/>
        <v/>
      </c>
      <c r="S223" s="2" t="str">
        <f t="shared" si="71"/>
        <v/>
      </c>
      <c r="T223" s="2" t="str">
        <f t="shared" si="72"/>
        <v/>
      </c>
    </row>
    <row r="224" spans="2:20" ht="11.45" customHeight="1" x14ac:dyDescent="0.25">
      <c r="B224" s="86" t="str">
        <f t="shared" si="73"/>
        <v/>
      </c>
      <c r="C224" s="88"/>
      <c r="D224" s="87" t="str">
        <f t="shared" si="74"/>
        <v/>
      </c>
      <c r="E224" s="157" t="str">
        <f t="shared" si="60"/>
        <v/>
      </c>
      <c r="F224" s="156" t="str">
        <f t="shared" si="61"/>
        <v/>
      </c>
      <c r="G224" s="78" t="str">
        <f t="shared" si="62"/>
        <v/>
      </c>
      <c r="H224" s="44" t="str">
        <f t="shared" si="58"/>
        <v/>
      </c>
      <c r="I224" s="44" t="str">
        <f t="shared" si="63"/>
        <v/>
      </c>
      <c r="J224" s="44" t="str">
        <f t="shared" si="64"/>
        <v/>
      </c>
      <c r="K224" s="46" t="str">
        <f t="shared" si="59"/>
        <v/>
      </c>
      <c r="L224" s="46" t="str">
        <f t="shared" si="65"/>
        <v/>
      </c>
      <c r="M224" s="26" t="str">
        <f t="shared" si="66"/>
        <v/>
      </c>
      <c r="N224" s="2" t="str">
        <f t="shared" si="67"/>
        <v/>
      </c>
      <c r="P224" s="2" t="str">
        <f t="shared" si="68"/>
        <v/>
      </c>
      <c r="Q224" s="2" t="str">
        <f t="shared" si="69"/>
        <v/>
      </c>
      <c r="R224" s="2" t="str">
        <f t="shared" si="70"/>
        <v/>
      </c>
      <c r="S224" s="2" t="str">
        <f t="shared" si="71"/>
        <v/>
      </c>
      <c r="T224" s="2" t="str">
        <f t="shared" si="72"/>
        <v/>
      </c>
    </row>
    <row r="225" spans="2:20" ht="11.45" customHeight="1" x14ac:dyDescent="0.25">
      <c r="B225" s="86" t="str">
        <f t="shared" si="73"/>
        <v/>
      </c>
      <c r="C225" s="88"/>
      <c r="D225" s="87" t="str">
        <f t="shared" si="74"/>
        <v/>
      </c>
      <c r="E225" s="157" t="str">
        <f t="shared" si="60"/>
        <v/>
      </c>
      <c r="F225" s="156" t="str">
        <f t="shared" si="61"/>
        <v/>
      </c>
      <c r="G225" s="78" t="str">
        <f t="shared" si="62"/>
        <v/>
      </c>
      <c r="H225" s="44" t="str">
        <f t="shared" si="58"/>
        <v/>
      </c>
      <c r="I225" s="44" t="str">
        <f t="shared" si="63"/>
        <v/>
      </c>
      <c r="J225" s="44" t="str">
        <f t="shared" si="64"/>
        <v/>
      </c>
      <c r="K225" s="46" t="str">
        <f t="shared" si="59"/>
        <v/>
      </c>
      <c r="L225" s="46" t="str">
        <f t="shared" si="65"/>
        <v/>
      </c>
      <c r="M225" s="26" t="str">
        <f t="shared" si="66"/>
        <v/>
      </c>
      <c r="N225" s="2" t="str">
        <f t="shared" si="67"/>
        <v/>
      </c>
      <c r="P225" s="2" t="str">
        <f t="shared" si="68"/>
        <v/>
      </c>
      <c r="Q225" s="2" t="str">
        <f t="shared" si="69"/>
        <v/>
      </c>
      <c r="R225" s="2" t="str">
        <f t="shared" si="70"/>
        <v/>
      </c>
      <c r="S225" s="2" t="str">
        <f t="shared" si="71"/>
        <v/>
      </c>
      <c r="T225" s="2" t="str">
        <f t="shared" si="72"/>
        <v/>
      </c>
    </row>
    <row r="226" spans="2:20" ht="11.45" customHeight="1" x14ac:dyDescent="0.25">
      <c r="B226" s="86" t="str">
        <f t="shared" si="73"/>
        <v/>
      </c>
      <c r="C226" s="88"/>
      <c r="D226" s="87" t="str">
        <f t="shared" si="74"/>
        <v/>
      </c>
      <c r="E226" s="157" t="str">
        <f t="shared" si="60"/>
        <v/>
      </c>
      <c r="F226" s="156" t="str">
        <f t="shared" si="61"/>
        <v/>
      </c>
      <c r="G226" s="78" t="str">
        <f t="shared" si="62"/>
        <v/>
      </c>
      <c r="H226" s="44" t="str">
        <f t="shared" si="58"/>
        <v/>
      </c>
      <c r="I226" s="44" t="str">
        <f t="shared" si="63"/>
        <v/>
      </c>
      <c r="J226" s="44" t="str">
        <f t="shared" si="64"/>
        <v/>
      </c>
      <c r="K226" s="46" t="str">
        <f t="shared" si="59"/>
        <v/>
      </c>
      <c r="L226" s="46" t="str">
        <f t="shared" si="65"/>
        <v/>
      </c>
      <c r="M226" s="26" t="str">
        <f t="shared" si="66"/>
        <v/>
      </c>
      <c r="N226" s="2" t="str">
        <f t="shared" si="67"/>
        <v/>
      </c>
      <c r="P226" s="2" t="str">
        <f t="shared" si="68"/>
        <v/>
      </c>
      <c r="Q226" s="2" t="str">
        <f t="shared" si="69"/>
        <v/>
      </c>
      <c r="R226" s="2" t="str">
        <f t="shared" si="70"/>
        <v/>
      </c>
      <c r="S226" s="2" t="str">
        <f t="shared" si="71"/>
        <v/>
      </c>
      <c r="T226" s="2" t="str">
        <f t="shared" si="72"/>
        <v/>
      </c>
    </row>
    <row r="227" spans="2:20" ht="11.45" customHeight="1" x14ac:dyDescent="0.25">
      <c r="B227" s="86" t="str">
        <f t="shared" si="73"/>
        <v/>
      </c>
      <c r="C227" s="88"/>
      <c r="D227" s="87" t="str">
        <f t="shared" si="74"/>
        <v/>
      </c>
      <c r="E227" s="157" t="str">
        <f t="shared" si="60"/>
        <v/>
      </c>
      <c r="F227" s="156" t="str">
        <f t="shared" si="61"/>
        <v/>
      </c>
      <c r="G227" s="78" t="str">
        <f t="shared" si="62"/>
        <v/>
      </c>
      <c r="H227" s="44" t="str">
        <f t="shared" si="58"/>
        <v/>
      </c>
      <c r="I227" s="44" t="str">
        <f t="shared" si="63"/>
        <v/>
      </c>
      <c r="J227" s="44" t="str">
        <f t="shared" si="64"/>
        <v/>
      </c>
      <c r="K227" s="46" t="str">
        <f t="shared" si="59"/>
        <v/>
      </c>
      <c r="L227" s="46" t="str">
        <f t="shared" si="65"/>
        <v/>
      </c>
      <c r="M227" s="26" t="str">
        <f t="shared" si="66"/>
        <v/>
      </c>
      <c r="N227" s="2" t="str">
        <f t="shared" si="67"/>
        <v/>
      </c>
      <c r="P227" s="2" t="str">
        <f t="shared" si="68"/>
        <v/>
      </c>
      <c r="Q227" s="2" t="str">
        <f t="shared" si="69"/>
        <v/>
      </c>
      <c r="R227" s="2" t="str">
        <f t="shared" si="70"/>
        <v/>
      </c>
      <c r="S227" s="2" t="str">
        <f t="shared" si="71"/>
        <v/>
      </c>
      <c r="T227" s="2" t="str">
        <f t="shared" si="72"/>
        <v/>
      </c>
    </row>
    <row r="228" spans="2:20" ht="11.45" customHeight="1" x14ac:dyDescent="0.25">
      <c r="B228" s="86" t="str">
        <f t="shared" si="73"/>
        <v/>
      </c>
      <c r="C228" s="88"/>
      <c r="D228" s="87" t="str">
        <f t="shared" si="74"/>
        <v/>
      </c>
      <c r="E228" s="157" t="str">
        <f t="shared" si="60"/>
        <v/>
      </c>
      <c r="F228" s="156" t="str">
        <f t="shared" si="61"/>
        <v/>
      </c>
      <c r="G228" s="78" t="str">
        <f t="shared" si="62"/>
        <v/>
      </c>
      <c r="H228" s="44" t="str">
        <f t="shared" si="58"/>
        <v/>
      </c>
      <c r="I228" s="44" t="str">
        <f t="shared" si="63"/>
        <v/>
      </c>
      <c r="J228" s="44" t="str">
        <f t="shared" si="64"/>
        <v/>
      </c>
      <c r="K228" s="46" t="str">
        <f t="shared" si="59"/>
        <v/>
      </c>
      <c r="L228" s="46" t="str">
        <f t="shared" si="65"/>
        <v/>
      </c>
      <c r="M228" s="26" t="str">
        <f t="shared" si="66"/>
        <v/>
      </c>
      <c r="N228" s="2" t="str">
        <f t="shared" si="67"/>
        <v/>
      </c>
      <c r="P228" s="2" t="str">
        <f t="shared" si="68"/>
        <v/>
      </c>
      <c r="Q228" s="2" t="str">
        <f t="shared" si="69"/>
        <v/>
      </c>
      <c r="R228" s="2" t="str">
        <f t="shared" si="70"/>
        <v/>
      </c>
      <c r="S228" s="2" t="str">
        <f t="shared" si="71"/>
        <v/>
      </c>
      <c r="T228" s="2" t="str">
        <f t="shared" si="72"/>
        <v/>
      </c>
    </row>
    <row r="229" spans="2:20" ht="11.45" customHeight="1" x14ac:dyDescent="0.25">
      <c r="B229" s="86" t="str">
        <f t="shared" si="73"/>
        <v/>
      </c>
      <c r="C229" s="88"/>
      <c r="D229" s="87" t="str">
        <f t="shared" si="74"/>
        <v/>
      </c>
      <c r="E229" s="157" t="str">
        <f t="shared" si="60"/>
        <v/>
      </c>
      <c r="F229" s="156" t="str">
        <f t="shared" si="61"/>
        <v/>
      </c>
      <c r="G229" s="78" t="str">
        <f t="shared" si="62"/>
        <v/>
      </c>
      <c r="H229" s="44" t="str">
        <f t="shared" si="58"/>
        <v/>
      </c>
      <c r="I229" s="44" t="str">
        <f t="shared" si="63"/>
        <v/>
      </c>
      <c r="J229" s="44" t="str">
        <f t="shared" si="64"/>
        <v/>
      </c>
      <c r="K229" s="46" t="str">
        <f t="shared" si="59"/>
        <v/>
      </c>
      <c r="L229" s="46" t="str">
        <f t="shared" si="65"/>
        <v/>
      </c>
      <c r="M229" s="26" t="str">
        <f t="shared" si="66"/>
        <v/>
      </c>
      <c r="N229" s="2" t="str">
        <f t="shared" si="67"/>
        <v/>
      </c>
      <c r="P229" s="2" t="str">
        <f t="shared" si="68"/>
        <v/>
      </c>
      <c r="Q229" s="2" t="str">
        <f t="shared" si="69"/>
        <v/>
      </c>
      <c r="R229" s="2" t="str">
        <f t="shared" si="70"/>
        <v/>
      </c>
      <c r="S229" s="2" t="str">
        <f t="shared" si="71"/>
        <v/>
      </c>
      <c r="T229" s="2" t="str">
        <f t="shared" si="72"/>
        <v/>
      </c>
    </row>
    <row r="230" spans="2:20" ht="11.45" customHeight="1" x14ac:dyDescent="0.25">
      <c r="B230" s="86" t="str">
        <f t="shared" si="73"/>
        <v/>
      </c>
      <c r="C230" s="88"/>
      <c r="D230" s="87" t="str">
        <f t="shared" si="74"/>
        <v/>
      </c>
      <c r="E230" s="157" t="str">
        <f t="shared" si="60"/>
        <v/>
      </c>
      <c r="F230" s="156" t="str">
        <f t="shared" si="61"/>
        <v/>
      </c>
      <c r="G230" s="78" t="str">
        <f t="shared" si="62"/>
        <v/>
      </c>
      <c r="H230" s="44" t="str">
        <f t="shared" si="58"/>
        <v/>
      </c>
      <c r="I230" s="44" t="str">
        <f t="shared" si="63"/>
        <v/>
      </c>
      <c r="J230" s="44" t="str">
        <f t="shared" si="64"/>
        <v/>
      </c>
      <c r="K230" s="46" t="str">
        <f t="shared" si="59"/>
        <v/>
      </c>
      <c r="L230" s="46" t="str">
        <f t="shared" si="65"/>
        <v/>
      </c>
      <c r="M230" s="26" t="str">
        <f t="shared" si="66"/>
        <v/>
      </c>
      <c r="N230" s="2" t="str">
        <f t="shared" si="67"/>
        <v/>
      </c>
      <c r="P230" s="2" t="str">
        <f t="shared" si="68"/>
        <v/>
      </c>
      <c r="Q230" s="2" t="str">
        <f t="shared" si="69"/>
        <v/>
      </c>
      <c r="R230" s="2" t="str">
        <f t="shared" si="70"/>
        <v/>
      </c>
      <c r="S230" s="2" t="str">
        <f t="shared" si="71"/>
        <v/>
      </c>
      <c r="T230" s="2" t="str">
        <f t="shared" si="72"/>
        <v/>
      </c>
    </row>
    <row r="231" spans="2:20" ht="11.45" customHeight="1" x14ac:dyDescent="0.25">
      <c r="B231" s="86" t="str">
        <f t="shared" si="73"/>
        <v/>
      </c>
      <c r="C231" s="88"/>
      <c r="D231" s="87" t="str">
        <f t="shared" si="74"/>
        <v/>
      </c>
      <c r="E231" s="157" t="str">
        <f t="shared" si="60"/>
        <v/>
      </c>
      <c r="F231" s="156" t="str">
        <f t="shared" si="61"/>
        <v/>
      </c>
      <c r="G231" s="78" t="str">
        <f t="shared" si="62"/>
        <v/>
      </c>
      <c r="H231" s="44" t="str">
        <f t="shared" si="58"/>
        <v/>
      </c>
      <c r="I231" s="44" t="str">
        <f t="shared" si="63"/>
        <v/>
      </c>
      <c r="J231" s="44" t="str">
        <f t="shared" si="64"/>
        <v/>
      </c>
      <c r="K231" s="46" t="str">
        <f t="shared" si="59"/>
        <v/>
      </c>
      <c r="L231" s="46" t="str">
        <f t="shared" si="65"/>
        <v/>
      </c>
      <c r="M231" s="26" t="str">
        <f t="shared" si="66"/>
        <v/>
      </c>
      <c r="N231" s="2" t="str">
        <f t="shared" si="67"/>
        <v/>
      </c>
      <c r="P231" s="2" t="str">
        <f t="shared" si="68"/>
        <v/>
      </c>
      <c r="Q231" s="2" t="str">
        <f t="shared" si="69"/>
        <v/>
      </c>
      <c r="R231" s="2" t="str">
        <f t="shared" si="70"/>
        <v/>
      </c>
      <c r="S231" s="2" t="str">
        <f t="shared" si="71"/>
        <v/>
      </c>
      <c r="T231" s="2" t="str">
        <f t="shared" si="72"/>
        <v/>
      </c>
    </row>
    <row r="232" spans="2:20" ht="11.45" customHeight="1" x14ac:dyDescent="0.25">
      <c r="B232" s="86" t="str">
        <f t="shared" si="73"/>
        <v/>
      </c>
      <c r="C232" s="88"/>
      <c r="D232" s="87" t="str">
        <f t="shared" si="74"/>
        <v/>
      </c>
      <c r="E232" s="157" t="str">
        <f t="shared" si="60"/>
        <v/>
      </c>
      <c r="F232" s="156" t="str">
        <f t="shared" si="61"/>
        <v/>
      </c>
      <c r="G232" s="78" t="str">
        <f t="shared" si="62"/>
        <v/>
      </c>
      <c r="H232" s="44" t="str">
        <f t="shared" si="58"/>
        <v/>
      </c>
      <c r="I232" s="44" t="str">
        <f t="shared" si="63"/>
        <v/>
      </c>
      <c r="J232" s="44" t="str">
        <f t="shared" si="64"/>
        <v/>
      </c>
      <c r="K232" s="46" t="str">
        <f t="shared" si="59"/>
        <v/>
      </c>
      <c r="L232" s="46" t="str">
        <f t="shared" si="65"/>
        <v/>
      </c>
      <c r="M232" s="26" t="str">
        <f t="shared" si="66"/>
        <v/>
      </c>
      <c r="N232" s="2" t="str">
        <f t="shared" si="67"/>
        <v/>
      </c>
      <c r="P232" s="2" t="str">
        <f t="shared" si="68"/>
        <v/>
      </c>
      <c r="Q232" s="2" t="str">
        <f t="shared" si="69"/>
        <v/>
      </c>
      <c r="R232" s="2" t="str">
        <f t="shared" si="70"/>
        <v/>
      </c>
      <c r="S232" s="2" t="str">
        <f t="shared" si="71"/>
        <v/>
      </c>
      <c r="T232" s="2" t="str">
        <f t="shared" si="72"/>
        <v/>
      </c>
    </row>
    <row r="233" spans="2:20" ht="11.45" customHeight="1" x14ac:dyDescent="0.25">
      <c r="B233" s="86" t="str">
        <f t="shared" si="73"/>
        <v/>
      </c>
      <c r="C233" s="88"/>
      <c r="D233" s="87" t="str">
        <f t="shared" si="74"/>
        <v/>
      </c>
      <c r="E233" s="157" t="str">
        <f t="shared" si="60"/>
        <v/>
      </c>
      <c r="F233" s="156" t="str">
        <f t="shared" si="61"/>
        <v/>
      </c>
      <c r="G233" s="78" t="str">
        <f t="shared" si="62"/>
        <v/>
      </c>
      <c r="H233" s="44" t="str">
        <f t="shared" si="58"/>
        <v/>
      </c>
      <c r="I233" s="44" t="str">
        <f t="shared" si="63"/>
        <v/>
      </c>
      <c r="J233" s="44" t="str">
        <f t="shared" si="64"/>
        <v/>
      </c>
      <c r="K233" s="46" t="str">
        <f t="shared" si="59"/>
        <v/>
      </c>
      <c r="L233" s="46" t="str">
        <f t="shared" si="65"/>
        <v/>
      </c>
      <c r="M233" s="26" t="str">
        <f t="shared" si="66"/>
        <v/>
      </c>
      <c r="N233" s="2" t="str">
        <f t="shared" si="67"/>
        <v/>
      </c>
      <c r="P233" s="2" t="str">
        <f t="shared" si="68"/>
        <v/>
      </c>
      <c r="Q233" s="2" t="str">
        <f t="shared" si="69"/>
        <v/>
      </c>
      <c r="R233" s="2" t="str">
        <f t="shared" si="70"/>
        <v/>
      </c>
      <c r="S233" s="2" t="str">
        <f t="shared" si="71"/>
        <v/>
      </c>
      <c r="T233" s="2" t="str">
        <f t="shared" si="72"/>
        <v/>
      </c>
    </row>
    <row r="234" spans="2:20" ht="11.45" customHeight="1" x14ac:dyDescent="0.25">
      <c r="B234" s="86" t="str">
        <f t="shared" si="73"/>
        <v/>
      </c>
      <c r="C234" s="88"/>
      <c r="D234" s="87" t="str">
        <f t="shared" si="74"/>
        <v/>
      </c>
      <c r="E234" s="157" t="str">
        <f t="shared" si="60"/>
        <v/>
      </c>
      <c r="F234" s="156" t="str">
        <f t="shared" si="61"/>
        <v/>
      </c>
      <c r="G234" s="78" t="str">
        <f t="shared" si="62"/>
        <v/>
      </c>
      <c r="H234" s="44" t="str">
        <f t="shared" si="58"/>
        <v/>
      </c>
      <c r="I234" s="44" t="str">
        <f t="shared" si="63"/>
        <v/>
      </c>
      <c r="J234" s="44" t="str">
        <f t="shared" si="64"/>
        <v/>
      </c>
      <c r="K234" s="46" t="str">
        <f t="shared" si="59"/>
        <v/>
      </c>
      <c r="L234" s="46" t="str">
        <f t="shared" si="65"/>
        <v/>
      </c>
      <c r="M234" s="26" t="str">
        <f t="shared" si="66"/>
        <v/>
      </c>
      <c r="N234" s="2" t="str">
        <f t="shared" si="67"/>
        <v/>
      </c>
      <c r="P234" s="2" t="str">
        <f t="shared" si="68"/>
        <v/>
      </c>
      <c r="Q234" s="2" t="str">
        <f t="shared" si="69"/>
        <v/>
      </c>
      <c r="R234" s="2" t="str">
        <f t="shared" si="70"/>
        <v/>
      </c>
      <c r="S234" s="2" t="str">
        <f t="shared" si="71"/>
        <v/>
      </c>
      <c r="T234" s="2" t="str">
        <f t="shared" si="72"/>
        <v/>
      </c>
    </row>
    <row r="235" spans="2:20" ht="11.45" customHeight="1" x14ac:dyDescent="0.25">
      <c r="B235" s="86" t="str">
        <f t="shared" si="73"/>
        <v/>
      </c>
      <c r="C235" s="88"/>
      <c r="D235" s="87" t="str">
        <f t="shared" si="74"/>
        <v/>
      </c>
      <c r="E235" s="157" t="str">
        <f t="shared" si="60"/>
        <v/>
      </c>
      <c r="F235" s="156" t="str">
        <f t="shared" si="61"/>
        <v/>
      </c>
      <c r="G235" s="78" t="str">
        <f t="shared" si="62"/>
        <v/>
      </c>
      <c r="H235" s="44" t="str">
        <f t="shared" si="58"/>
        <v/>
      </c>
      <c r="I235" s="44" t="str">
        <f t="shared" si="63"/>
        <v/>
      </c>
      <c r="J235" s="44" t="str">
        <f t="shared" si="64"/>
        <v/>
      </c>
      <c r="K235" s="46" t="str">
        <f t="shared" si="59"/>
        <v/>
      </c>
      <c r="L235" s="46" t="str">
        <f t="shared" si="65"/>
        <v/>
      </c>
      <c r="M235" s="26" t="str">
        <f t="shared" si="66"/>
        <v/>
      </c>
      <c r="N235" s="2" t="str">
        <f t="shared" si="67"/>
        <v/>
      </c>
      <c r="P235" s="2" t="str">
        <f t="shared" si="68"/>
        <v/>
      </c>
      <c r="Q235" s="2" t="str">
        <f t="shared" si="69"/>
        <v/>
      </c>
      <c r="R235" s="2" t="str">
        <f t="shared" si="70"/>
        <v/>
      </c>
      <c r="S235" s="2" t="str">
        <f t="shared" si="71"/>
        <v/>
      </c>
      <c r="T235" s="2" t="str">
        <f t="shared" si="72"/>
        <v/>
      </c>
    </row>
    <row r="236" spans="2:20" ht="11.45" customHeight="1" x14ac:dyDescent="0.25">
      <c r="B236" s="86" t="str">
        <f t="shared" si="73"/>
        <v/>
      </c>
      <c r="C236" s="88"/>
      <c r="D236" s="87" t="str">
        <f t="shared" si="74"/>
        <v/>
      </c>
      <c r="E236" s="157" t="str">
        <f t="shared" si="60"/>
        <v/>
      </c>
      <c r="F236" s="156" t="str">
        <f t="shared" si="61"/>
        <v/>
      </c>
      <c r="G236" s="78" t="str">
        <f t="shared" si="62"/>
        <v/>
      </c>
      <c r="H236" s="44" t="str">
        <f t="shared" si="58"/>
        <v/>
      </c>
      <c r="I236" s="44" t="str">
        <f t="shared" si="63"/>
        <v/>
      </c>
      <c r="J236" s="44" t="str">
        <f t="shared" si="64"/>
        <v/>
      </c>
      <c r="K236" s="46" t="str">
        <f t="shared" si="59"/>
        <v/>
      </c>
      <c r="L236" s="46" t="str">
        <f t="shared" si="65"/>
        <v/>
      </c>
      <c r="M236" s="26" t="str">
        <f t="shared" si="66"/>
        <v/>
      </c>
      <c r="N236" s="2" t="str">
        <f t="shared" si="67"/>
        <v/>
      </c>
      <c r="P236" s="2" t="str">
        <f t="shared" si="68"/>
        <v/>
      </c>
      <c r="Q236" s="2" t="str">
        <f t="shared" si="69"/>
        <v/>
      </c>
      <c r="R236" s="2" t="str">
        <f t="shared" si="70"/>
        <v/>
      </c>
      <c r="S236" s="2" t="str">
        <f t="shared" si="71"/>
        <v/>
      </c>
      <c r="T236" s="2" t="str">
        <f t="shared" si="72"/>
        <v/>
      </c>
    </row>
    <row r="237" spans="2:20" ht="11.45" customHeight="1" x14ac:dyDescent="0.25">
      <c r="B237" s="86" t="str">
        <f t="shared" si="73"/>
        <v/>
      </c>
      <c r="C237" s="88"/>
      <c r="D237" s="87" t="str">
        <f t="shared" si="74"/>
        <v/>
      </c>
      <c r="E237" s="157" t="str">
        <f t="shared" si="60"/>
        <v/>
      </c>
      <c r="F237" s="156" t="str">
        <f t="shared" si="61"/>
        <v/>
      </c>
      <c r="G237" s="78" t="str">
        <f t="shared" si="62"/>
        <v/>
      </c>
      <c r="H237" s="44" t="str">
        <f t="shared" si="58"/>
        <v/>
      </c>
      <c r="I237" s="44" t="str">
        <f t="shared" si="63"/>
        <v/>
      </c>
      <c r="J237" s="44" t="str">
        <f t="shared" si="64"/>
        <v/>
      </c>
      <c r="K237" s="46" t="str">
        <f t="shared" si="59"/>
        <v/>
      </c>
      <c r="L237" s="46" t="str">
        <f t="shared" si="65"/>
        <v/>
      </c>
      <c r="M237" s="26" t="str">
        <f t="shared" si="66"/>
        <v/>
      </c>
      <c r="N237" s="2" t="str">
        <f t="shared" si="67"/>
        <v/>
      </c>
      <c r="P237" s="2" t="str">
        <f t="shared" si="68"/>
        <v/>
      </c>
      <c r="Q237" s="2" t="str">
        <f t="shared" si="69"/>
        <v/>
      </c>
      <c r="R237" s="2" t="str">
        <f t="shared" si="70"/>
        <v/>
      </c>
      <c r="S237" s="2" t="str">
        <f t="shared" si="71"/>
        <v/>
      </c>
      <c r="T237" s="2" t="str">
        <f t="shared" si="72"/>
        <v/>
      </c>
    </row>
    <row r="238" spans="2:20" ht="11.45" customHeight="1" x14ac:dyDescent="0.25">
      <c r="B238" s="86" t="str">
        <f t="shared" si="73"/>
        <v/>
      </c>
      <c r="C238" s="88"/>
      <c r="D238" s="87" t="str">
        <f t="shared" si="74"/>
        <v/>
      </c>
      <c r="E238" s="157" t="str">
        <f t="shared" si="60"/>
        <v/>
      </c>
      <c r="F238" s="156" t="str">
        <f t="shared" si="61"/>
        <v/>
      </c>
      <c r="G238" s="78" t="str">
        <f t="shared" si="62"/>
        <v/>
      </c>
      <c r="H238" s="44" t="str">
        <f t="shared" si="58"/>
        <v/>
      </c>
      <c r="I238" s="44" t="str">
        <f t="shared" si="63"/>
        <v/>
      </c>
      <c r="J238" s="44" t="str">
        <f t="shared" si="64"/>
        <v/>
      </c>
      <c r="K238" s="46" t="str">
        <f t="shared" si="59"/>
        <v/>
      </c>
      <c r="L238" s="46" t="str">
        <f t="shared" si="65"/>
        <v/>
      </c>
      <c r="M238" s="26" t="str">
        <f t="shared" si="66"/>
        <v/>
      </c>
      <c r="N238" s="2" t="str">
        <f t="shared" si="67"/>
        <v/>
      </c>
      <c r="P238" s="2" t="str">
        <f t="shared" si="68"/>
        <v/>
      </c>
      <c r="Q238" s="2" t="str">
        <f t="shared" si="69"/>
        <v/>
      </c>
      <c r="R238" s="2" t="str">
        <f t="shared" si="70"/>
        <v/>
      </c>
      <c r="S238" s="2" t="str">
        <f t="shared" si="71"/>
        <v/>
      </c>
      <c r="T238" s="2" t="str">
        <f t="shared" si="72"/>
        <v/>
      </c>
    </row>
    <row r="239" spans="2:20" ht="11.45" customHeight="1" x14ac:dyDescent="0.25">
      <c r="B239" s="86" t="str">
        <f t="shared" si="73"/>
        <v/>
      </c>
      <c r="C239" s="88"/>
      <c r="D239" s="87" t="str">
        <f t="shared" si="74"/>
        <v/>
      </c>
      <c r="E239" s="157" t="str">
        <f t="shared" si="60"/>
        <v/>
      </c>
      <c r="F239" s="156" t="str">
        <f t="shared" si="61"/>
        <v/>
      </c>
      <c r="G239" s="78" t="str">
        <f t="shared" si="62"/>
        <v/>
      </c>
      <c r="H239" s="44" t="str">
        <f t="shared" si="58"/>
        <v/>
      </c>
      <c r="I239" s="44" t="str">
        <f t="shared" si="63"/>
        <v/>
      </c>
      <c r="J239" s="44" t="str">
        <f t="shared" si="64"/>
        <v/>
      </c>
      <c r="K239" s="46" t="str">
        <f t="shared" si="59"/>
        <v/>
      </c>
      <c r="L239" s="46" t="str">
        <f t="shared" si="65"/>
        <v/>
      </c>
      <c r="M239" s="26" t="str">
        <f t="shared" si="66"/>
        <v/>
      </c>
      <c r="N239" s="2" t="str">
        <f t="shared" si="67"/>
        <v/>
      </c>
      <c r="P239" s="2" t="str">
        <f t="shared" si="68"/>
        <v/>
      </c>
      <c r="Q239" s="2" t="str">
        <f t="shared" si="69"/>
        <v/>
      </c>
      <c r="R239" s="2" t="str">
        <f t="shared" si="70"/>
        <v/>
      </c>
      <c r="S239" s="2" t="str">
        <f t="shared" si="71"/>
        <v/>
      </c>
      <c r="T239" s="2" t="str">
        <f t="shared" si="72"/>
        <v/>
      </c>
    </row>
    <row r="240" spans="2:20" ht="11.45" customHeight="1" x14ac:dyDescent="0.25">
      <c r="B240" s="86" t="str">
        <f t="shared" si="73"/>
        <v/>
      </c>
      <c r="C240" s="88"/>
      <c r="D240" s="87" t="str">
        <f t="shared" si="74"/>
        <v/>
      </c>
      <c r="E240" s="157" t="str">
        <f t="shared" si="60"/>
        <v/>
      </c>
      <c r="F240" s="156" t="str">
        <f t="shared" si="61"/>
        <v/>
      </c>
      <c r="G240" s="78" t="str">
        <f t="shared" si="62"/>
        <v/>
      </c>
      <c r="H240" s="44" t="str">
        <f t="shared" si="58"/>
        <v/>
      </c>
      <c r="I240" s="44" t="str">
        <f t="shared" si="63"/>
        <v/>
      </c>
      <c r="J240" s="44" t="str">
        <f t="shared" si="64"/>
        <v/>
      </c>
      <c r="K240" s="46" t="str">
        <f t="shared" si="59"/>
        <v/>
      </c>
      <c r="L240" s="46" t="str">
        <f t="shared" si="65"/>
        <v/>
      </c>
      <c r="M240" s="26" t="str">
        <f t="shared" si="66"/>
        <v/>
      </c>
      <c r="N240" s="2" t="str">
        <f t="shared" si="67"/>
        <v/>
      </c>
      <c r="P240" s="2" t="str">
        <f t="shared" si="68"/>
        <v/>
      </c>
      <c r="Q240" s="2" t="str">
        <f t="shared" si="69"/>
        <v/>
      </c>
      <c r="R240" s="2" t="str">
        <f t="shared" si="70"/>
        <v/>
      </c>
      <c r="S240" s="2" t="str">
        <f t="shared" si="71"/>
        <v/>
      </c>
      <c r="T240" s="2" t="str">
        <f t="shared" si="72"/>
        <v/>
      </c>
    </row>
    <row r="241" spans="2:20" ht="11.45" customHeight="1" x14ac:dyDescent="0.25">
      <c r="B241" s="86" t="str">
        <f t="shared" si="73"/>
        <v/>
      </c>
      <c r="C241" s="88"/>
      <c r="D241" s="87" t="str">
        <f t="shared" si="74"/>
        <v/>
      </c>
      <c r="E241" s="157" t="str">
        <f t="shared" si="60"/>
        <v/>
      </c>
      <c r="F241" s="156" t="str">
        <f t="shared" si="61"/>
        <v/>
      </c>
      <c r="G241" s="78" t="str">
        <f t="shared" si="62"/>
        <v/>
      </c>
      <c r="H241" s="44" t="str">
        <f t="shared" si="58"/>
        <v/>
      </c>
      <c r="I241" s="44" t="str">
        <f t="shared" si="63"/>
        <v/>
      </c>
      <c r="J241" s="44" t="str">
        <f t="shared" si="64"/>
        <v/>
      </c>
      <c r="K241" s="46" t="str">
        <f t="shared" si="59"/>
        <v/>
      </c>
      <c r="L241" s="46" t="str">
        <f t="shared" si="65"/>
        <v/>
      </c>
      <c r="M241" s="26" t="str">
        <f t="shared" si="66"/>
        <v/>
      </c>
      <c r="N241" s="2" t="str">
        <f t="shared" si="67"/>
        <v/>
      </c>
      <c r="P241" s="2" t="str">
        <f t="shared" si="68"/>
        <v/>
      </c>
      <c r="Q241" s="2" t="str">
        <f t="shared" si="69"/>
        <v/>
      </c>
      <c r="R241" s="2" t="str">
        <f t="shared" si="70"/>
        <v/>
      </c>
      <c r="S241" s="2" t="str">
        <f t="shared" si="71"/>
        <v/>
      </c>
      <c r="T241" s="2" t="str">
        <f t="shared" si="72"/>
        <v/>
      </c>
    </row>
    <row r="242" spans="2:20" ht="11.45" customHeight="1" x14ac:dyDescent="0.25">
      <c r="B242" s="86" t="str">
        <f t="shared" si="73"/>
        <v/>
      </c>
      <c r="C242" s="88"/>
      <c r="D242" s="87" t="str">
        <f t="shared" si="74"/>
        <v/>
      </c>
      <c r="E242" s="157" t="str">
        <f t="shared" si="60"/>
        <v/>
      </c>
      <c r="F242" s="156" t="str">
        <f t="shared" si="61"/>
        <v/>
      </c>
      <c r="G242" s="78" t="str">
        <f t="shared" si="62"/>
        <v/>
      </c>
      <c r="H242" s="44" t="str">
        <f t="shared" si="58"/>
        <v/>
      </c>
      <c r="I242" s="44" t="str">
        <f t="shared" si="63"/>
        <v/>
      </c>
      <c r="J242" s="44" t="str">
        <f t="shared" si="64"/>
        <v/>
      </c>
      <c r="K242" s="46" t="str">
        <f t="shared" si="59"/>
        <v/>
      </c>
      <c r="L242" s="46" t="str">
        <f t="shared" si="65"/>
        <v/>
      </c>
      <c r="M242" s="26" t="str">
        <f t="shared" si="66"/>
        <v/>
      </c>
      <c r="N242" s="2" t="str">
        <f t="shared" si="67"/>
        <v/>
      </c>
      <c r="P242" s="2" t="str">
        <f t="shared" si="68"/>
        <v/>
      </c>
      <c r="Q242" s="2" t="str">
        <f t="shared" si="69"/>
        <v/>
      </c>
      <c r="R242" s="2" t="str">
        <f t="shared" si="70"/>
        <v/>
      </c>
      <c r="S242" s="2" t="str">
        <f t="shared" si="71"/>
        <v/>
      </c>
      <c r="T242" s="2" t="str">
        <f t="shared" si="72"/>
        <v/>
      </c>
    </row>
    <row r="243" spans="2:20" ht="11.45" customHeight="1" x14ac:dyDescent="0.25">
      <c r="B243" s="86" t="str">
        <f t="shared" si="73"/>
        <v/>
      </c>
      <c r="C243" s="88"/>
      <c r="D243" s="87" t="str">
        <f t="shared" si="74"/>
        <v/>
      </c>
      <c r="E243" s="157" t="str">
        <f t="shared" si="60"/>
        <v/>
      </c>
      <c r="F243" s="156" t="str">
        <f t="shared" si="61"/>
        <v/>
      </c>
      <c r="G243" s="78" t="str">
        <f t="shared" si="62"/>
        <v/>
      </c>
      <c r="H243" s="44" t="str">
        <f t="shared" si="58"/>
        <v/>
      </c>
      <c r="I243" s="44" t="str">
        <f t="shared" si="63"/>
        <v/>
      </c>
      <c r="J243" s="44" t="str">
        <f t="shared" si="64"/>
        <v/>
      </c>
      <c r="K243" s="46" t="str">
        <f t="shared" si="59"/>
        <v/>
      </c>
      <c r="L243" s="46" t="str">
        <f t="shared" si="65"/>
        <v/>
      </c>
      <c r="M243" s="26" t="str">
        <f t="shared" si="66"/>
        <v/>
      </c>
      <c r="N243" s="2" t="str">
        <f t="shared" si="67"/>
        <v/>
      </c>
      <c r="P243" s="2" t="str">
        <f t="shared" si="68"/>
        <v/>
      </c>
      <c r="Q243" s="2" t="str">
        <f t="shared" si="69"/>
        <v/>
      </c>
      <c r="R243" s="2" t="str">
        <f t="shared" si="70"/>
        <v/>
      </c>
      <c r="S243" s="2" t="str">
        <f t="shared" si="71"/>
        <v/>
      </c>
      <c r="T243" s="2" t="str">
        <f t="shared" si="72"/>
        <v/>
      </c>
    </row>
    <row r="244" spans="2:20" ht="11.45" customHeight="1" x14ac:dyDescent="0.25">
      <c r="B244" s="86" t="str">
        <f t="shared" si="73"/>
        <v/>
      </c>
      <c r="C244" s="88"/>
      <c r="D244" s="87" t="str">
        <f t="shared" si="74"/>
        <v/>
      </c>
      <c r="E244" s="157" t="str">
        <f t="shared" si="60"/>
        <v/>
      </c>
      <c r="F244" s="156" t="str">
        <f t="shared" si="61"/>
        <v/>
      </c>
      <c r="G244" s="78" t="str">
        <f t="shared" si="62"/>
        <v/>
      </c>
      <c r="H244" s="44" t="str">
        <f t="shared" si="58"/>
        <v/>
      </c>
      <c r="I244" s="44" t="str">
        <f t="shared" si="63"/>
        <v/>
      </c>
      <c r="J244" s="44" t="str">
        <f t="shared" si="64"/>
        <v/>
      </c>
      <c r="K244" s="46" t="str">
        <f t="shared" si="59"/>
        <v/>
      </c>
      <c r="L244" s="46" t="str">
        <f t="shared" si="65"/>
        <v/>
      </c>
      <c r="M244" s="26" t="str">
        <f t="shared" si="66"/>
        <v/>
      </c>
      <c r="N244" s="2" t="str">
        <f t="shared" si="67"/>
        <v/>
      </c>
      <c r="P244" s="2" t="str">
        <f t="shared" si="68"/>
        <v/>
      </c>
      <c r="Q244" s="2" t="str">
        <f t="shared" si="69"/>
        <v/>
      </c>
      <c r="R244" s="2" t="str">
        <f t="shared" si="70"/>
        <v/>
      </c>
      <c r="S244" s="2" t="str">
        <f t="shared" si="71"/>
        <v/>
      </c>
      <c r="T244" s="2" t="str">
        <f t="shared" si="72"/>
        <v/>
      </c>
    </row>
    <row r="245" spans="2:20" ht="11.45" customHeight="1" x14ac:dyDescent="0.25">
      <c r="B245" s="86" t="str">
        <f t="shared" si="73"/>
        <v/>
      </c>
      <c r="C245" s="88"/>
      <c r="D245" s="87" t="str">
        <f t="shared" si="74"/>
        <v/>
      </c>
      <c r="E245" s="157" t="str">
        <f t="shared" si="60"/>
        <v/>
      </c>
      <c r="F245" s="156" t="str">
        <f t="shared" si="61"/>
        <v/>
      </c>
      <c r="G245" s="78" t="str">
        <f t="shared" si="62"/>
        <v/>
      </c>
      <c r="H245" s="44" t="str">
        <f t="shared" si="58"/>
        <v/>
      </c>
      <c r="I245" s="44" t="str">
        <f t="shared" si="63"/>
        <v/>
      </c>
      <c r="J245" s="44" t="str">
        <f t="shared" si="64"/>
        <v/>
      </c>
      <c r="K245" s="46" t="str">
        <f t="shared" si="59"/>
        <v/>
      </c>
      <c r="L245" s="46" t="str">
        <f t="shared" si="65"/>
        <v/>
      </c>
      <c r="M245" s="26" t="str">
        <f t="shared" si="66"/>
        <v/>
      </c>
      <c r="N245" s="2" t="str">
        <f t="shared" si="67"/>
        <v/>
      </c>
      <c r="P245" s="2" t="str">
        <f t="shared" si="68"/>
        <v/>
      </c>
      <c r="Q245" s="2" t="str">
        <f t="shared" si="69"/>
        <v/>
      </c>
      <c r="R245" s="2" t="str">
        <f t="shared" si="70"/>
        <v/>
      </c>
      <c r="S245" s="2" t="str">
        <f t="shared" si="71"/>
        <v/>
      </c>
      <c r="T245" s="2" t="str">
        <f t="shared" si="72"/>
        <v/>
      </c>
    </row>
    <row r="246" spans="2:20" ht="11.45" customHeight="1" x14ac:dyDescent="0.25">
      <c r="B246" s="86" t="str">
        <f t="shared" si="73"/>
        <v/>
      </c>
      <c r="C246" s="88"/>
      <c r="D246" s="87" t="str">
        <f t="shared" si="74"/>
        <v/>
      </c>
      <c r="E246" s="157" t="str">
        <f t="shared" si="60"/>
        <v/>
      </c>
      <c r="F246" s="156" t="str">
        <f t="shared" si="61"/>
        <v/>
      </c>
      <c r="G246" s="78" t="str">
        <f t="shared" si="62"/>
        <v/>
      </c>
      <c r="H246" s="44" t="str">
        <f t="shared" si="58"/>
        <v/>
      </c>
      <c r="I246" s="44" t="str">
        <f t="shared" si="63"/>
        <v/>
      </c>
      <c r="J246" s="44" t="str">
        <f t="shared" si="64"/>
        <v/>
      </c>
      <c r="K246" s="46" t="str">
        <f t="shared" si="59"/>
        <v/>
      </c>
      <c r="L246" s="46" t="str">
        <f t="shared" si="65"/>
        <v/>
      </c>
      <c r="M246" s="26" t="str">
        <f t="shared" si="66"/>
        <v/>
      </c>
      <c r="N246" s="2" t="str">
        <f t="shared" si="67"/>
        <v/>
      </c>
      <c r="P246" s="2" t="str">
        <f t="shared" si="68"/>
        <v/>
      </c>
      <c r="Q246" s="2" t="str">
        <f t="shared" si="69"/>
        <v/>
      </c>
      <c r="R246" s="2" t="str">
        <f t="shared" si="70"/>
        <v/>
      </c>
      <c r="S246" s="2" t="str">
        <f t="shared" si="71"/>
        <v/>
      </c>
      <c r="T246" s="2" t="str">
        <f t="shared" si="72"/>
        <v/>
      </c>
    </row>
    <row r="247" spans="2:20" ht="11.45" customHeight="1" x14ac:dyDescent="0.25">
      <c r="B247" s="86" t="str">
        <f t="shared" si="73"/>
        <v/>
      </c>
      <c r="C247" s="88"/>
      <c r="D247" s="87" t="str">
        <f t="shared" si="74"/>
        <v/>
      </c>
      <c r="E247" s="157" t="str">
        <f t="shared" si="60"/>
        <v/>
      </c>
      <c r="F247" s="156" t="str">
        <f t="shared" si="61"/>
        <v/>
      </c>
      <c r="G247" s="78" t="str">
        <f t="shared" si="62"/>
        <v/>
      </c>
      <c r="H247" s="44" t="str">
        <f t="shared" si="58"/>
        <v/>
      </c>
      <c r="I247" s="44" t="str">
        <f t="shared" si="63"/>
        <v/>
      </c>
      <c r="J247" s="44" t="str">
        <f t="shared" si="64"/>
        <v/>
      </c>
      <c r="K247" s="46" t="str">
        <f t="shared" si="59"/>
        <v/>
      </c>
      <c r="L247" s="46" t="str">
        <f t="shared" si="65"/>
        <v/>
      </c>
      <c r="M247" s="26" t="str">
        <f t="shared" si="66"/>
        <v/>
      </c>
      <c r="N247" s="2" t="str">
        <f t="shared" si="67"/>
        <v/>
      </c>
      <c r="P247" s="2" t="str">
        <f t="shared" si="68"/>
        <v/>
      </c>
      <c r="Q247" s="2" t="str">
        <f t="shared" si="69"/>
        <v/>
      </c>
      <c r="R247" s="2" t="str">
        <f t="shared" si="70"/>
        <v/>
      </c>
      <c r="S247" s="2" t="str">
        <f t="shared" si="71"/>
        <v/>
      </c>
      <c r="T247" s="2" t="str">
        <f t="shared" si="72"/>
        <v/>
      </c>
    </row>
    <row r="248" spans="2:20" ht="11.45" customHeight="1" x14ac:dyDescent="0.25">
      <c r="B248" s="86" t="str">
        <f t="shared" si="73"/>
        <v/>
      </c>
      <c r="C248" s="88"/>
      <c r="D248" s="87" t="str">
        <f t="shared" si="74"/>
        <v/>
      </c>
      <c r="E248" s="157" t="str">
        <f t="shared" si="60"/>
        <v/>
      </c>
      <c r="F248" s="156" t="str">
        <f t="shared" si="61"/>
        <v/>
      </c>
      <c r="G248" s="78" t="str">
        <f t="shared" si="62"/>
        <v/>
      </c>
      <c r="H248" s="44" t="str">
        <f t="shared" si="58"/>
        <v/>
      </c>
      <c r="I248" s="44" t="str">
        <f t="shared" si="63"/>
        <v/>
      </c>
      <c r="J248" s="44" t="str">
        <f t="shared" si="64"/>
        <v/>
      </c>
      <c r="K248" s="46" t="str">
        <f t="shared" si="59"/>
        <v/>
      </c>
      <c r="L248" s="46" t="str">
        <f t="shared" si="65"/>
        <v/>
      </c>
      <c r="M248" s="26" t="str">
        <f t="shared" si="66"/>
        <v/>
      </c>
      <c r="N248" s="2" t="str">
        <f t="shared" si="67"/>
        <v/>
      </c>
      <c r="P248" s="2" t="str">
        <f t="shared" si="68"/>
        <v/>
      </c>
      <c r="Q248" s="2" t="str">
        <f t="shared" si="69"/>
        <v/>
      </c>
      <c r="R248" s="2" t="str">
        <f t="shared" si="70"/>
        <v/>
      </c>
      <c r="S248" s="2" t="str">
        <f t="shared" si="71"/>
        <v/>
      </c>
      <c r="T248" s="2" t="str">
        <f t="shared" si="72"/>
        <v/>
      </c>
    </row>
    <row r="249" spans="2:20" ht="11.45" customHeight="1" x14ac:dyDescent="0.25">
      <c r="B249" s="86" t="str">
        <f t="shared" si="73"/>
        <v/>
      </c>
      <c r="C249" s="88"/>
      <c r="D249" s="87" t="str">
        <f t="shared" si="74"/>
        <v/>
      </c>
      <c r="E249" s="157" t="str">
        <f t="shared" si="60"/>
        <v/>
      </c>
      <c r="F249" s="156" t="str">
        <f t="shared" si="61"/>
        <v/>
      </c>
      <c r="G249" s="78" t="str">
        <f t="shared" si="62"/>
        <v/>
      </c>
      <c r="H249" s="44" t="str">
        <f t="shared" si="58"/>
        <v/>
      </c>
      <c r="I249" s="44" t="str">
        <f t="shared" si="63"/>
        <v/>
      </c>
      <c r="J249" s="44" t="str">
        <f t="shared" si="64"/>
        <v/>
      </c>
      <c r="K249" s="46" t="str">
        <f t="shared" si="59"/>
        <v/>
      </c>
      <c r="L249" s="46" t="str">
        <f t="shared" si="65"/>
        <v/>
      </c>
      <c r="M249" s="26" t="str">
        <f t="shared" si="66"/>
        <v/>
      </c>
      <c r="N249" s="2" t="str">
        <f t="shared" si="67"/>
        <v/>
      </c>
      <c r="P249" s="2" t="str">
        <f t="shared" si="68"/>
        <v/>
      </c>
      <c r="Q249" s="2" t="str">
        <f t="shared" si="69"/>
        <v/>
      </c>
      <c r="R249" s="2" t="str">
        <f t="shared" si="70"/>
        <v/>
      </c>
      <c r="S249" s="2" t="str">
        <f t="shared" si="71"/>
        <v/>
      </c>
      <c r="T249" s="2" t="str">
        <f t="shared" si="72"/>
        <v/>
      </c>
    </row>
    <row r="250" spans="2:20" ht="11.45" customHeight="1" x14ac:dyDescent="0.25">
      <c r="B250" s="86" t="str">
        <f t="shared" si="73"/>
        <v/>
      </c>
      <c r="C250" s="88"/>
      <c r="D250" s="87" t="str">
        <f t="shared" si="74"/>
        <v/>
      </c>
      <c r="E250" s="157" t="str">
        <f t="shared" si="60"/>
        <v/>
      </c>
      <c r="F250" s="156" t="str">
        <f t="shared" si="61"/>
        <v/>
      </c>
      <c r="G250" s="78" t="str">
        <f t="shared" si="62"/>
        <v/>
      </c>
      <c r="H250" s="44" t="str">
        <f t="shared" si="58"/>
        <v/>
      </c>
      <c r="I250" s="44" t="str">
        <f t="shared" si="63"/>
        <v/>
      </c>
      <c r="J250" s="44" t="str">
        <f t="shared" si="64"/>
        <v/>
      </c>
      <c r="K250" s="46" t="str">
        <f t="shared" si="59"/>
        <v/>
      </c>
      <c r="L250" s="46" t="str">
        <f t="shared" si="65"/>
        <v/>
      </c>
      <c r="M250" s="26" t="str">
        <f t="shared" si="66"/>
        <v/>
      </c>
      <c r="N250" s="2" t="str">
        <f t="shared" si="67"/>
        <v/>
      </c>
      <c r="P250" s="2" t="str">
        <f t="shared" si="68"/>
        <v/>
      </c>
      <c r="Q250" s="2" t="str">
        <f t="shared" si="69"/>
        <v/>
      </c>
      <c r="R250" s="2" t="str">
        <f t="shared" si="70"/>
        <v/>
      </c>
      <c r="S250" s="2" t="str">
        <f t="shared" si="71"/>
        <v/>
      </c>
      <c r="T250" s="2" t="str">
        <f t="shared" si="72"/>
        <v/>
      </c>
    </row>
    <row r="251" spans="2:20" ht="11.45" customHeight="1" x14ac:dyDescent="0.25">
      <c r="B251" s="86" t="str">
        <f t="shared" si="73"/>
        <v/>
      </c>
      <c r="C251" s="88"/>
      <c r="D251" s="87" t="str">
        <f t="shared" si="74"/>
        <v/>
      </c>
      <c r="E251" s="157" t="str">
        <f t="shared" si="60"/>
        <v/>
      </c>
      <c r="F251" s="156" t="str">
        <f t="shared" si="61"/>
        <v/>
      </c>
      <c r="G251" s="78" t="str">
        <f t="shared" si="62"/>
        <v/>
      </c>
      <c r="H251" s="44" t="str">
        <f t="shared" si="58"/>
        <v/>
      </c>
      <c r="I251" s="44" t="str">
        <f t="shared" si="63"/>
        <v/>
      </c>
      <c r="J251" s="44" t="str">
        <f t="shared" si="64"/>
        <v/>
      </c>
      <c r="K251" s="46" t="str">
        <f t="shared" si="59"/>
        <v/>
      </c>
      <c r="L251" s="46" t="str">
        <f t="shared" si="65"/>
        <v/>
      </c>
      <c r="M251" s="26" t="str">
        <f t="shared" si="66"/>
        <v/>
      </c>
      <c r="N251" s="2" t="str">
        <f t="shared" si="67"/>
        <v/>
      </c>
      <c r="P251" s="2" t="str">
        <f t="shared" si="68"/>
        <v/>
      </c>
      <c r="Q251" s="2" t="str">
        <f t="shared" si="69"/>
        <v/>
      </c>
      <c r="R251" s="2" t="str">
        <f t="shared" si="70"/>
        <v/>
      </c>
      <c r="S251" s="2" t="str">
        <f t="shared" si="71"/>
        <v/>
      </c>
      <c r="T251" s="2" t="str">
        <f t="shared" si="72"/>
        <v/>
      </c>
    </row>
    <row r="252" spans="2:20" ht="11.45" customHeight="1" x14ac:dyDescent="0.25">
      <c r="B252" s="86" t="str">
        <f t="shared" si="73"/>
        <v/>
      </c>
      <c r="C252" s="88"/>
      <c r="D252" s="87" t="str">
        <f t="shared" si="74"/>
        <v/>
      </c>
      <c r="E252" s="157" t="str">
        <f t="shared" si="60"/>
        <v/>
      </c>
      <c r="F252" s="156" t="str">
        <f t="shared" si="61"/>
        <v/>
      </c>
      <c r="G252" s="78" t="str">
        <f t="shared" si="62"/>
        <v/>
      </c>
      <c r="H252" s="44" t="str">
        <f t="shared" si="58"/>
        <v/>
      </c>
      <c r="I252" s="44" t="str">
        <f t="shared" si="63"/>
        <v/>
      </c>
      <c r="J252" s="44" t="str">
        <f t="shared" si="64"/>
        <v/>
      </c>
      <c r="K252" s="46" t="str">
        <f t="shared" si="59"/>
        <v/>
      </c>
      <c r="L252" s="46" t="str">
        <f t="shared" si="65"/>
        <v/>
      </c>
      <c r="M252" s="26" t="str">
        <f t="shared" si="66"/>
        <v/>
      </c>
      <c r="N252" s="2" t="str">
        <f t="shared" si="67"/>
        <v/>
      </c>
      <c r="P252" s="2" t="str">
        <f t="shared" si="68"/>
        <v/>
      </c>
      <c r="Q252" s="2" t="str">
        <f t="shared" si="69"/>
        <v/>
      </c>
      <c r="R252" s="2" t="str">
        <f t="shared" si="70"/>
        <v/>
      </c>
      <c r="S252" s="2" t="str">
        <f t="shared" si="71"/>
        <v/>
      </c>
      <c r="T252" s="2" t="str">
        <f t="shared" si="72"/>
        <v/>
      </c>
    </row>
    <row r="253" spans="2:20" ht="11.45" customHeight="1" x14ac:dyDescent="0.25">
      <c r="B253" s="86" t="str">
        <f t="shared" si="73"/>
        <v/>
      </c>
      <c r="C253" s="88"/>
      <c r="D253" s="87" t="str">
        <f t="shared" si="74"/>
        <v/>
      </c>
      <c r="E253" s="157" t="str">
        <f t="shared" si="60"/>
        <v/>
      </c>
      <c r="F253" s="156" t="str">
        <f t="shared" si="61"/>
        <v/>
      </c>
      <c r="G253" s="78" t="str">
        <f t="shared" si="62"/>
        <v/>
      </c>
      <c r="H253" s="44" t="str">
        <f t="shared" si="58"/>
        <v/>
      </c>
      <c r="I253" s="44" t="str">
        <f t="shared" si="63"/>
        <v/>
      </c>
      <c r="J253" s="44" t="str">
        <f t="shared" si="64"/>
        <v/>
      </c>
      <c r="K253" s="46" t="str">
        <f t="shared" si="59"/>
        <v/>
      </c>
      <c r="L253" s="46" t="str">
        <f t="shared" si="65"/>
        <v/>
      </c>
      <c r="M253" s="26" t="str">
        <f t="shared" si="66"/>
        <v/>
      </c>
      <c r="N253" s="2" t="str">
        <f t="shared" si="67"/>
        <v/>
      </c>
      <c r="P253" s="2" t="str">
        <f t="shared" si="68"/>
        <v/>
      </c>
      <c r="Q253" s="2" t="str">
        <f t="shared" si="69"/>
        <v/>
      </c>
      <c r="R253" s="2" t="str">
        <f t="shared" si="70"/>
        <v/>
      </c>
      <c r="S253" s="2" t="str">
        <f t="shared" si="71"/>
        <v/>
      </c>
      <c r="T253" s="2" t="str">
        <f t="shared" si="72"/>
        <v/>
      </c>
    </row>
    <row r="254" spans="2:20" ht="11.45" customHeight="1" x14ac:dyDescent="0.25">
      <c r="B254" s="86" t="str">
        <f t="shared" si="73"/>
        <v/>
      </c>
      <c r="C254" s="88"/>
      <c r="D254" s="87" t="str">
        <f t="shared" si="74"/>
        <v/>
      </c>
      <c r="E254" s="157" t="str">
        <f t="shared" si="60"/>
        <v/>
      </c>
      <c r="F254" s="156" t="str">
        <f t="shared" si="61"/>
        <v/>
      </c>
      <c r="G254" s="78" t="str">
        <f t="shared" si="62"/>
        <v/>
      </c>
      <c r="H254" s="44" t="str">
        <f t="shared" si="58"/>
        <v/>
      </c>
      <c r="I254" s="44" t="str">
        <f t="shared" si="63"/>
        <v/>
      </c>
      <c r="J254" s="44" t="str">
        <f t="shared" si="64"/>
        <v/>
      </c>
      <c r="K254" s="46" t="str">
        <f t="shared" si="59"/>
        <v/>
      </c>
      <c r="L254" s="46" t="str">
        <f t="shared" si="65"/>
        <v/>
      </c>
      <c r="M254" s="26" t="str">
        <f t="shared" si="66"/>
        <v/>
      </c>
      <c r="N254" s="2" t="str">
        <f t="shared" si="67"/>
        <v/>
      </c>
      <c r="P254" s="2" t="str">
        <f t="shared" si="68"/>
        <v/>
      </c>
      <c r="Q254" s="2" t="str">
        <f t="shared" si="69"/>
        <v/>
      </c>
      <c r="R254" s="2" t="str">
        <f t="shared" si="70"/>
        <v/>
      </c>
      <c r="S254" s="2" t="str">
        <f t="shared" si="71"/>
        <v/>
      </c>
      <c r="T254" s="2" t="str">
        <f t="shared" si="72"/>
        <v/>
      </c>
    </row>
    <row r="255" spans="2:20" ht="11.45" customHeight="1" x14ac:dyDescent="0.25">
      <c r="B255" s="86" t="str">
        <f t="shared" si="73"/>
        <v/>
      </c>
      <c r="C255" s="88"/>
      <c r="D255" s="87" t="str">
        <f t="shared" si="74"/>
        <v/>
      </c>
      <c r="E255" s="157" t="str">
        <f t="shared" si="60"/>
        <v/>
      </c>
      <c r="F255" s="156" t="str">
        <f t="shared" si="61"/>
        <v/>
      </c>
      <c r="G255" s="78" t="str">
        <f t="shared" si="62"/>
        <v/>
      </c>
      <c r="H255" s="44" t="str">
        <f t="shared" si="58"/>
        <v/>
      </c>
      <c r="I255" s="44" t="str">
        <f t="shared" si="63"/>
        <v/>
      </c>
      <c r="J255" s="44" t="str">
        <f t="shared" si="64"/>
        <v/>
      </c>
      <c r="K255" s="46" t="str">
        <f t="shared" si="59"/>
        <v/>
      </c>
      <c r="L255" s="46" t="str">
        <f t="shared" si="65"/>
        <v/>
      </c>
      <c r="M255" s="26" t="str">
        <f t="shared" si="66"/>
        <v/>
      </c>
      <c r="N255" s="2" t="str">
        <f t="shared" si="67"/>
        <v/>
      </c>
      <c r="P255" s="2" t="str">
        <f t="shared" si="68"/>
        <v/>
      </c>
      <c r="Q255" s="2" t="str">
        <f t="shared" si="69"/>
        <v/>
      </c>
      <c r="R255" s="2" t="str">
        <f t="shared" si="70"/>
        <v/>
      </c>
      <c r="S255" s="2" t="str">
        <f t="shared" si="71"/>
        <v/>
      </c>
      <c r="T255" s="2" t="str">
        <f t="shared" si="72"/>
        <v/>
      </c>
    </row>
    <row r="256" spans="2:20" ht="11.45" customHeight="1" x14ac:dyDescent="0.25">
      <c r="B256" s="86" t="str">
        <f t="shared" si="73"/>
        <v/>
      </c>
      <c r="C256" s="88"/>
      <c r="D256" s="87" t="str">
        <f t="shared" si="74"/>
        <v/>
      </c>
      <c r="E256" s="157" t="str">
        <f t="shared" si="60"/>
        <v/>
      </c>
      <c r="F256" s="156" t="str">
        <f t="shared" si="61"/>
        <v/>
      </c>
      <c r="G256" s="78" t="str">
        <f t="shared" si="62"/>
        <v/>
      </c>
      <c r="H256" s="44" t="str">
        <f t="shared" si="58"/>
        <v/>
      </c>
      <c r="I256" s="44" t="str">
        <f t="shared" si="63"/>
        <v/>
      </c>
      <c r="J256" s="44" t="str">
        <f t="shared" si="64"/>
        <v/>
      </c>
      <c r="K256" s="46" t="str">
        <f t="shared" si="59"/>
        <v/>
      </c>
      <c r="L256" s="46" t="str">
        <f t="shared" si="65"/>
        <v/>
      </c>
      <c r="M256" s="26" t="str">
        <f t="shared" si="66"/>
        <v/>
      </c>
      <c r="N256" s="2" t="str">
        <f t="shared" si="67"/>
        <v/>
      </c>
      <c r="P256" s="2" t="str">
        <f t="shared" si="68"/>
        <v/>
      </c>
      <c r="Q256" s="2" t="str">
        <f t="shared" si="69"/>
        <v/>
      </c>
      <c r="R256" s="2" t="str">
        <f t="shared" si="70"/>
        <v/>
      </c>
      <c r="S256" s="2" t="str">
        <f t="shared" si="71"/>
        <v/>
      </c>
      <c r="T256" s="2" t="str">
        <f t="shared" si="72"/>
        <v/>
      </c>
    </row>
    <row r="257" spans="2:20" ht="11.45" customHeight="1" x14ac:dyDescent="0.25">
      <c r="B257" s="86" t="str">
        <f t="shared" si="73"/>
        <v/>
      </c>
      <c r="C257" s="88"/>
      <c r="D257" s="87" t="str">
        <f t="shared" si="74"/>
        <v/>
      </c>
      <c r="E257" s="157" t="str">
        <f t="shared" si="60"/>
        <v/>
      </c>
      <c r="F257" s="156" t="str">
        <f t="shared" si="61"/>
        <v/>
      </c>
      <c r="G257" s="78" t="str">
        <f t="shared" si="62"/>
        <v/>
      </c>
      <c r="H257" s="44" t="str">
        <f t="shared" si="58"/>
        <v/>
      </c>
      <c r="I257" s="44" t="str">
        <f t="shared" si="63"/>
        <v/>
      </c>
      <c r="J257" s="44" t="str">
        <f t="shared" si="64"/>
        <v/>
      </c>
      <c r="K257" s="46" t="str">
        <f t="shared" si="59"/>
        <v/>
      </c>
      <c r="L257" s="46" t="str">
        <f t="shared" si="65"/>
        <v/>
      </c>
      <c r="M257" s="26" t="str">
        <f t="shared" si="66"/>
        <v/>
      </c>
      <c r="N257" s="2" t="str">
        <f t="shared" si="67"/>
        <v/>
      </c>
      <c r="P257" s="2" t="str">
        <f t="shared" si="68"/>
        <v/>
      </c>
      <c r="Q257" s="2" t="str">
        <f t="shared" si="69"/>
        <v/>
      </c>
      <c r="R257" s="2" t="str">
        <f t="shared" si="70"/>
        <v/>
      </c>
      <c r="S257" s="2" t="str">
        <f t="shared" si="71"/>
        <v/>
      </c>
      <c r="T257" s="2" t="str">
        <f t="shared" si="72"/>
        <v/>
      </c>
    </row>
    <row r="258" spans="2:20" ht="11.45" customHeight="1" x14ac:dyDescent="0.25">
      <c r="B258" s="86" t="str">
        <f t="shared" si="73"/>
        <v/>
      </c>
      <c r="C258" s="88"/>
      <c r="D258" s="87" t="str">
        <f t="shared" si="74"/>
        <v/>
      </c>
      <c r="E258" s="157" t="str">
        <f t="shared" si="60"/>
        <v/>
      </c>
      <c r="F258" s="156" t="str">
        <f t="shared" si="61"/>
        <v/>
      </c>
      <c r="G258" s="78" t="str">
        <f t="shared" si="62"/>
        <v/>
      </c>
      <c r="H258" s="44" t="str">
        <f t="shared" si="58"/>
        <v/>
      </c>
      <c r="I258" s="44" t="str">
        <f t="shared" si="63"/>
        <v/>
      </c>
      <c r="J258" s="44" t="str">
        <f t="shared" si="64"/>
        <v/>
      </c>
      <c r="K258" s="46" t="str">
        <f t="shared" si="59"/>
        <v/>
      </c>
      <c r="L258" s="46" t="str">
        <f t="shared" si="65"/>
        <v/>
      </c>
      <c r="M258" s="26" t="str">
        <f t="shared" si="66"/>
        <v/>
      </c>
      <c r="N258" s="2" t="str">
        <f t="shared" si="67"/>
        <v/>
      </c>
      <c r="P258" s="2" t="str">
        <f t="shared" si="68"/>
        <v/>
      </c>
      <c r="Q258" s="2" t="str">
        <f t="shared" si="69"/>
        <v/>
      </c>
      <c r="R258" s="2" t="str">
        <f t="shared" si="70"/>
        <v/>
      </c>
      <c r="S258" s="2" t="str">
        <f t="shared" si="71"/>
        <v/>
      </c>
      <c r="T258" s="2" t="str">
        <f t="shared" si="72"/>
        <v/>
      </c>
    </row>
    <row r="259" spans="2:20" ht="11.45" customHeight="1" x14ac:dyDescent="0.25">
      <c r="B259" s="86" t="str">
        <f t="shared" si="73"/>
        <v/>
      </c>
      <c r="C259" s="88"/>
      <c r="D259" s="87" t="str">
        <f t="shared" si="74"/>
        <v/>
      </c>
      <c r="E259" s="157" t="str">
        <f t="shared" si="60"/>
        <v/>
      </c>
      <c r="F259" s="156" t="str">
        <f t="shared" si="61"/>
        <v/>
      </c>
      <c r="G259" s="78" t="str">
        <f t="shared" si="62"/>
        <v/>
      </c>
      <c r="H259" s="44" t="str">
        <f t="shared" si="58"/>
        <v/>
      </c>
      <c r="I259" s="44" t="str">
        <f t="shared" si="63"/>
        <v/>
      </c>
      <c r="J259" s="44" t="str">
        <f t="shared" si="64"/>
        <v/>
      </c>
      <c r="K259" s="46" t="str">
        <f t="shared" si="59"/>
        <v/>
      </c>
      <c r="L259" s="46" t="str">
        <f t="shared" si="65"/>
        <v/>
      </c>
      <c r="M259" s="26" t="str">
        <f t="shared" si="66"/>
        <v/>
      </c>
      <c r="N259" s="2" t="str">
        <f t="shared" si="67"/>
        <v/>
      </c>
      <c r="P259" s="2" t="str">
        <f t="shared" si="68"/>
        <v/>
      </c>
      <c r="Q259" s="2" t="str">
        <f t="shared" si="69"/>
        <v/>
      </c>
      <c r="R259" s="2" t="str">
        <f t="shared" si="70"/>
        <v/>
      </c>
      <c r="S259" s="2" t="str">
        <f t="shared" si="71"/>
        <v/>
      </c>
      <c r="T259" s="2" t="str">
        <f t="shared" si="72"/>
        <v/>
      </c>
    </row>
    <row r="260" spans="2:20" ht="11.45" customHeight="1" x14ac:dyDescent="0.25">
      <c r="B260" s="86" t="str">
        <f t="shared" si="73"/>
        <v/>
      </c>
      <c r="C260" s="88"/>
      <c r="D260" s="87" t="str">
        <f t="shared" si="74"/>
        <v/>
      </c>
      <c r="E260" s="157" t="str">
        <f t="shared" si="60"/>
        <v/>
      </c>
      <c r="F260" s="156" t="str">
        <f t="shared" si="61"/>
        <v/>
      </c>
      <c r="G260" s="78" t="str">
        <f t="shared" si="62"/>
        <v/>
      </c>
      <c r="H260" s="44" t="str">
        <f t="shared" si="58"/>
        <v/>
      </c>
      <c r="I260" s="44" t="str">
        <f t="shared" si="63"/>
        <v/>
      </c>
      <c r="J260" s="44" t="str">
        <f t="shared" si="64"/>
        <v/>
      </c>
      <c r="K260" s="46" t="str">
        <f t="shared" si="59"/>
        <v/>
      </c>
      <c r="L260" s="46" t="str">
        <f t="shared" si="65"/>
        <v/>
      </c>
      <c r="M260" s="26" t="str">
        <f t="shared" si="66"/>
        <v/>
      </c>
      <c r="N260" s="2" t="str">
        <f t="shared" si="67"/>
        <v/>
      </c>
      <c r="P260" s="2" t="str">
        <f t="shared" si="68"/>
        <v/>
      </c>
      <c r="Q260" s="2" t="str">
        <f t="shared" si="69"/>
        <v/>
      </c>
      <c r="R260" s="2" t="str">
        <f t="shared" si="70"/>
        <v/>
      </c>
      <c r="S260" s="2" t="str">
        <f t="shared" si="71"/>
        <v/>
      </c>
      <c r="T260" s="2" t="str">
        <f t="shared" si="72"/>
        <v/>
      </c>
    </row>
    <row r="261" spans="2:20" ht="11.45" customHeight="1" x14ac:dyDescent="0.25">
      <c r="B261" s="86" t="str">
        <f t="shared" si="73"/>
        <v/>
      </c>
      <c r="C261" s="88"/>
      <c r="D261" s="87" t="str">
        <f t="shared" si="74"/>
        <v/>
      </c>
      <c r="E261" s="157" t="str">
        <f t="shared" si="60"/>
        <v/>
      </c>
      <c r="F261" s="156" t="str">
        <f t="shared" si="61"/>
        <v/>
      </c>
      <c r="G261" s="78" t="str">
        <f t="shared" si="62"/>
        <v/>
      </c>
      <c r="H261" s="44" t="str">
        <f t="shared" si="58"/>
        <v/>
      </c>
      <c r="I261" s="44" t="str">
        <f t="shared" si="63"/>
        <v/>
      </c>
      <c r="J261" s="44" t="str">
        <f t="shared" si="64"/>
        <v/>
      </c>
      <c r="K261" s="46" t="str">
        <f t="shared" si="59"/>
        <v/>
      </c>
      <c r="L261" s="46" t="str">
        <f t="shared" si="65"/>
        <v/>
      </c>
      <c r="M261" s="26" t="str">
        <f t="shared" si="66"/>
        <v/>
      </c>
      <c r="N261" s="2" t="str">
        <f t="shared" si="67"/>
        <v/>
      </c>
      <c r="P261" s="2" t="str">
        <f t="shared" si="68"/>
        <v/>
      </c>
      <c r="Q261" s="2" t="str">
        <f t="shared" si="69"/>
        <v/>
      </c>
      <c r="R261" s="2" t="str">
        <f t="shared" si="70"/>
        <v/>
      </c>
      <c r="S261" s="2" t="str">
        <f t="shared" si="71"/>
        <v/>
      </c>
      <c r="T261" s="2" t="str">
        <f t="shared" si="72"/>
        <v/>
      </c>
    </row>
    <row r="262" spans="2:20" ht="11.45" customHeight="1" x14ac:dyDescent="0.25">
      <c r="B262" s="86" t="str">
        <f t="shared" si="73"/>
        <v/>
      </c>
      <c r="C262" s="88"/>
      <c r="D262" s="87" t="str">
        <f t="shared" si="74"/>
        <v/>
      </c>
      <c r="E262" s="157" t="str">
        <f t="shared" si="60"/>
        <v/>
      </c>
      <c r="F262" s="156" t="str">
        <f t="shared" si="61"/>
        <v/>
      </c>
      <c r="G262" s="78" t="str">
        <f t="shared" si="62"/>
        <v/>
      </c>
      <c r="H262" s="44" t="str">
        <f t="shared" si="58"/>
        <v/>
      </c>
      <c r="I262" s="44" t="str">
        <f t="shared" si="63"/>
        <v/>
      </c>
      <c r="J262" s="44" t="str">
        <f t="shared" si="64"/>
        <v/>
      </c>
      <c r="K262" s="46" t="str">
        <f t="shared" si="59"/>
        <v/>
      </c>
      <c r="L262" s="46" t="str">
        <f t="shared" si="65"/>
        <v/>
      </c>
      <c r="M262" s="26" t="str">
        <f t="shared" si="66"/>
        <v/>
      </c>
      <c r="N262" s="2" t="str">
        <f t="shared" si="67"/>
        <v/>
      </c>
      <c r="P262" s="2" t="str">
        <f t="shared" si="68"/>
        <v/>
      </c>
      <c r="Q262" s="2" t="str">
        <f t="shared" si="69"/>
        <v/>
      </c>
      <c r="R262" s="2" t="str">
        <f t="shared" si="70"/>
        <v/>
      </c>
      <c r="S262" s="2" t="str">
        <f t="shared" si="71"/>
        <v/>
      </c>
      <c r="T262" s="2" t="str">
        <f t="shared" si="72"/>
        <v/>
      </c>
    </row>
    <row r="263" spans="2:20" ht="11.45" customHeight="1" x14ac:dyDescent="0.25">
      <c r="B263" s="86" t="str">
        <f t="shared" si="73"/>
        <v/>
      </c>
      <c r="C263" s="88"/>
      <c r="D263" s="87" t="str">
        <f t="shared" si="74"/>
        <v/>
      </c>
      <c r="E263" s="157" t="str">
        <f t="shared" si="60"/>
        <v/>
      </c>
      <c r="F263" s="156" t="str">
        <f t="shared" si="61"/>
        <v/>
      </c>
      <c r="G263" s="78" t="str">
        <f t="shared" si="62"/>
        <v/>
      </c>
      <c r="H263" s="44" t="str">
        <f t="shared" si="58"/>
        <v/>
      </c>
      <c r="I263" s="44" t="str">
        <f t="shared" si="63"/>
        <v/>
      </c>
      <c r="J263" s="44" t="str">
        <f t="shared" si="64"/>
        <v/>
      </c>
      <c r="K263" s="46" t="str">
        <f t="shared" si="59"/>
        <v/>
      </c>
      <c r="L263" s="46" t="str">
        <f t="shared" si="65"/>
        <v/>
      </c>
      <c r="M263" s="26" t="str">
        <f t="shared" si="66"/>
        <v/>
      </c>
      <c r="N263" s="2" t="str">
        <f t="shared" si="67"/>
        <v/>
      </c>
      <c r="P263" s="2" t="str">
        <f t="shared" si="68"/>
        <v/>
      </c>
      <c r="Q263" s="2" t="str">
        <f t="shared" si="69"/>
        <v/>
      </c>
      <c r="R263" s="2" t="str">
        <f t="shared" si="70"/>
        <v/>
      </c>
      <c r="S263" s="2" t="str">
        <f t="shared" si="71"/>
        <v/>
      </c>
      <c r="T263" s="2" t="str">
        <f t="shared" si="72"/>
        <v/>
      </c>
    </row>
    <row r="264" spans="2:20" ht="11.45" customHeight="1" x14ac:dyDescent="0.25">
      <c r="B264" s="86" t="str">
        <f t="shared" si="73"/>
        <v/>
      </c>
      <c r="C264" s="88"/>
      <c r="D264" s="87" t="str">
        <f t="shared" si="74"/>
        <v/>
      </c>
      <c r="E264" s="157" t="str">
        <f t="shared" si="60"/>
        <v/>
      </c>
      <c r="F264" s="156" t="str">
        <f t="shared" si="61"/>
        <v/>
      </c>
      <c r="G264" s="78" t="str">
        <f t="shared" si="62"/>
        <v/>
      </c>
      <c r="H264" s="44" t="str">
        <f t="shared" si="58"/>
        <v/>
      </c>
      <c r="I264" s="44" t="str">
        <f t="shared" si="63"/>
        <v/>
      </c>
      <c r="J264" s="44" t="str">
        <f t="shared" si="64"/>
        <v/>
      </c>
      <c r="K264" s="46" t="str">
        <f t="shared" si="59"/>
        <v/>
      </c>
      <c r="L264" s="46" t="str">
        <f t="shared" si="65"/>
        <v/>
      </c>
      <c r="M264" s="26" t="str">
        <f t="shared" si="66"/>
        <v/>
      </c>
      <c r="N264" s="2" t="str">
        <f t="shared" si="67"/>
        <v/>
      </c>
      <c r="P264" s="2" t="str">
        <f t="shared" si="68"/>
        <v/>
      </c>
      <c r="Q264" s="2" t="str">
        <f t="shared" si="69"/>
        <v/>
      </c>
      <c r="R264" s="2" t="str">
        <f t="shared" si="70"/>
        <v/>
      </c>
      <c r="S264" s="2" t="str">
        <f t="shared" si="71"/>
        <v/>
      </c>
      <c r="T264" s="2" t="str">
        <f t="shared" si="72"/>
        <v/>
      </c>
    </row>
    <row r="265" spans="2:20" ht="11.45" customHeight="1" x14ac:dyDescent="0.25">
      <c r="B265" s="86" t="str">
        <f t="shared" si="73"/>
        <v/>
      </c>
      <c r="C265" s="88"/>
      <c r="D265" s="87" t="str">
        <f t="shared" si="74"/>
        <v/>
      </c>
      <c r="E265" s="157" t="str">
        <f t="shared" si="60"/>
        <v/>
      </c>
      <c r="F265" s="156" t="str">
        <f t="shared" si="61"/>
        <v/>
      </c>
      <c r="G265" s="78" t="str">
        <f t="shared" si="62"/>
        <v/>
      </c>
      <c r="H265" s="44" t="str">
        <f t="shared" si="58"/>
        <v/>
      </c>
      <c r="I265" s="44" t="str">
        <f t="shared" si="63"/>
        <v/>
      </c>
      <c r="J265" s="44" t="str">
        <f t="shared" si="64"/>
        <v/>
      </c>
      <c r="K265" s="46" t="str">
        <f t="shared" si="59"/>
        <v/>
      </c>
      <c r="L265" s="46" t="str">
        <f t="shared" si="65"/>
        <v/>
      </c>
      <c r="M265" s="26" t="str">
        <f t="shared" si="66"/>
        <v/>
      </c>
      <c r="N265" s="2" t="str">
        <f t="shared" si="67"/>
        <v/>
      </c>
      <c r="P265" s="2" t="str">
        <f t="shared" si="68"/>
        <v/>
      </c>
      <c r="Q265" s="2" t="str">
        <f t="shared" si="69"/>
        <v/>
      </c>
      <c r="R265" s="2" t="str">
        <f t="shared" si="70"/>
        <v/>
      </c>
      <c r="S265" s="2" t="str">
        <f t="shared" si="71"/>
        <v/>
      </c>
      <c r="T265" s="2" t="str">
        <f t="shared" si="72"/>
        <v/>
      </c>
    </row>
    <row r="266" spans="2:20" ht="11.45" customHeight="1" x14ac:dyDescent="0.25">
      <c r="B266" s="86" t="str">
        <f t="shared" si="73"/>
        <v/>
      </c>
      <c r="C266" s="88"/>
      <c r="D266" s="87" t="str">
        <f t="shared" si="74"/>
        <v/>
      </c>
      <c r="E266" s="157" t="str">
        <f t="shared" si="60"/>
        <v/>
      </c>
      <c r="F266" s="156" t="str">
        <f t="shared" si="61"/>
        <v/>
      </c>
      <c r="G266" s="78" t="str">
        <f t="shared" si="62"/>
        <v/>
      </c>
      <c r="H266" s="44" t="str">
        <f t="shared" si="58"/>
        <v/>
      </c>
      <c r="I266" s="44" t="str">
        <f t="shared" si="63"/>
        <v/>
      </c>
      <c r="J266" s="44" t="str">
        <f t="shared" si="64"/>
        <v/>
      </c>
      <c r="K266" s="46" t="str">
        <f t="shared" si="59"/>
        <v/>
      </c>
      <c r="L266" s="46" t="str">
        <f t="shared" si="65"/>
        <v/>
      </c>
      <c r="M266" s="26" t="str">
        <f t="shared" si="66"/>
        <v/>
      </c>
      <c r="N266" s="2" t="str">
        <f t="shared" si="67"/>
        <v/>
      </c>
      <c r="P266" s="2" t="str">
        <f t="shared" si="68"/>
        <v/>
      </c>
      <c r="Q266" s="2" t="str">
        <f t="shared" si="69"/>
        <v/>
      </c>
      <c r="R266" s="2" t="str">
        <f t="shared" si="70"/>
        <v/>
      </c>
      <c r="S266" s="2" t="str">
        <f t="shared" si="71"/>
        <v/>
      </c>
      <c r="T266" s="2" t="str">
        <f t="shared" si="72"/>
        <v/>
      </c>
    </row>
    <row r="267" spans="2:20" ht="11.45" customHeight="1" x14ac:dyDescent="0.25">
      <c r="B267" s="86" t="str">
        <f t="shared" si="73"/>
        <v/>
      </c>
      <c r="C267" s="88"/>
      <c r="D267" s="87" t="str">
        <f t="shared" si="74"/>
        <v/>
      </c>
      <c r="E267" s="157" t="str">
        <f t="shared" si="60"/>
        <v/>
      </c>
      <c r="F267" s="156" t="str">
        <f t="shared" si="61"/>
        <v/>
      </c>
      <c r="G267" s="78" t="str">
        <f t="shared" si="62"/>
        <v/>
      </c>
      <c r="H267" s="44" t="str">
        <f t="shared" si="58"/>
        <v/>
      </c>
      <c r="I267" s="44" t="str">
        <f t="shared" si="63"/>
        <v/>
      </c>
      <c r="J267" s="44" t="str">
        <f t="shared" si="64"/>
        <v/>
      </c>
      <c r="K267" s="46" t="str">
        <f t="shared" si="59"/>
        <v/>
      </c>
      <c r="L267" s="46" t="str">
        <f t="shared" si="65"/>
        <v/>
      </c>
      <c r="M267" s="26" t="str">
        <f t="shared" si="66"/>
        <v/>
      </c>
      <c r="N267" s="2" t="str">
        <f t="shared" si="67"/>
        <v/>
      </c>
      <c r="P267" s="2" t="str">
        <f t="shared" si="68"/>
        <v/>
      </c>
      <c r="Q267" s="2" t="str">
        <f t="shared" si="69"/>
        <v/>
      </c>
      <c r="R267" s="2" t="str">
        <f t="shared" si="70"/>
        <v/>
      </c>
      <c r="S267" s="2" t="str">
        <f t="shared" si="71"/>
        <v/>
      </c>
      <c r="T267" s="2" t="str">
        <f t="shared" si="72"/>
        <v/>
      </c>
    </row>
    <row r="268" spans="2:20" ht="11.45" customHeight="1" x14ac:dyDescent="0.25">
      <c r="B268" s="86" t="str">
        <f t="shared" si="73"/>
        <v/>
      </c>
      <c r="C268" s="88"/>
      <c r="D268" s="87" t="str">
        <f t="shared" si="74"/>
        <v/>
      </c>
      <c r="E268" s="157" t="str">
        <f t="shared" si="60"/>
        <v/>
      </c>
      <c r="F268" s="156" t="str">
        <f t="shared" si="61"/>
        <v/>
      </c>
      <c r="G268" s="78" t="str">
        <f t="shared" si="62"/>
        <v/>
      </c>
      <c r="H268" s="44" t="str">
        <f t="shared" si="58"/>
        <v/>
      </c>
      <c r="I268" s="44" t="str">
        <f t="shared" si="63"/>
        <v/>
      </c>
      <c r="J268" s="44" t="str">
        <f t="shared" si="64"/>
        <v/>
      </c>
      <c r="K268" s="46" t="str">
        <f t="shared" si="59"/>
        <v/>
      </c>
      <c r="L268" s="46" t="str">
        <f t="shared" si="65"/>
        <v/>
      </c>
      <c r="M268" s="26" t="str">
        <f t="shared" si="66"/>
        <v/>
      </c>
      <c r="N268" s="2" t="str">
        <f t="shared" si="67"/>
        <v/>
      </c>
      <c r="P268" s="2" t="str">
        <f t="shared" si="68"/>
        <v/>
      </c>
      <c r="Q268" s="2" t="str">
        <f t="shared" si="69"/>
        <v/>
      </c>
      <c r="R268" s="2" t="str">
        <f t="shared" si="70"/>
        <v/>
      </c>
      <c r="S268" s="2" t="str">
        <f t="shared" si="71"/>
        <v/>
      </c>
      <c r="T268" s="2" t="str">
        <f t="shared" si="72"/>
        <v/>
      </c>
    </row>
    <row r="269" spans="2:20" ht="11.45" customHeight="1" x14ac:dyDescent="0.25">
      <c r="B269" s="86" t="str">
        <f t="shared" si="73"/>
        <v/>
      </c>
      <c r="C269" s="88"/>
      <c r="D269" s="87" t="str">
        <f t="shared" si="74"/>
        <v/>
      </c>
      <c r="E269" s="157" t="str">
        <f t="shared" si="60"/>
        <v/>
      </c>
      <c r="F269" s="156" t="str">
        <f t="shared" si="61"/>
        <v/>
      </c>
      <c r="G269" s="78" t="str">
        <f t="shared" si="62"/>
        <v/>
      </c>
      <c r="H269" s="44" t="str">
        <f t="shared" si="58"/>
        <v/>
      </c>
      <c r="I269" s="44" t="str">
        <f t="shared" si="63"/>
        <v/>
      </c>
      <c r="J269" s="44" t="str">
        <f t="shared" si="64"/>
        <v/>
      </c>
      <c r="K269" s="46" t="str">
        <f t="shared" si="59"/>
        <v/>
      </c>
      <c r="L269" s="46" t="str">
        <f t="shared" si="65"/>
        <v/>
      </c>
      <c r="M269" s="26" t="str">
        <f t="shared" si="66"/>
        <v/>
      </c>
      <c r="N269" s="2" t="str">
        <f t="shared" si="67"/>
        <v/>
      </c>
      <c r="P269" s="2" t="str">
        <f t="shared" si="68"/>
        <v/>
      </c>
      <c r="Q269" s="2" t="str">
        <f t="shared" si="69"/>
        <v/>
      </c>
      <c r="R269" s="2" t="str">
        <f t="shared" si="70"/>
        <v/>
      </c>
      <c r="S269" s="2" t="str">
        <f t="shared" si="71"/>
        <v/>
      </c>
      <c r="T269" s="2" t="str">
        <f t="shared" si="72"/>
        <v/>
      </c>
    </row>
    <row r="270" spans="2:20" ht="11.45" customHeight="1" x14ac:dyDescent="0.25">
      <c r="B270" s="86" t="str">
        <f t="shared" si="73"/>
        <v/>
      </c>
      <c r="C270" s="88"/>
      <c r="D270" s="87" t="str">
        <f t="shared" si="74"/>
        <v/>
      </c>
      <c r="E270" s="157" t="str">
        <f t="shared" si="60"/>
        <v/>
      </c>
      <c r="F270" s="156" t="str">
        <f t="shared" si="61"/>
        <v/>
      </c>
      <c r="G270" s="78" t="str">
        <f t="shared" si="62"/>
        <v/>
      </c>
      <c r="H270" s="44" t="str">
        <f t="shared" si="58"/>
        <v/>
      </c>
      <c r="I270" s="44" t="str">
        <f t="shared" si="63"/>
        <v/>
      </c>
      <c r="J270" s="44" t="str">
        <f t="shared" si="64"/>
        <v/>
      </c>
      <c r="K270" s="46" t="str">
        <f t="shared" si="59"/>
        <v/>
      </c>
      <c r="L270" s="46" t="str">
        <f t="shared" si="65"/>
        <v/>
      </c>
      <c r="M270" s="26" t="str">
        <f t="shared" si="66"/>
        <v/>
      </c>
      <c r="N270" s="2" t="str">
        <f t="shared" si="67"/>
        <v/>
      </c>
      <c r="P270" s="2" t="str">
        <f t="shared" si="68"/>
        <v/>
      </c>
      <c r="Q270" s="2" t="str">
        <f t="shared" si="69"/>
        <v/>
      </c>
      <c r="R270" s="2" t="str">
        <f t="shared" si="70"/>
        <v/>
      </c>
      <c r="S270" s="2" t="str">
        <f t="shared" si="71"/>
        <v/>
      </c>
      <c r="T270" s="2" t="str">
        <f t="shared" si="72"/>
        <v/>
      </c>
    </row>
    <row r="271" spans="2:20" ht="11.45" customHeight="1" x14ac:dyDescent="0.25">
      <c r="B271" s="86" t="str">
        <f t="shared" si="73"/>
        <v/>
      </c>
      <c r="C271" s="88"/>
      <c r="D271" s="87" t="str">
        <f t="shared" si="74"/>
        <v/>
      </c>
      <c r="E271" s="157" t="str">
        <f t="shared" si="60"/>
        <v/>
      </c>
      <c r="F271" s="156" t="str">
        <f t="shared" si="61"/>
        <v/>
      </c>
      <c r="G271" s="78" t="str">
        <f t="shared" si="62"/>
        <v/>
      </c>
      <c r="H271" s="44" t="str">
        <f t="shared" si="58"/>
        <v/>
      </c>
      <c r="I271" s="44" t="str">
        <f t="shared" si="63"/>
        <v/>
      </c>
      <c r="J271" s="44" t="str">
        <f t="shared" si="64"/>
        <v/>
      </c>
      <c r="K271" s="46" t="str">
        <f t="shared" si="59"/>
        <v/>
      </c>
      <c r="L271" s="46" t="str">
        <f t="shared" si="65"/>
        <v/>
      </c>
      <c r="M271" s="26" t="str">
        <f t="shared" si="66"/>
        <v/>
      </c>
      <c r="N271" s="2" t="str">
        <f t="shared" si="67"/>
        <v/>
      </c>
      <c r="P271" s="2" t="str">
        <f t="shared" si="68"/>
        <v/>
      </c>
      <c r="Q271" s="2" t="str">
        <f t="shared" si="69"/>
        <v/>
      </c>
      <c r="R271" s="2" t="str">
        <f t="shared" si="70"/>
        <v/>
      </c>
      <c r="S271" s="2" t="str">
        <f t="shared" si="71"/>
        <v/>
      </c>
      <c r="T271" s="2" t="str">
        <f t="shared" si="72"/>
        <v/>
      </c>
    </row>
    <row r="272" spans="2:20" ht="11.45" customHeight="1" x14ac:dyDescent="0.25">
      <c r="B272" s="86" t="str">
        <f t="shared" si="73"/>
        <v/>
      </c>
      <c r="C272" s="88"/>
      <c r="D272" s="87" t="str">
        <f t="shared" si="74"/>
        <v/>
      </c>
      <c r="E272" s="157" t="str">
        <f t="shared" si="60"/>
        <v/>
      </c>
      <c r="F272" s="156" t="str">
        <f t="shared" si="61"/>
        <v/>
      </c>
      <c r="G272" s="78" t="str">
        <f t="shared" si="62"/>
        <v/>
      </c>
      <c r="H272" s="44" t="str">
        <f t="shared" si="58"/>
        <v/>
      </c>
      <c r="I272" s="44" t="str">
        <f t="shared" si="63"/>
        <v/>
      </c>
      <c r="J272" s="44" t="str">
        <f t="shared" si="64"/>
        <v/>
      </c>
      <c r="K272" s="46" t="str">
        <f t="shared" si="59"/>
        <v/>
      </c>
      <c r="L272" s="46" t="str">
        <f t="shared" si="65"/>
        <v/>
      </c>
      <c r="M272" s="26" t="str">
        <f t="shared" si="66"/>
        <v/>
      </c>
      <c r="N272" s="2" t="str">
        <f t="shared" si="67"/>
        <v/>
      </c>
      <c r="P272" s="2" t="str">
        <f t="shared" si="68"/>
        <v/>
      </c>
      <c r="Q272" s="2" t="str">
        <f t="shared" si="69"/>
        <v/>
      </c>
      <c r="R272" s="2" t="str">
        <f t="shared" si="70"/>
        <v/>
      </c>
      <c r="S272" s="2" t="str">
        <f t="shared" si="71"/>
        <v/>
      </c>
      <c r="T272" s="2" t="str">
        <f t="shared" si="72"/>
        <v/>
      </c>
    </row>
    <row r="273" spans="2:20" ht="11.45" customHeight="1" x14ac:dyDescent="0.25">
      <c r="B273" s="86" t="str">
        <f t="shared" si="73"/>
        <v/>
      </c>
      <c r="C273" s="88"/>
      <c r="D273" s="87" t="str">
        <f t="shared" si="74"/>
        <v/>
      </c>
      <c r="E273" s="157" t="str">
        <f t="shared" si="60"/>
        <v/>
      </c>
      <c r="F273" s="156" t="str">
        <f t="shared" si="61"/>
        <v/>
      </c>
      <c r="G273" s="78" t="str">
        <f t="shared" si="62"/>
        <v/>
      </c>
      <c r="H273" s="44" t="str">
        <f t="shared" si="58"/>
        <v/>
      </c>
      <c r="I273" s="44" t="str">
        <f t="shared" si="63"/>
        <v/>
      </c>
      <c r="J273" s="44" t="str">
        <f t="shared" si="64"/>
        <v/>
      </c>
      <c r="K273" s="46" t="str">
        <f t="shared" si="59"/>
        <v/>
      </c>
      <c r="L273" s="46" t="str">
        <f t="shared" si="65"/>
        <v/>
      </c>
      <c r="M273" s="26" t="str">
        <f t="shared" si="66"/>
        <v/>
      </c>
      <c r="N273" s="2" t="str">
        <f t="shared" si="67"/>
        <v/>
      </c>
      <c r="P273" s="2" t="str">
        <f t="shared" si="68"/>
        <v/>
      </c>
      <c r="Q273" s="2" t="str">
        <f t="shared" si="69"/>
        <v/>
      </c>
      <c r="R273" s="2" t="str">
        <f t="shared" si="70"/>
        <v/>
      </c>
      <c r="S273" s="2" t="str">
        <f t="shared" si="71"/>
        <v/>
      </c>
      <c r="T273" s="2" t="str">
        <f t="shared" si="72"/>
        <v/>
      </c>
    </row>
    <row r="274" spans="2:20" ht="11.45" customHeight="1" x14ac:dyDescent="0.25">
      <c r="B274" s="86" t="str">
        <f t="shared" si="73"/>
        <v/>
      </c>
      <c r="C274" s="88"/>
      <c r="D274" s="87" t="str">
        <f t="shared" si="74"/>
        <v/>
      </c>
      <c r="E274" s="157" t="str">
        <f t="shared" si="60"/>
        <v/>
      </c>
      <c r="F274" s="156" t="str">
        <f t="shared" si="61"/>
        <v/>
      </c>
      <c r="G274" s="78" t="str">
        <f t="shared" si="62"/>
        <v/>
      </c>
      <c r="H274" s="44" t="str">
        <f t="shared" si="58"/>
        <v/>
      </c>
      <c r="I274" s="44" t="str">
        <f t="shared" si="63"/>
        <v/>
      </c>
      <c r="J274" s="44" t="str">
        <f t="shared" si="64"/>
        <v/>
      </c>
      <c r="K274" s="46" t="str">
        <f t="shared" si="59"/>
        <v/>
      </c>
      <c r="L274" s="46" t="str">
        <f t="shared" si="65"/>
        <v/>
      </c>
      <c r="M274" s="26" t="str">
        <f t="shared" si="66"/>
        <v/>
      </c>
      <c r="N274" s="2" t="str">
        <f t="shared" si="67"/>
        <v/>
      </c>
      <c r="P274" s="2" t="str">
        <f t="shared" si="68"/>
        <v/>
      </c>
      <c r="Q274" s="2" t="str">
        <f t="shared" si="69"/>
        <v/>
      </c>
      <c r="R274" s="2" t="str">
        <f t="shared" si="70"/>
        <v/>
      </c>
      <c r="S274" s="2" t="str">
        <f t="shared" si="71"/>
        <v/>
      </c>
      <c r="T274" s="2" t="str">
        <f t="shared" si="72"/>
        <v/>
      </c>
    </row>
    <row r="275" spans="2:20" ht="11.45" customHeight="1" x14ac:dyDescent="0.25">
      <c r="B275" s="86" t="str">
        <f t="shared" si="73"/>
        <v/>
      </c>
      <c r="C275" s="88"/>
      <c r="D275" s="87" t="str">
        <f t="shared" si="74"/>
        <v/>
      </c>
      <c r="E275" s="157" t="str">
        <f t="shared" si="60"/>
        <v/>
      </c>
      <c r="F275" s="156" t="str">
        <f t="shared" si="61"/>
        <v/>
      </c>
      <c r="G275" s="78" t="str">
        <f t="shared" si="62"/>
        <v/>
      </c>
      <c r="H275" s="44" t="str">
        <f t="shared" si="58"/>
        <v/>
      </c>
      <c r="I275" s="44" t="str">
        <f t="shared" si="63"/>
        <v/>
      </c>
      <c r="J275" s="44" t="str">
        <f t="shared" si="64"/>
        <v/>
      </c>
      <c r="K275" s="46" t="str">
        <f t="shared" si="59"/>
        <v/>
      </c>
      <c r="L275" s="46" t="str">
        <f t="shared" si="65"/>
        <v/>
      </c>
      <c r="M275" s="26" t="str">
        <f t="shared" si="66"/>
        <v/>
      </c>
      <c r="N275" s="2" t="str">
        <f t="shared" si="67"/>
        <v/>
      </c>
      <c r="P275" s="2" t="str">
        <f t="shared" si="68"/>
        <v/>
      </c>
      <c r="Q275" s="2" t="str">
        <f t="shared" si="69"/>
        <v/>
      </c>
      <c r="R275" s="2" t="str">
        <f t="shared" si="70"/>
        <v/>
      </c>
      <c r="S275" s="2" t="str">
        <f t="shared" si="71"/>
        <v/>
      </c>
      <c r="T275" s="2" t="str">
        <f t="shared" si="72"/>
        <v/>
      </c>
    </row>
    <row r="276" spans="2:20" ht="11.45" customHeight="1" x14ac:dyDescent="0.25">
      <c r="B276" s="86" t="str">
        <f t="shared" si="73"/>
        <v/>
      </c>
      <c r="C276" s="88"/>
      <c r="D276" s="87" t="str">
        <f t="shared" si="74"/>
        <v/>
      </c>
      <c r="E276" s="157" t="str">
        <f t="shared" si="60"/>
        <v/>
      </c>
      <c r="F276" s="156" t="str">
        <f t="shared" si="61"/>
        <v/>
      </c>
      <c r="G276" s="78" t="str">
        <f t="shared" si="62"/>
        <v/>
      </c>
      <c r="H276" s="44" t="str">
        <f t="shared" si="58"/>
        <v/>
      </c>
      <c r="I276" s="44" t="str">
        <f t="shared" si="63"/>
        <v/>
      </c>
      <c r="J276" s="44" t="str">
        <f t="shared" si="64"/>
        <v/>
      </c>
      <c r="K276" s="46" t="str">
        <f t="shared" si="59"/>
        <v/>
      </c>
      <c r="L276" s="46" t="str">
        <f t="shared" si="65"/>
        <v/>
      </c>
      <c r="M276" s="26" t="str">
        <f t="shared" si="66"/>
        <v/>
      </c>
      <c r="N276" s="2" t="str">
        <f t="shared" si="67"/>
        <v/>
      </c>
      <c r="P276" s="2" t="str">
        <f t="shared" si="68"/>
        <v/>
      </c>
      <c r="Q276" s="2" t="str">
        <f t="shared" si="69"/>
        <v/>
      </c>
      <c r="R276" s="2" t="str">
        <f t="shared" si="70"/>
        <v/>
      </c>
      <c r="S276" s="2" t="str">
        <f t="shared" si="71"/>
        <v/>
      </c>
      <c r="T276" s="2" t="str">
        <f t="shared" si="72"/>
        <v/>
      </c>
    </row>
    <row r="277" spans="2:20" ht="11.45" customHeight="1" x14ac:dyDescent="0.25">
      <c r="B277" s="86" t="str">
        <f t="shared" si="73"/>
        <v/>
      </c>
      <c r="C277" s="88"/>
      <c r="D277" s="87" t="str">
        <f t="shared" si="74"/>
        <v/>
      </c>
      <c r="E277" s="157" t="str">
        <f t="shared" si="60"/>
        <v/>
      </c>
      <c r="F277" s="156" t="str">
        <f t="shared" si="61"/>
        <v/>
      </c>
      <c r="G277" s="78" t="str">
        <f t="shared" si="62"/>
        <v/>
      </c>
      <c r="H277" s="44" t="str">
        <f t="shared" si="58"/>
        <v/>
      </c>
      <c r="I277" s="44" t="str">
        <f t="shared" si="63"/>
        <v/>
      </c>
      <c r="J277" s="44" t="str">
        <f t="shared" si="64"/>
        <v/>
      </c>
      <c r="K277" s="46" t="str">
        <f t="shared" si="59"/>
        <v/>
      </c>
      <c r="L277" s="46" t="str">
        <f t="shared" si="65"/>
        <v/>
      </c>
      <c r="M277" s="26" t="str">
        <f t="shared" si="66"/>
        <v/>
      </c>
      <c r="N277" s="2" t="str">
        <f t="shared" si="67"/>
        <v/>
      </c>
      <c r="P277" s="2" t="str">
        <f t="shared" si="68"/>
        <v/>
      </c>
      <c r="Q277" s="2" t="str">
        <f t="shared" si="69"/>
        <v/>
      </c>
      <c r="R277" s="2" t="str">
        <f t="shared" si="70"/>
        <v/>
      </c>
      <c r="S277" s="2" t="str">
        <f t="shared" si="71"/>
        <v/>
      </c>
      <c r="T277" s="2" t="str">
        <f t="shared" si="72"/>
        <v/>
      </c>
    </row>
    <row r="278" spans="2:20" ht="11.45" customHeight="1" x14ac:dyDescent="0.25">
      <c r="B278" s="86" t="str">
        <f t="shared" si="73"/>
        <v/>
      </c>
      <c r="C278" s="88"/>
      <c r="D278" s="87" t="str">
        <f t="shared" si="74"/>
        <v/>
      </c>
      <c r="E278" s="157" t="str">
        <f t="shared" si="60"/>
        <v/>
      </c>
      <c r="F278" s="156" t="str">
        <f t="shared" si="61"/>
        <v/>
      </c>
      <c r="G278" s="78" t="str">
        <f t="shared" si="62"/>
        <v/>
      </c>
      <c r="H278" s="44" t="str">
        <f t="shared" si="58"/>
        <v/>
      </c>
      <c r="I278" s="44" t="str">
        <f t="shared" si="63"/>
        <v/>
      </c>
      <c r="J278" s="44" t="str">
        <f t="shared" si="64"/>
        <v/>
      </c>
      <c r="K278" s="46" t="str">
        <f t="shared" si="59"/>
        <v/>
      </c>
      <c r="L278" s="46" t="str">
        <f t="shared" si="65"/>
        <v/>
      </c>
      <c r="M278" s="26" t="str">
        <f t="shared" si="66"/>
        <v/>
      </c>
      <c r="N278" s="2" t="str">
        <f t="shared" si="67"/>
        <v/>
      </c>
      <c r="P278" s="2" t="str">
        <f t="shared" si="68"/>
        <v/>
      </c>
      <c r="Q278" s="2" t="str">
        <f t="shared" si="69"/>
        <v/>
      </c>
      <c r="R278" s="2" t="str">
        <f t="shared" si="70"/>
        <v/>
      </c>
      <c r="S278" s="2" t="str">
        <f t="shared" si="71"/>
        <v/>
      </c>
      <c r="T278" s="2" t="str">
        <f t="shared" si="72"/>
        <v/>
      </c>
    </row>
    <row r="279" spans="2:20" ht="11.45" customHeight="1" x14ac:dyDescent="0.25">
      <c r="B279" s="86" t="str">
        <f t="shared" si="73"/>
        <v/>
      </c>
      <c r="C279" s="88"/>
      <c r="D279" s="87" t="str">
        <f t="shared" si="74"/>
        <v/>
      </c>
      <c r="E279" s="157" t="str">
        <f t="shared" si="60"/>
        <v/>
      </c>
      <c r="F279" s="156" t="str">
        <f t="shared" si="61"/>
        <v/>
      </c>
      <c r="G279" s="78" t="str">
        <f t="shared" si="62"/>
        <v/>
      </c>
      <c r="H279" s="44" t="str">
        <f t="shared" si="58"/>
        <v/>
      </c>
      <c r="I279" s="44" t="str">
        <f t="shared" si="63"/>
        <v/>
      </c>
      <c r="J279" s="44" t="str">
        <f t="shared" si="64"/>
        <v/>
      </c>
      <c r="K279" s="46" t="str">
        <f t="shared" si="59"/>
        <v/>
      </c>
      <c r="L279" s="46" t="str">
        <f t="shared" si="65"/>
        <v/>
      </c>
      <c r="M279" s="26" t="str">
        <f t="shared" si="66"/>
        <v/>
      </c>
      <c r="N279" s="2" t="str">
        <f t="shared" si="67"/>
        <v/>
      </c>
      <c r="P279" s="2" t="str">
        <f t="shared" si="68"/>
        <v/>
      </c>
      <c r="Q279" s="2" t="str">
        <f t="shared" si="69"/>
        <v/>
      </c>
      <c r="R279" s="2" t="str">
        <f t="shared" si="70"/>
        <v/>
      </c>
      <c r="S279" s="2" t="str">
        <f t="shared" si="71"/>
        <v/>
      </c>
      <c r="T279" s="2" t="str">
        <f t="shared" si="72"/>
        <v/>
      </c>
    </row>
    <row r="280" spans="2:20" ht="11.45" customHeight="1" x14ac:dyDescent="0.25">
      <c r="B280" s="86" t="str">
        <f t="shared" si="73"/>
        <v/>
      </c>
      <c r="C280" s="88"/>
      <c r="D280" s="87" t="str">
        <f t="shared" si="74"/>
        <v/>
      </c>
      <c r="E280" s="157" t="str">
        <f t="shared" si="60"/>
        <v/>
      </c>
      <c r="F280" s="156" t="str">
        <f t="shared" si="61"/>
        <v/>
      </c>
      <c r="G280" s="78" t="str">
        <f t="shared" si="62"/>
        <v/>
      </c>
      <c r="H280" s="44" t="str">
        <f t="shared" ref="H280:H343" si="75">IF(B280="","",IF($C$13=$P$22,P280,IF($C$13=$Q$22,Q280,IF($C$13=$R$22,R280,IF($C$13=$S$22,S280,"")))))</f>
        <v/>
      </c>
      <c r="I280" s="44" t="str">
        <f t="shared" si="63"/>
        <v/>
      </c>
      <c r="J280" s="44" t="str">
        <f t="shared" si="64"/>
        <v/>
      </c>
      <c r="K280" s="46" t="str">
        <f t="shared" ref="K280:K343" si="76">IF(B280="","",$F$9-B280)</f>
        <v/>
      </c>
      <c r="L280" s="46" t="str">
        <f t="shared" si="65"/>
        <v/>
      </c>
      <c r="M280" s="26" t="str">
        <f t="shared" si="66"/>
        <v/>
      </c>
      <c r="N280" s="2" t="str">
        <f t="shared" si="67"/>
        <v/>
      </c>
      <c r="P280" s="2" t="str">
        <f t="shared" si="68"/>
        <v/>
      </c>
      <c r="Q280" s="2" t="str">
        <f t="shared" si="69"/>
        <v/>
      </c>
      <c r="R280" s="2" t="str">
        <f t="shared" si="70"/>
        <v/>
      </c>
      <c r="S280" s="2" t="str">
        <f t="shared" si="71"/>
        <v/>
      </c>
      <c r="T280" s="2" t="str">
        <f t="shared" si="72"/>
        <v/>
      </c>
    </row>
    <row r="281" spans="2:20" ht="11.45" customHeight="1" x14ac:dyDescent="0.25">
      <c r="B281" s="86" t="str">
        <f t="shared" si="73"/>
        <v/>
      </c>
      <c r="C281" s="88"/>
      <c r="D281" s="87" t="str">
        <f t="shared" si="74"/>
        <v/>
      </c>
      <c r="E281" s="157" t="str">
        <f t="shared" ref="E281:E344" si="77">IF(B281="","",J280)</f>
        <v/>
      </c>
      <c r="F281" s="156" t="str">
        <f t="shared" ref="F281:F344" si="78">IF(B281="","",$C$14)</f>
        <v/>
      </c>
      <c r="G281" s="78" t="str">
        <f t="shared" ref="G281:G344" si="79">IF(B281&lt;$F$9,I281-H281,IF(B281=$F$9,J280,""))</f>
        <v/>
      </c>
      <c r="H281" s="44" t="str">
        <f t="shared" si="75"/>
        <v/>
      </c>
      <c r="I281" s="44" t="str">
        <f t="shared" ref="I281:I344" si="80">IF(B281="","",IF(OR(B281&lt;$F$11,B281=$F$11),H281,IF(B281=$F$9,J280+H281,IF($F$12="Monthly",-1*PMT($C$14/12,$F$10,$C$8),IF($F$12="Quarterly",-1*PMT($C$14/4,$F$10,$C$8),IF($F$12="Semi-Annually",-1*PMT($C$14/2,$F$10,$C$8),IF($F$12="Annually",-1*PMT($C$14,$F$10,$C$8))))))))</f>
        <v/>
      </c>
      <c r="J281" s="44" t="str">
        <f t="shared" ref="J281:J344" si="81">IF(B281="","",IF(B281=$F$9,0,J280-G281))</f>
        <v/>
      </c>
      <c r="K281" s="46" t="str">
        <f t="shared" si="76"/>
        <v/>
      </c>
      <c r="L281" s="46" t="str">
        <f t="shared" ref="L281:L344" si="82">IF(B281="","",IF(G281=0,L280,IF(G281&gt;0,L280-1,$F$139-B281)))</f>
        <v/>
      </c>
      <c r="M281" s="26" t="str">
        <f t="shared" ref="M281:M344" si="83">IF($F$9="","",IF(OR(B282&gt;$F$9,B282=""),"",DATE(YEAR(C281),MONTH(C281),DAY(C281))-DATE(YEAR(C281)-1,MONTH(C281),DAY(C281))))</f>
        <v/>
      </c>
      <c r="N281" s="2" t="str">
        <f t="shared" ref="N281:N344" si="84">IF($F$9="","",IF(OR(B282&gt;$F$9,B282=""),"",F281/M281))</f>
        <v/>
      </c>
      <c r="P281" s="2" t="str">
        <f t="shared" ref="P281:P344" si="85">IF(B281="","",IF($F$12="Monthly",F280*(D280/360)*J280,IF($F$12="Quarterly",F280*(D280/360)*3*J280,IF($F$12="Semi-Annually",F280*(D280/360)*6*J280,IF($F$12="Annually",F280*(D280/360)*12*J280)))))</f>
        <v/>
      </c>
      <c r="Q281" s="2" t="str">
        <f t="shared" ref="Q281:Q344" si="86">IF(B281="","",IF($F$12="Monthly",F281*(30/360)*J280,IF($F$12="Quarterly",F281*(30/360)*3*J280,IF($F$12="Semi-Annually",F281*(30/360)*6*J280,IF($F$12="Annually",F281*(30/360)*12*J280)))))</f>
        <v/>
      </c>
      <c r="R281" s="2" t="str">
        <f t="shared" ref="R281:R344" si="87">IF(B281="","",IF($F$12="Monthly",F281*(D281/365)*J280,IF($F$12="Quarterly",F281*(D281/365)*J280,IF($F$12="Semi-Annually",F281*(D281/365)*J280,IF($F$12="Annually",F281*(D281/365)*J280)))))</f>
        <v/>
      </c>
      <c r="S281" s="2" t="str">
        <f t="shared" ref="S281:S344" si="88">IF(B276="","",IF($F$12="Monthly",F281*(D281/360)*J280,IF($F$12="Quarterly",F281*(D281/360)*J280,IF($F$12="Semi-Annually",F281*(D281/360)*J280,IF($F$12="Annually",F281*(D281/360)*J280)))))</f>
        <v/>
      </c>
      <c r="T281" s="2" t="str">
        <f t="shared" ref="T281:T344" si="89">IF(B281="","",IF($F$12="Monthly",F281*(D281/M281)*J280,IF($F$12="Quarterly",F281*(D281/M281)*J280,IF($F$12="Semi-Annually",F281*(D281/M281)*J280,IF($F$12="Annually",F281*(D281/M281)*J280)))))</f>
        <v/>
      </c>
    </row>
    <row r="282" spans="2:20" ht="11.45" customHeight="1" x14ac:dyDescent="0.25">
      <c r="B282" s="86" t="str">
        <f t="shared" ref="B282:B345" si="90">IF(OR(B281=$F$9,B281&gt;$F$9),"",B281+1)</f>
        <v/>
      </c>
      <c r="C282" s="88"/>
      <c r="D282" s="87" t="str">
        <f t="shared" ref="D282:D345" si="91">IF(B282="","",C282-C281)</f>
        <v/>
      </c>
      <c r="E282" s="157" t="str">
        <f t="shared" si="77"/>
        <v/>
      </c>
      <c r="F282" s="156" t="str">
        <f t="shared" si="78"/>
        <v/>
      </c>
      <c r="G282" s="78" t="str">
        <f t="shared" si="79"/>
        <v/>
      </c>
      <c r="H282" s="44" t="str">
        <f t="shared" si="75"/>
        <v/>
      </c>
      <c r="I282" s="44" t="str">
        <f t="shared" si="80"/>
        <v/>
      </c>
      <c r="J282" s="44" t="str">
        <f t="shared" si="81"/>
        <v/>
      </c>
      <c r="K282" s="46" t="str">
        <f t="shared" si="76"/>
        <v/>
      </c>
      <c r="L282" s="46" t="str">
        <f t="shared" si="82"/>
        <v/>
      </c>
      <c r="M282" s="26" t="str">
        <f t="shared" si="83"/>
        <v/>
      </c>
      <c r="N282" s="2" t="str">
        <f t="shared" si="84"/>
        <v/>
      </c>
      <c r="P282" s="2" t="str">
        <f t="shared" si="85"/>
        <v/>
      </c>
      <c r="Q282" s="2" t="str">
        <f t="shared" si="86"/>
        <v/>
      </c>
      <c r="R282" s="2" t="str">
        <f t="shared" si="87"/>
        <v/>
      </c>
      <c r="S282" s="2" t="str">
        <f t="shared" si="88"/>
        <v/>
      </c>
      <c r="T282" s="2" t="str">
        <f t="shared" si="89"/>
        <v/>
      </c>
    </row>
    <row r="283" spans="2:20" ht="11.45" customHeight="1" x14ac:dyDescent="0.25">
      <c r="B283" s="86" t="str">
        <f t="shared" si="90"/>
        <v/>
      </c>
      <c r="C283" s="88"/>
      <c r="D283" s="87" t="str">
        <f t="shared" si="91"/>
        <v/>
      </c>
      <c r="E283" s="157" t="str">
        <f t="shared" si="77"/>
        <v/>
      </c>
      <c r="F283" s="156" t="str">
        <f t="shared" si="78"/>
        <v/>
      </c>
      <c r="G283" s="78" t="str">
        <f t="shared" si="79"/>
        <v/>
      </c>
      <c r="H283" s="44" t="str">
        <f t="shared" si="75"/>
        <v/>
      </c>
      <c r="I283" s="44" t="str">
        <f t="shared" si="80"/>
        <v/>
      </c>
      <c r="J283" s="44" t="str">
        <f t="shared" si="81"/>
        <v/>
      </c>
      <c r="K283" s="46" t="str">
        <f t="shared" si="76"/>
        <v/>
      </c>
      <c r="L283" s="46" t="str">
        <f t="shared" si="82"/>
        <v/>
      </c>
      <c r="M283" s="26" t="str">
        <f t="shared" si="83"/>
        <v/>
      </c>
      <c r="N283" s="2" t="str">
        <f t="shared" si="84"/>
        <v/>
      </c>
      <c r="P283" s="2" t="str">
        <f t="shared" si="85"/>
        <v/>
      </c>
      <c r="Q283" s="2" t="str">
        <f t="shared" si="86"/>
        <v/>
      </c>
      <c r="R283" s="2" t="str">
        <f t="shared" si="87"/>
        <v/>
      </c>
      <c r="S283" s="2" t="str">
        <f t="shared" si="88"/>
        <v/>
      </c>
      <c r="T283" s="2" t="str">
        <f t="shared" si="89"/>
        <v/>
      </c>
    </row>
    <row r="284" spans="2:20" ht="11.45" customHeight="1" x14ac:dyDescent="0.25">
      <c r="B284" s="86" t="str">
        <f t="shared" si="90"/>
        <v/>
      </c>
      <c r="C284" s="88"/>
      <c r="D284" s="87" t="str">
        <f t="shared" si="91"/>
        <v/>
      </c>
      <c r="E284" s="157" t="str">
        <f t="shared" si="77"/>
        <v/>
      </c>
      <c r="F284" s="156" t="str">
        <f t="shared" si="78"/>
        <v/>
      </c>
      <c r="G284" s="78" t="str">
        <f t="shared" si="79"/>
        <v/>
      </c>
      <c r="H284" s="44" t="str">
        <f t="shared" si="75"/>
        <v/>
      </c>
      <c r="I284" s="44" t="str">
        <f t="shared" si="80"/>
        <v/>
      </c>
      <c r="J284" s="44" t="str">
        <f t="shared" si="81"/>
        <v/>
      </c>
      <c r="K284" s="46" t="str">
        <f t="shared" si="76"/>
        <v/>
      </c>
      <c r="L284" s="46" t="str">
        <f t="shared" si="82"/>
        <v/>
      </c>
      <c r="M284" s="26" t="str">
        <f t="shared" si="83"/>
        <v/>
      </c>
      <c r="N284" s="2" t="str">
        <f t="shared" si="84"/>
        <v/>
      </c>
      <c r="P284" s="2" t="str">
        <f t="shared" si="85"/>
        <v/>
      </c>
      <c r="Q284" s="2" t="str">
        <f t="shared" si="86"/>
        <v/>
      </c>
      <c r="R284" s="2" t="str">
        <f t="shared" si="87"/>
        <v/>
      </c>
      <c r="S284" s="2" t="str">
        <f t="shared" si="88"/>
        <v/>
      </c>
      <c r="T284" s="2" t="str">
        <f t="shared" si="89"/>
        <v/>
      </c>
    </row>
    <row r="285" spans="2:20" ht="11.45" customHeight="1" x14ac:dyDescent="0.25">
      <c r="B285" s="86" t="str">
        <f t="shared" si="90"/>
        <v/>
      </c>
      <c r="C285" s="88"/>
      <c r="D285" s="87" t="str">
        <f t="shared" si="91"/>
        <v/>
      </c>
      <c r="E285" s="157" t="str">
        <f t="shared" si="77"/>
        <v/>
      </c>
      <c r="F285" s="156" t="str">
        <f t="shared" si="78"/>
        <v/>
      </c>
      <c r="G285" s="78" t="str">
        <f t="shared" si="79"/>
        <v/>
      </c>
      <c r="H285" s="44" t="str">
        <f t="shared" si="75"/>
        <v/>
      </c>
      <c r="I285" s="44" t="str">
        <f t="shared" si="80"/>
        <v/>
      </c>
      <c r="J285" s="44" t="str">
        <f t="shared" si="81"/>
        <v/>
      </c>
      <c r="K285" s="46" t="str">
        <f t="shared" si="76"/>
        <v/>
      </c>
      <c r="L285" s="46" t="str">
        <f t="shared" si="82"/>
        <v/>
      </c>
      <c r="M285" s="26" t="str">
        <f t="shared" si="83"/>
        <v/>
      </c>
      <c r="N285" s="2" t="str">
        <f t="shared" si="84"/>
        <v/>
      </c>
      <c r="P285" s="2" t="str">
        <f t="shared" si="85"/>
        <v/>
      </c>
      <c r="Q285" s="2" t="str">
        <f t="shared" si="86"/>
        <v/>
      </c>
      <c r="R285" s="2" t="str">
        <f t="shared" si="87"/>
        <v/>
      </c>
      <c r="S285" s="2" t="str">
        <f t="shared" si="88"/>
        <v/>
      </c>
      <c r="T285" s="2" t="str">
        <f t="shared" si="89"/>
        <v/>
      </c>
    </row>
    <row r="286" spans="2:20" ht="11.45" customHeight="1" x14ac:dyDescent="0.25">
      <c r="B286" s="86" t="str">
        <f t="shared" si="90"/>
        <v/>
      </c>
      <c r="C286" s="88"/>
      <c r="D286" s="87" t="str">
        <f t="shared" si="91"/>
        <v/>
      </c>
      <c r="E286" s="157" t="str">
        <f t="shared" si="77"/>
        <v/>
      </c>
      <c r="F286" s="156" t="str">
        <f t="shared" si="78"/>
        <v/>
      </c>
      <c r="G286" s="78" t="str">
        <f t="shared" si="79"/>
        <v/>
      </c>
      <c r="H286" s="44" t="str">
        <f t="shared" si="75"/>
        <v/>
      </c>
      <c r="I286" s="44" t="str">
        <f t="shared" si="80"/>
        <v/>
      </c>
      <c r="J286" s="44" t="str">
        <f t="shared" si="81"/>
        <v/>
      </c>
      <c r="K286" s="46" t="str">
        <f t="shared" si="76"/>
        <v/>
      </c>
      <c r="L286" s="46" t="str">
        <f t="shared" si="82"/>
        <v/>
      </c>
      <c r="M286" s="26" t="str">
        <f t="shared" si="83"/>
        <v/>
      </c>
      <c r="N286" s="2" t="str">
        <f t="shared" si="84"/>
        <v/>
      </c>
      <c r="P286" s="2" t="str">
        <f t="shared" si="85"/>
        <v/>
      </c>
      <c r="Q286" s="2" t="str">
        <f t="shared" si="86"/>
        <v/>
      </c>
      <c r="R286" s="2" t="str">
        <f t="shared" si="87"/>
        <v/>
      </c>
      <c r="S286" s="2" t="str">
        <f t="shared" si="88"/>
        <v/>
      </c>
      <c r="T286" s="2" t="str">
        <f t="shared" si="89"/>
        <v/>
      </c>
    </row>
    <row r="287" spans="2:20" ht="11.45" customHeight="1" x14ac:dyDescent="0.25">
      <c r="B287" s="86" t="str">
        <f t="shared" si="90"/>
        <v/>
      </c>
      <c r="C287" s="88"/>
      <c r="D287" s="87" t="str">
        <f t="shared" si="91"/>
        <v/>
      </c>
      <c r="E287" s="157" t="str">
        <f t="shared" si="77"/>
        <v/>
      </c>
      <c r="F287" s="156" t="str">
        <f t="shared" si="78"/>
        <v/>
      </c>
      <c r="G287" s="78" t="str">
        <f t="shared" si="79"/>
        <v/>
      </c>
      <c r="H287" s="44" t="str">
        <f t="shared" si="75"/>
        <v/>
      </c>
      <c r="I287" s="44" t="str">
        <f t="shared" si="80"/>
        <v/>
      </c>
      <c r="J287" s="44" t="str">
        <f t="shared" si="81"/>
        <v/>
      </c>
      <c r="K287" s="46" t="str">
        <f t="shared" si="76"/>
        <v/>
      </c>
      <c r="L287" s="46" t="str">
        <f t="shared" si="82"/>
        <v/>
      </c>
      <c r="M287" s="26" t="str">
        <f t="shared" si="83"/>
        <v/>
      </c>
      <c r="N287" s="2" t="str">
        <f t="shared" si="84"/>
        <v/>
      </c>
      <c r="P287" s="2" t="str">
        <f t="shared" si="85"/>
        <v/>
      </c>
      <c r="Q287" s="2" t="str">
        <f t="shared" si="86"/>
        <v/>
      </c>
      <c r="R287" s="2" t="str">
        <f t="shared" si="87"/>
        <v/>
      </c>
      <c r="S287" s="2" t="str">
        <f t="shared" si="88"/>
        <v/>
      </c>
      <c r="T287" s="2" t="str">
        <f t="shared" si="89"/>
        <v/>
      </c>
    </row>
    <row r="288" spans="2:20" ht="11.45" customHeight="1" x14ac:dyDescent="0.25">
      <c r="B288" s="86" t="str">
        <f t="shared" si="90"/>
        <v/>
      </c>
      <c r="C288" s="88"/>
      <c r="D288" s="87" t="str">
        <f t="shared" si="91"/>
        <v/>
      </c>
      <c r="E288" s="157" t="str">
        <f t="shared" si="77"/>
        <v/>
      </c>
      <c r="F288" s="156" t="str">
        <f t="shared" si="78"/>
        <v/>
      </c>
      <c r="G288" s="78" t="str">
        <f t="shared" si="79"/>
        <v/>
      </c>
      <c r="H288" s="44" t="str">
        <f t="shared" si="75"/>
        <v/>
      </c>
      <c r="I288" s="44" t="str">
        <f t="shared" si="80"/>
        <v/>
      </c>
      <c r="J288" s="44" t="str">
        <f t="shared" si="81"/>
        <v/>
      </c>
      <c r="K288" s="46" t="str">
        <f t="shared" si="76"/>
        <v/>
      </c>
      <c r="L288" s="46" t="str">
        <f t="shared" si="82"/>
        <v/>
      </c>
      <c r="M288" s="26" t="str">
        <f t="shared" si="83"/>
        <v/>
      </c>
      <c r="N288" s="2" t="str">
        <f t="shared" si="84"/>
        <v/>
      </c>
      <c r="P288" s="2" t="str">
        <f t="shared" si="85"/>
        <v/>
      </c>
      <c r="Q288" s="2" t="str">
        <f t="shared" si="86"/>
        <v/>
      </c>
      <c r="R288" s="2" t="str">
        <f t="shared" si="87"/>
        <v/>
      </c>
      <c r="S288" s="2" t="str">
        <f t="shared" si="88"/>
        <v/>
      </c>
      <c r="T288" s="2" t="str">
        <f t="shared" si="89"/>
        <v/>
      </c>
    </row>
    <row r="289" spans="2:20" ht="11.45" customHeight="1" x14ac:dyDescent="0.25">
      <c r="B289" s="86" t="str">
        <f t="shared" si="90"/>
        <v/>
      </c>
      <c r="C289" s="88"/>
      <c r="D289" s="87" t="str">
        <f t="shared" si="91"/>
        <v/>
      </c>
      <c r="E289" s="157" t="str">
        <f t="shared" si="77"/>
        <v/>
      </c>
      <c r="F289" s="156" t="str">
        <f t="shared" si="78"/>
        <v/>
      </c>
      <c r="G289" s="78" t="str">
        <f t="shared" si="79"/>
        <v/>
      </c>
      <c r="H289" s="44" t="str">
        <f t="shared" si="75"/>
        <v/>
      </c>
      <c r="I289" s="44" t="str">
        <f t="shared" si="80"/>
        <v/>
      </c>
      <c r="J289" s="44" t="str">
        <f t="shared" si="81"/>
        <v/>
      </c>
      <c r="K289" s="46" t="str">
        <f t="shared" si="76"/>
        <v/>
      </c>
      <c r="L289" s="46" t="str">
        <f t="shared" si="82"/>
        <v/>
      </c>
      <c r="M289" s="26" t="str">
        <f t="shared" si="83"/>
        <v/>
      </c>
      <c r="N289" s="2" t="str">
        <f t="shared" si="84"/>
        <v/>
      </c>
      <c r="P289" s="2" t="str">
        <f t="shared" si="85"/>
        <v/>
      </c>
      <c r="Q289" s="2" t="str">
        <f t="shared" si="86"/>
        <v/>
      </c>
      <c r="R289" s="2" t="str">
        <f t="shared" si="87"/>
        <v/>
      </c>
      <c r="S289" s="2" t="str">
        <f t="shared" si="88"/>
        <v/>
      </c>
      <c r="T289" s="2" t="str">
        <f t="shared" si="89"/>
        <v/>
      </c>
    </row>
    <row r="290" spans="2:20" ht="11.45" customHeight="1" x14ac:dyDescent="0.25">
      <c r="B290" s="86" t="str">
        <f t="shared" si="90"/>
        <v/>
      </c>
      <c r="C290" s="88"/>
      <c r="D290" s="87" t="str">
        <f t="shared" si="91"/>
        <v/>
      </c>
      <c r="E290" s="157" t="str">
        <f t="shared" si="77"/>
        <v/>
      </c>
      <c r="F290" s="156" t="str">
        <f t="shared" si="78"/>
        <v/>
      </c>
      <c r="G290" s="78" t="str">
        <f t="shared" si="79"/>
        <v/>
      </c>
      <c r="H290" s="44" t="str">
        <f t="shared" si="75"/>
        <v/>
      </c>
      <c r="I290" s="44" t="str">
        <f t="shared" si="80"/>
        <v/>
      </c>
      <c r="J290" s="44" t="str">
        <f t="shared" si="81"/>
        <v/>
      </c>
      <c r="K290" s="46" t="str">
        <f t="shared" si="76"/>
        <v/>
      </c>
      <c r="L290" s="46" t="str">
        <f t="shared" si="82"/>
        <v/>
      </c>
      <c r="M290" s="26" t="str">
        <f t="shared" si="83"/>
        <v/>
      </c>
      <c r="N290" s="2" t="str">
        <f t="shared" si="84"/>
        <v/>
      </c>
      <c r="P290" s="2" t="str">
        <f t="shared" si="85"/>
        <v/>
      </c>
      <c r="Q290" s="2" t="str">
        <f t="shared" si="86"/>
        <v/>
      </c>
      <c r="R290" s="2" t="str">
        <f t="shared" si="87"/>
        <v/>
      </c>
      <c r="S290" s="2" t="str">
        <f t="shared" si="88"/>
        <v/>
      </c>
      <c r="T290" s="2" t="str">
        <f t="shared" si="89"/>
        <v/>
      </c>
    </row>
    <row r="291" spans="2:20" ht="11.45" customHeight="1" x14ac:dyDescent="0.25">
      <c r="B291" s="86" t="str">
        <f t="shared" si="90"/>
        <v/>
      </c>
      <c r="C291" s="88"/>
      <c r="D291" s="87" t="str">
        <f t="shared" si="91"/>
        <v/>
      </c>
      <c r="E291" s="157" t="str">
        <f t="shared" si="77"/>
        <v/>
      </c>
      <c r="F291" s="156" t="str">
        <f t="shared" si="78"/>
        <v/>
      </c>
      <c r="G291" s="78" t="str">
        <f t="shared" si="79"/>
        <v/>
      </c>
      <c r="H291" s="44" t="str">
        <f t="shared" si="75"/>
        <v/>
      </c>
      <c r="I291" s="44" t="str">
        <f t="shared" si="80"/>
        <v/>
      </c>
      <c r="J291" s="44" t="str">
        <f t="shared" si="81"/>
        <v/>
      </c>
      <c r="K291" s="46" t="str">
        <f t="shared" si="76"/>
        <v/>
      </c>
      <c r="L291" s="46" t="str">
        <f t="shared" si="82"/>
        <v/>
      </c>
      <c r="M291" s="26" t="str">
        <f t="shared" si="83"/>
        <v/>
      </c>
      <c r="N291" s="2" t="str">
        <f t="shared" si="84"/>
        <v/>
      </c>
      <c r="P291" s="2" t="str">
        <f t="shared" si="85"/>
        <v/>
      </c>
      <c r="Q291" s="2" t="str">
        <f t="shared" si="86"/>
        <v/>
      </c>
      <c r="R291" s="2" t="str">
        <f t="shared" si="87"/>
        <v/>
      </c>
      <c r="S291" s="2" t="str">
        <f t="shared" si="88"/>
        <v/>
      </c>
      <c r="T291" s="2" t="str">
        <f t="shared" si="89"/>
        <v/>
      </c>
    </row>
    <row r="292" spans="2:20" ht="11.45" customHeight="1" x14ac:dyDescent="0.25">
      <c r="B292" s="86" t="str">
        <f t="shared" si="90"/>
        <v/>
      </c>
      <c r="C292" s="88"/>
      <c r="D292" s="87" t="str">
        <f t="shared" si="91"/>
        <v/>
      </c>
      <c r="E292" s="157" t="str">
        <f t="shared" si="77"/>
        <v/>
      </c>
      <c r="F292" s="156" t="str">
        <f t="shared" si="78"/>
        <v/>
      </c>
      <c r="G292" s="78" t="str">
        <f t="shared" si="79"/>
        <v/>
      </c>
      <c r="H292" s="44" t="str">
        <f t="shared" si="75"/>
        <v/>
      </c>
      <c r="I292" s="44" t="str">
        <f t="shared" si="80"/>
        <v/>
      </c>
      <c r="J292" s="44" t="str">
        <f t="shared" si="81"/>
        <v/>
      </c>
      <c r="K292" s="46" t="str">
        <f t="shared" si="76"/>
        <v/>
      </c>
      <c r="L292" s="46" t="str">
        <f t="shared" si="82"/>
        <v/>
      </c>
      <c r="M292" s="26" t="str">
        <f t="shared" si="83"/>
        <v/>
      </c>
      <c r="N292" s="2" t="str">
        <f t="shared" si="84"/>
        <v/>
      </c>
      <c r="P292" s="2" t="str">
        <f t="shared" si="85"/>
        <v/>
      </c>
      <c r="Q292" s="2" t="str">
        <f t="shared" si="86"/>
        <v/>
      </c>
      <c r="R292" s="2" t="str">
        <f t="shared" si="87"/>
        <v/>
      </c>
      <c r="S292" s="2" t="str">
        <f t="shared" si="88"/>
        <v/>
      </c>
      <c r="T292" s="2" t="str">
        <f t="shared" si="89"/>
        <v/>
      </c>
    </row>
    <row r="293" spans="2:20" ht="11.45" customHeight="1" x14ac:dyDescent="0.25">
      <c r="B293" s="86" t="str">
        <f t="shared" si="90"/>
        <v/>
      </c>
      <c r="C293" s="88"/>
      <c r="D293" s="87" t="str">
        <f t="shared" si="91"/>
        <v/>
      </c>
      <c r="E293" s="157" t="str">
        <f t="shared" si="77"/>
        <v/>
      </c>
      <c r="F293" s="156" t="str">
        <f t="shared" si="78"/>
        <v/>
      </c>
      <c r="G293" s="78" t="str">
        <f t="shared" si="79"/>
        <v/>
      </c>
      <c r="H293" s="44" t="str">
        <f t="shared" si="75"/>
        <v/>
      </c>
      <c r="I293" s="44" t="str">
        <f t="shared" si="80"/>
        <v/>
      </c>
      <c r="J293" s="44" t="str">
        <f t="shared" si="81"/>
        <v/>
      </c>
      <c r="K293" s="46" t="str">
        <f t="shared" si="76"/>
        <v/>
      </c>
      <c r="L293" s="46" t="str">
        <f t="shared" si="82"/>
        <v/>
      </c>
      <c r="M293" s="26" t="str">
        <f t="shared" si="83"/>
        <v/>
      </c>
      <c r="N293" s="2" t="str">
        <f t="shared" si="84"/>
        <v/>
      </c>
      <c r="P293" s="2" t="str">
        <f t="shared" si="85"/>
        <v/>
      </c>
      <c r="Q293" s="2" t="str">
        <f t="shared" si="86"/>
        <v/>
      </c>
      <c r="R293" s="2" t="str">
        <f t="shared" si="87"/>
        <v/>
      </c>
      <c r="S293" s="2" t="str">
        <f t="shared" si="88"/>
        <v/>
      </c>
      <c r="T293" s="2" t="str">
        <f t="shared" si="89"/>
        <v/>
      </c>
    </row>
    <row r="294" spans="2:20" ht="11.45" customHeight="1" x14ac:dyDescent="0.25">
      <c r="B294" s="86" t="str">
        <f t="shared" si="90"/>
        <v/>
      </c>
      <c r="C294" s="88"/>
      <c r="D294" s="87" t="str">
        <f t="shared" si="91"/>
        <v/>
      </c>
      <c r="E294" s="157" t="str">
        <f t="shared" si="77"/>
        <v/>
      </c>
      <c r="F294" s="156" t="str">
        <f t="shared" si="78"/>
        <v/>
      </c>
      <c r="G294" s="78" t="str">
        <f t="shared" si="79"/>
        <v/>
      </c>
      <c r="H294" s="44" t="str">
        <f t="shared" si="75"/>
        <v/>
      </c>
      <c r="I294" s="44" t="str">
        <f t="shared" si="80"/>
        <v/>
      </c>
      <c r="J294" s="44" t="str">
        <f t="shared" si="81"/>
        <v/>
      </c>
      <c r="K294" s="46" t="str">
        <f t="shared" si="76"/>
        <v/>
      </c>
      <c r="L294" s="46" t="str">
        <f t="shared" si="82"/>
        <v/>
      </c>
      <c r="M294" s="26" t="str">
        <f t="shared" si="83"/>
        <v/>
      </c>
      <c r="N294" s="2" t="str">
        <f t="shared" si="84"/>
        <v/>
      </c>
      <c r="P294" s="2" t="str">
        <f t="shared" si="85"/>
        <v/>
      </c>
      <c r="Q294" s="2" t="str">
        <f t="shared" si="86"/>
        <v/>
      </c>
      <c r="R294" s="2" t="str">
        <f t="shared" si="87"/>
        <v/>
      </c>
      <c r="S294" s="2" t="str">
        <f t="shared" si="88"/>
        <v/>
      </c>
      <c r="T294" s="2" t="str">
        <f t="shared" si="89"/>
        <v/>
      </c>
    </row>
    <row r="295" spans="2:20" ht="11.45" customHeight="1" x14ac:dyDescent="0.25">
      <c r="B295" s="86" t="str">
        <f t="shared" si="90"/>
        <v/>
      </c>
      <c r="C295" s="88"/>
      <c r="D295" s="87" t="str">
        <f t="shared" si="91"/>
        <v/>
      </c>
      <c r="E295" s="157" t="str">
        <f t="shared" si="77"/>
        <v/>
      </c>
      <c r="F295" s="156" t="str">
        <f t="shared" si="78"/>
        <v/>
      </c>
      <c r="G295" s="78" t="str">
        <f t="shared" si="79"/>
        <v/>
      </c>
      <c r="H295" s="44" t="str">
        <f t="shared" si="75"/>
        <v/>
      </c>
      <c r="I295" s="44" t="str">
        <f t="shared" si="80"/>
        <v/>
      </c>
      <c r="J295" s="44" t="str">
        <f t="shared" si="81"/>
        <v/>
      </c>
      <c r="K295" s="46" t="str">
        <f t="shared" si="76"/>
        <v/>
      </c>
      <c r="L295" s="46" t="str">
        <f t="shared" si="82"/>
        <v/>
      </c>
      <c r="M295" s="26" t="str">
        <f t="shared" si="83"/>
        <v/>
      </c>
      <c r="N295" s="2" t="str">
        <f t="shared" si="84"/>
        <v/>
      </c>
      <c r="P295" s="2" t="str">
        <f t="shared" si="85"/>
        <v/>
      </c>
      <c r="Q295" s="2" t="str">
        <f t="shared" si="86"/>
        <v/>
      </c>
      <c r="R295" s="2" t="str">
        <f t="shared" si="87"/>
        <v/>
      </c>
      <c r="S295" s="2" t="str">
        <f t="shared" si="88"/>
        <v/>
      </c>
      <c r="T295" s="2" t="str">
        <f t="shared" si="89"/>
        <v/>
      </c>
    </row>
    <row r="296" spans="2:20" ht="11.45" customHeight="1" x14ac:dyDescent="0.25">
      <c r="B296" s="86" t="str">
        <f t="shared" si="90"/>
        <v/>
      </c>
      <c r="C296" s="88"/>
      <c r="D296" s="87" t="str">
        <f t="shared" si="91"/>
        <v/>
      </c>
      <c r="E296" s="157" t="str">
        <f t="shared" si="77"/>
        <v/>
      </c>
      <c r="F296" s="156" t="str">
        <f t="shared" si="78"/>
        <v/>
      </c>
      <c r="G296" s="78" t="str">
        <f t="shared" si="79"/>
        <v/>
      </c>
      <c r="H296" s="44" t="str">
        <f t="shared" si="75"/>
        <v/>
      </c>
      <c r="I296" s="44" t="str">
        <f t="shared" si="80"/>
        <v/>
      </c>
      <c r="J296" s="44" t="str">
        <f t="shared" si="81"/>
        <v/>
      </c>
      <c r="K296" s="46" t="str">
        <f t="shared" si="76"/>
        <v/>
      </c>
      <c r="L296" s="46" t="str">
        <f t="shared" si="82"/>
        <v/>
      </c>
      <c r="M296" s="26" t="str">
        <f t="shared" si="83"/>
        <v/>
      </c>
      <c r="N296" s="2" t="str">
        <f t="shared" si="84"/>
        <v/>
      </c>
      <c r="P296" s="2" t="str">
        <f t="shared" si="85"/>
        <v/>
      </c>
      <c r="Q296" s="2" t="str">
        <f t="shared" si="86"/>
        <v/>
      </c>
      <c r="R296" s="2" t="str">
        <f t="shared" si="87"/>
        <v/>
      </c>
      <c r="S296" s="2" t="str">
        <f t="shared" si="88"/>
        <v/>
      </c>
      <c r="T296" s="2" t="str">
        <f t="shared" si="89"/>
        <v/>
      </c>
    </row>
    <row r="297" spans="2:20" ht="11.45" customHeight="1" x14ac:dyDescent="0.25">
      <c r="B297" s="86" t="str">
        <f t="shared" si="90"/>
        <v/>
      </c>
      <c r="C297" s="88"/>
      <c r="D297" s="87" t="str">
        <f t="shared" si="91"/>
        <v/>
      </c>
      <c r="E297" s="157" t="str">
        <f t="shared" si="77"/>
        <v/>
      </c>
      <c r="F297" s="156" t="str">
        <f t="shared" si="78"/>
        <v/>
      </c>
      <c r="G297" s="78" t="str">
        <f t="shared" si="79"/>
        <v/>
      </c>
      <c r="H297" s="44" t="str">
        <f t="shared" si="75"/>
        <v/>
      </c>
      <c r="I297" s="44" t="str">
        <f t="shared" si="80"/>
        <v/>
      </c>
      <c r="J297" s="44" t="str">
        <f t="shared" si="81"/>
        <v/>
      </c>
      <c r="K297" s="46" t="str">
        <f t="shared" si="76"/>
        <v/>
      </c>
      <c r="L297" s="46" t="str">
        <f t="shared" si="82"/>
        <v/>
      </c>
      <c r="M297" s="26" t="str">
        <f t="shared" si="83"/>
        <v/>
      </c>
      <c r="N297" s="2" t="str">
        <f t="shared" si="84"/>
        <v/>
      </c>
      <c r="P297" s="2" t="str">
        <f t="shared" si="85"/>
        <v/>
      </c>
      <c r="Q297" s="2" t="str">
        <f t="shared" si="86"/>
        <v/>
      </c>
      <c r="R297" s="2" t="str">
        <f t="shared" si="87"/>
        <v/>
      </c>
      <c r="S297" s="2" t="str">
        <f t="shared" si="88"/>
        <v/>
      </c>
      <c r="T297" s="2" t="str">
        <f t="shared" si="89"/>
        <v/>
      </c>
    </row>
    <row r="298" spans="2:20" ht="11.45" customHeight="1" x14ac:dyDescent="0.25">
      <c r="B298" s="86" t="str">
        <f t="shared" si="90"/>
        <v/>
      </c>
      <c r="C298" s="88"/>
      <c r="D298" s="87" t="str">
        <f t="shared" si="91"/>
        <v/>
      </c>
      <c r="E298" s="157" t="str">
        <f t="shared" si="77"/>
        <v/>
      </c>
      <c r="F298" s="156" t="str">
        <f t="shared" si="78"/>
        <v/>
      </c>
      <c r="G298" s="78" t="str">
        <f t="shared" si="79"/>
        <v/>
      </c>
      <c r="H298" s="44" t="str">
        <f t="shared" si="75"/>
        <v/>
      </c>
      <c r="I298" s="44" t="str">
        <f t="shared" si="80"/>
        <v/>
      </c>
      <c r="J298" s="44" t="str">
        <f t="shared" si="81"/>
        <v/>
      </c>
      <c r="K298" s="46" t="str">
        <f t="shared" si="76"/>
        <v/>
      </c>
      <c r="L298" s="46" t="str">
        <f t="shared" si="82"/>
        <v/>
      </c>
      <c r="M298" s="26" t="str">
        <f t="shared" si="83"/>
        <v/>
      </c>
      <c r="N298" s="2" t="str">
        <f t="shared" si="84"/>
        <v/>
      </c>
      <c r="P298" s="2" t="str">
        <f t="shared" si="85"/>
        <v/>
      </c>
      <c r="Q298" s="2" t="str">
        <f t="shared" si="86"/>
        <v/>
      </c>
      <c r="R298" s="2" t="str">
        <f t="shared" si="87"/>
        <v/>
      </c>
      <c r="S298" s="2" t="str">
        <f t="shared" si="88"/>
        <v/>
      </c>
      <c r="T298" s="2" t="str">
        <f t="shared" si="89"/>
        <v/>
      </c>
    </row>
    <row r="299" spans="2:20" ht="11.45" customHeight="1" x14ac:dyDescent="0.25">
      <c r="B299" s="86" t="str">
        <f t="shared" si="90"/>
        <v/>
      </c>
      <c r="C299" s="88"/>
      <c r="D299" s="87" t="str">
        <f t="shared" si="91"/>
        <v/>
      </c>
      <c r="E299" s="157" t="str">
        <f t="shared" si="77"/>
        <v/>
      </c>
      <c r="F299" s="156" t="str">
        <f t="shared" si="78"/>
        <v/>
      </c>
      <c r="G299" s="78" t="str">
        <f t="shared" si="79"/>
        <v/>
      </c>
      <c r="H299" s="44" t="str">
        <f t="shared" si="75"/>
        <v/>
      </c>
      <c r="I299" s="44" t="str">
        <f t="shared" si="80"/>
        <v/>
      </c>
      <c r="J299" s="44" t="str">
        <f t="shared" si="81"/>
        <v/>
      </c>
      <c r="K299" s="46" t="str">
        <f t="shared" si="76"/>
        <v/>
      </c>
      <c r="L299" s="46" t="str">
        <f t="shared" si="82"/>
        <v/>
      </c>
      <c r="M299" s="26" t="str">
        <f t="shared" si="83"/>
        <v/>
      </c>
      <c r="N299" s="2" t="str">
        <f t="shared" si="84"/>
        <v/>
      </c>
      <c r="P299" s="2" t="str">
        <f t="shared" si="85"/>
        <v/>
      </c>
      <c r="Q299" s="2" t="str">
        <f t="shared" si="86"/>
        <v/>
      </c>
      <c r="R299" s="2" t="str">
        <f t="shared" si="87"/>
        <v/>
      </c>
      <c r="S299" s="2" t="str">
        <f t="shared" si="88"/>
        <v/>
      </c>
      <c r="T299" s="2" t="str">
        <f t="shared" si="89"/>
        <v/>
      </c>
    </row>
    <row r="300" spans="2:20" ht="11.45" customHeight="1" x14ac:dyDescent="0.25">
      <c r="B300" s="86" t="str">
        <f t="shared" si="90"/>
        <v/>
      </c>
      <c r="C300" s="88"/>
      <c r="D300" s="87" t="str">
        <f t="shared" si="91"/>
        <v/>
      </c>
      <c r="E300" s="157" t="str">
        <f t="shared" si="77"/>
        <v/>
      </c>
      <c r="F300" s="156" t="str">
        <f t="shared" si="78"/>
        <v/>
      </c>
      <c r="G300" s="78" t="str">
        <f t="shared" si="79"/>
        <v/>
      </c>
      <c r="H300" s="44" t="str">
        <f t="shared" si="75"/>
        <v/>
      </c>
      <c r="I300" s="44" t="str">
        <f t="shared" si="80"/>
        <v/>
      </c>
      <c r="J300" s="44" t="str">
        <f t="shared" si="81"/>
        <v/>
      </c>
      <c r="K300" s="46" t="str">
        <f t="shared" si="76"/>
        <v/>
      </c>
      <c r="L300" s="46" t="str">
        <f t="shared" si="82"/>
        <v/>
      </c>
      <c r="M300" s="26" t="str">
        <f t="shared" si="83"/>
        <v/>
      </c>
      <c r="N300" s="2" t="str">
        <f t="shared" si="84"/>
        <v/>
      </c>
      <c r="P300" s="2" t="str">
        <f t="shared" si="85"/>
        <v/>
      </c>
      <c r="Q300" s="2" t="str">
        <f t="shared" si="86"/>
        <v/>
      </c>
      <c r="R300" s="2" t="str">
        <f t="shared" si="87"/>
        <v/>
      </c>
      <c r="S300" s="2" t="str">
        <f t="shared" si="88"/>
        <v/>
      </c>
      <c r="T300" s="2" t="str">
        <f t="shared" si="89"/>
        <v/>
      </c>
    </row>
    <row r="301" spans="2:20" ht="11.45" customHeight="1" x14ac:dyDescent="0.25">
      <c r="B301" s="86" t="str">
        <f t="shared" si="90"/>
        <v/>
      </c>
      <c r="C301" s="88"/>
      <c r="D301" s="87" t="str">
        <f t="shared" si="91"/>
        <v/>
      </c>
      <c r="E301" s="157" t="str">
        <f t="shared" si="77"/>
        <v/>
      </c>
      <c r="F301" s="156" t="str">
        <f t="shared" si="78"/>
        <v/>
      </c>
      <c r="G301" s="78" t="str">
        <f t="shared" si="79"/>
        <v/>
      </c>
      <c r="H301" s="44" t="str">
        <f t="shared" si="75"/>
        <v/>
      </c>
      <c r="I301" s="44" t="str">
        <f t="shared" si="80"/>
        <v/>
      </c>
      <c r="J301" s="44" t="str">
        <f t="shared" si="81"/>
        <v/>
      </c>
      <c r="K301" s="46" t="str">
        <f t="shared" si="76"/>
        <v/>
      </c>
      <c r="L301" s="46" t="str">
        <f t="shared" si="82"/>
        <v/>
      </c>
      <c r="M301" s="26" t="str">
        <f t="shared" si="83"/>
        <v/>
      </c>
      <c r="N301" s="2" t="str">
        <f t="shared" si="84"/>
        <v/>
      </c>
      <c r="P301" s="2" t="str">
        <f t="shared" si="85"/>
        <v/>
      </c>
      <c r="Q301" s="2" t="str">
        <f t="shared" si="86"/>
        <v/>
      </c>
      <c r="R301" s="2" t="str">
        <f t="shared" si="87"/>
        <v/>
      </c>
      <c r="S301" s="2" t="str">
        <f t="shared" si="88"/>
        <v/>
      </c>
      <c r="T301" s="2" t="str">
        <f t="shared" si="89"/>
        <v/>
      </c>
    </row>
    <row r="302" spans="2:20" ht="11.45" customHeight="1" x14ac:dyDescent="0.25">
      <c r="B302" s="86" t="str">
        <f t="shared" si="90"/>
        <v/>
      </c>
      <c r="C302" s="88"/>
      <c r="D302" s="87" t="str">
        <f t="shared" si="91"/>
        <v/>
      </c>
      <c r="E302" s="157" t="str">
        <f t="shared" si="77"/>
        <v/>
      </c>
      <c r="F302" s="156" t="str">
        <f t="shared" si="78"/>
        <v/>
      </c>
      <c r="G302" s="78" t="str">
        <f t="shared" si="79"/>
        <v/>
      </c>
      <c r="H302" s="44" t="str">
        <f t="shared" si="75"/>
        <v/>
      </c>
      <c r="I302" s="44" t="str">
        <f t="shared" si="80"/>
        <v/>
      </c>
      <c r="J302" s="44" t="str">
        <f t="shared" si="81"/>
        <v/>
      </c>
      <c r="K302" s="46" t="str">
        <f t="shared" si="76"/>
        <v/>
      </c>
      <c r="L302" s="46" t="str">
        <f t="shared" si="82"/>
        <v/>
      </c>
      <c r="M302" s="26" t="str">
        <f t="shared" si="83"/>
        <v/>
      </c>
      <c r="N302" s="2" t="str">
        <f t="shared" si="84"/>
        <v/>
      </c>
      <c r="P302" s="2" t="str">
        <f t="shared" si="85"/>
        <v/>
      </c>
      <c r="Q302" s="2" t="str">
        <f t="shared" si="86"/>
        <v/>
      </c>
      <c r="R302" s="2" t="str">
        <f t="shared" si="87"/>
        <v/>
      </c>
      <c r="S302" s="2" t="str">
        <f t="shared" si="88"/>
        <v/>
      </c>
      <c r="T302" s="2" t="str">
        <f t="shared" si="89"/>
        <v/>
      </c>
    </row>
    <row r="303" spans="2:20" ht="11.45" customHeight="1" x14ac:dyDescent="0.25">
      <c r="B303" s="86" t="str">
        <f t="shared" si="90"/>
        <v/>
      </c>
      <c r="C303" s="88"/>
      <c r="D303" s="87" t="str">
        <f t="shared" si="91"/>
        <v/>
      </c>
      <c r="E303" s="157" t="str">
        <f t="shared" si="77"/>
        <v/>
      </c>
      <c r="F303" s="156" t="str">
        <f t="shared" si="78"/>
        <v/>
      </c>
      <c r="G303" s="78" t="str">
        <f t="shared" si="79"/>
        <v/>
      </c>
      <c r="H303" s="44" t="str">
        <f t="shared" si="75"/>
        <v/>
      </c>
      <c r="I303" s="44" t="str">
        <f t="shared" si="80"/>
        <v/>
      </c>
      <c r="J303" s="44" t="str">
        <f t="shared" si="81"/>
        <v/>
      </c>
      <c r="K303" s="46" t="str">
        <f t="shared" si="76"/>
        <v/>
      </c>
      <c r="L303" s="46" t="str">
        <f t="shared" si="82"/>
        <v/>
      </c>
      <c r="M303" s="26" t="str">
        <f t="shared" si="83"/>
        <v/>
      </c>
      <c r="N303" s="2" t="str">
        <f t="shared" si="84"/>
        <v/>
      </c>
      <c r="P303" s="2" t="str">
        <f t="shared" si="85"/>
        <v/>
      </c>
      <c r="Q303" s="2" t="str">
        <f t="shared" si="86"/>
        <v/>
      </c>
      <c r="R303" s="2" t="str">
        <f t="shared" si="87"/>
        <v/>
      </c>
      <c r="S303" s="2" t="str">
        <f t="shared" si="88"/>
        <v/>
      </c>
      <c r="T303" s="2" t="str">
        <f t="shared" si="89"/>
        <v/>
      </c>
    </row>
    <row r="304" spans="2:20" ht="11.45" customHeight="1" x14ac:dyDescent="0.25">
      <c r="B304" s="86" t="str">
        <f t="shared" si="90"/>
        <v/>
      </c>
      <c r="C304" s="88"/>
      <c r="D304" s="87" t="str">
        <f t="shared" si="91"/>
        <v/>
      </c>
      <c r="E304" s="157" t="str">
        <f t="shared" si="77"/>
        <v/>
      </c>
      <c r="F304" s="156" t="str">
        <f t="shared" si="78"/>
        <v/>
      </c>
      <c r="G304" s="78" t="str">
        <f t="shared" si="79"/>
        <v/>
      </c>
      <c r="H304" s="44" t="str">
        <f t="shared" si="75"/>
        <v/>
      </c>
      <c r="I304" s="44" t="str">
        <f t="shared" si="80"/>
        <v/>
      </c>
      <c r="J304" s="44" t="str">
        <f t="shared" si="81"/>
        <v/>
      </c>
      <c r="K304" s="46" t="str">
        <f t="shared" si="76"/>
        <v/>
      </c>
      <c r="L304" s="46" t="str">
        <f t="shared" si="82"/>
        <v/>
      </c>
      <c r="M304" s="26" t="str">
        <f t="shared" si="83"/>
        <v/>
      </c>
      <c r="N304" s="2" t="str">
        <f t="shared" si="84"/>
        <v/>
      </c>
      <c r="P304" s="2" t="str">
        <f t="shared" si="85"/>
        <v/>
      </c>
      <c r="Q304" s="2" t="str">
        <f t="shared" si="86"/>
        <v/>
      </c>
      <c r="R304" s="2" t="str">
        <f t="shared" si="87"/>
        <v/>
      </c>
      <c r="S304" s="2" t="str">
        <f t="shared" si="88"/>
        <v/>
      </c>
      <c r="T304" s="2" t="str">
        <f t="shared" si="89"/>
        <v/>
      </c>
    </row>
    <row r="305" spans="2:20" ht="11.45" customHeight="1" x14ac:dyDescent="0.25">
      <c r="B305" s="86" t="str">
        <f t="shared" si="90"/>
        <v/>
      </c>
      <c r="C305" s="88"/>
      <c r="D305" s="87" t="str">
        <f t="shared" si="91"/>
        <v/>
      </c>
      <c r="E305" s="157" t="str">
        <f t="shared" si="77"/>
        <v/>
      </c>
      <c r="F305" s="156" t="str">
        <f t="shared" si="78"/>
        <v/>
      </c>
      <c r="G305" s="78" t="str">
        <f t="shared" si="79"/>
        <v/>
      </c>
      <c r="H305" s="44" t="str">
        <f t="shared" si="75"/>
        <v/>
      </c>
      <c r="I305" s="44" t="str">
        <f t="shared" si="80"/>
        <v/>
      </c>
      <c r="J305" s="44" t="str">
        <f t="shared" si="81"/>
        <v/>
      </c>
      <c r="K305" s="46" t="str">
        <f t="shared" si="76"/>
        <v/>
      </c>
      <c r="L305" s="46" t="str">
        <f t="shared" si="82"/>
        <v/>
      </c>
      <c r="M305" s="26" t="str">
        <f t="shared" si="83"/>
        <v/>
      </c>
      <c r="N305" s="2" t="str">
        <f t="shared" si="84"/>
        <v/>
      </c>
      <c r="P305" s="2" t="str">
        <f t="shared" si="85"/>
        <v/>
      </c>
      <c r="Q305" s="2" t="str">
        <f t="shared" si="86"/>
        <v/>
      </c>
      <c r="R305" s="2" t="str">
        <f t="shared" si="87"/>
        <v/>
      </c>
      <c r="S305" s="2" t="str">
        <f t="shared" si="88"/>
        <v/>
      </c>
      <c r="T305" s="2" t="str">
        <f t="shared" si="89"/>
        <v/>
      </c>
    </row>
    <row r="306" spans="2:20" ht="11.45" customHeight="1" x14ac:dyDescent="0.25">
      <c r="B306" s="86" t="str">
        <f t="shared" si="90"/>
        <v/>
      </c>
      <c r="C306" s="88"/>
      <c r="D306" s="87" t="str">
        <f t="shared" si="91"/>
        <v/>
      </c>
      <c r="E306" s="157" t="str">
        <f t="shared" si="77"/>
        <v/>
      </c>
      <c r="F306" s="156" t="str">
        <f t="shared" si="78"/>
        <v/>
      </c>
      <c r="G306" s="78" t="str">
        <f t="shared" si="79"/>
        <v/>
      </c>
      <c r="H306" s="44" t="str">
        <f t="shared" si="75"/>
        <v/>
      </c>
      <c r="I306" s="44" t="str">
        <f t="shared" si="80"/>
        <v/>
      </c>
      <c r="J306" s="44" t="str">
        <f t="shared" si="81"/>
        <v/>
      </c>
      <c r="K306" s="46" t="str">
        <f t="shared" si="76"/>
        <v/>
      </c>
      <c r="L306" s="46" t="str">
        <f t="shared" si="82"/>
        <v/>
      </c>
      <c r="M306" s="26" t="str">
        <f t="shared" si="83"/>
        <v/>
      </c>
      <c r="N306" s="2" t="str">
        <f t="shared" si="84"/>
        <v/>
      </c>
      <c r="P306" s="2" t="str">
        <f t="shared" si="85"/>
        <v/>
      </c>
      <c r="Q306" s="2" t="str">
        <f t="shared" si="86"/>
        <v/>
      </c>
      <c r="R306" s="2" t="str">
        <f t="shared" si="87"/>
        <v/>
      </c>
      <c r="S306" s="2" t="str">
        <f t="shared" si="88"/>
        <v/>
      </c>
      <c r="T306" s="2" t="str">
        <f t="shared" si="89"/>
        <v/>
      </c>
    </row>
    <row r="307" spans="2:20" ht="11.45" customHeight="1" x14ac:dyDescent="0.25">
      <c r="B307" s="86" t="str">
        <f t="shared" si="90"/>
        <v/>
      </c>
      <c r="C307" s="88"/>
      <c r="D307" s="87" t="str">
        <f t="shared" si="91"/>
        <v/>
      </c>
      <c r="E307" s="157" t="str">
        <f t="shared" si="77"/>
        <v/>
      </c>
      <c r="F307" s="156" t="str">
        <f t="shared" si="78"/>
        <v/>
      </c>
      <c r="G307" s="78" t="str">
        <f t="shared" si="79"/>
        <v/>
      </c>
      <c r="H307" s="44" t="str">
        <f t="shared" si="75"/>
        <v/>
      </c>
      <c r="I307" s="44" t="str">
        <f t="shared" si="80"/>
        <v/>
      </c>
      <c r="J307" s="44" t="str">
        <f t="shared" si="81"/>
        <v/>
      </c>
      <c r="K307" s="46" t="str">
        <f t="shared" si="76"/>
        <v/>
      </c>
      <c r="L307" s="46" t="str">
        <f t="shared" si="82"/>
        <v/>
      </c>
      <c r="M307" s="26" t="str">
        <f t="shared" si="83"/>
        <v/>
      </c>
      <c r="N307" s="2" t="str">
        <f t="shared" si="84"/>
        <v/>
      </c>
      <c r="P307" s="2" t="str">
        <f t="shared" si="85"/>
        <v/>
      </c>
      <c r="Q307" s="2" t="str">
        <f t="shared" si="86"/>
        <v/>
      </c>
      <c r="R307" s="2" t="str">
        <f t="shared" si="87"/>
        <v/>
      </c>
      <c r="S307" s="2" t="str">
        <f t="shared" si="88"/>
        <v/>
      </c>
      <c r="T307" s="2" t="str">
        <f t="shared" si="89"/>
        <v/>
      </c>
    </row>
    <row r="308" spans="2:20" ht="11.45" customHeight="1" x14ac:dyDescent="0.25">
      <c r="B308" s="86" t="str">
        <f t="shared" si="90"/>
        <v/>
      </c>
      <c r="C308" s="88"/>
      <c r="D308" s="87" t="str">
        <f t="shared" si="91"/>
        <v/>
      </c>
      <c r="E308" s="157" t="str">
        <f t="shared" si="77"/>
        <v/>
      </c>
      <c r="F308" s="156" t="str">
        <f t="shared" si="78"/>
        <v/>
      </c>
      <c r="G308" s="78" t="str">
        <f t="shared" si="79"/>
        <v/>
      </c>
      <c r="H308" s="44" t="str">
        <f t="shared" si="75"/>
        <v/>
      </c>
      <c r="I308" s="44" t="str">
        <f t="shared" si="80"/>
        <v/>
      </c>
      <c r="J308" s="44" t="str">
        <f t="shared" si="81"/>
        <v/>
      </c>
      <c r="K308" s="46" t="str">
        <f t="shared" si="76"/>
        <v/>
      </c>
      <c r="L308" s="46" t="str">
        <f t="shared" si="82"/>
        <v/>
      </c>
      <c r="M308" s="26" t="str">
        <f t="shared" si="83"/>
        <v/>
      </c>
      <c r="N308" s="2" t="str">
        <f t="shared" si="84"/>
        <v/>
      </c>
      <c r="P308" s="2" t="str">
        <f t="shared" si="85"/>
        <v/>
      </c>
      <c r="Q308" s="2" t="str">
        <f t="shared" si="86"/>
        <v/>
      </c>
      <c r="R308" s="2" t="str">
        <f t="shared" si="87"/>
        <v/>
      </c>
      <c r="S308" s="2" t="str">
        <f t="shared" si="88"/>
        <v/>
      </c>
      <c r="T308" s="2" t="str">
        <f t="shared" si="89"/>
        <v/>
      </c>
    </row>
    <row r="309" spans="2:20" ht="11.45" customHeight="1" x14ac:dyDescent="0.25">
      <c r="B309" s="86" t="str">
        <f t="shared" si="90"/>
        <v/>
      </c>
      <c r="C309" s="88"/>
      <c r="D309" s="87" t="str">
        <f t="shared" si="91"/>
        <v/>
      </c>
      <c r="E309" s="157" t="str">
        <f t="shared" si="77"/>
        <v/>
      </c>
      <c r="F309" s="156" t="str">
        <f t="shared" si="78"/>
        <v/>
      </c>
      <c r="G309" s="78" t="str">
        <f t="shared" si="79"/>
        <v/>
      </c>
      <c r="H309" s="44" t="str">
        <f t="shared" si="75"/>
        <v/>
      </c>
      <c r="I309" s="44" t="str">
        <f t="shared" si="80"/>
        <v/>
      </c>
      <c r="J309" s="44" t="str">
        <f t="shared" si="81"/>
        <v/>
      </c>
      <c r="K309" s="46" t="str">
        <f t="shared" si="76"/>
        <v/>
      </c>
      <c r="L309" s="46" t="str">
        <f t="shared" si="82"/>
        <v/>
      </c>
      <c r="M309" s="26" t="str">
        <f t="shared" si="83"/>
        <v/>
      </c>
      <c r="N309" s="2" t="str">
        <f t="shared" si="84"/>
        <v/>
      </c>
      <c r="P309" s="2" t="str">
        <f t="shared" si="85"/>
        <v/>
      </c>
      <c r="Q309" s="2" t="str">
        <f t="shared" si="86"/>
        <v/>
      </c>
      <c r="R309" s="2" t="str">
        <f t="shared" si="87"/>
        <v/>
      </c>
      <c r="S309" s="2" t="str">
        <f t="shared" si="88"/>
        <v/>
      </c>
      <c r="T309" s="2" t="str">
        <f t="shared" si="89"/>
        <v/>
      </c>
    </row>
    <row r="310" spans="2:20" ht="11.45" customHeight="1" x14ac:dyDescent="0.25">
      <c r="B310" s="86" t="str">
        <f t="shared" si="90"/>
        <v/>
      </c>
      <c r="C310" s="88"/>
      <c r="D310" s="87" t="str">
        <f t="shared" si="91"/>
        <v/>
      </c>
      <c r="E310" s="157" t="str">
        <f t="shared" si="77"/>
        <v/>
      </c>
      <c r="F310" s="156" t="str">
        <f t="shared" si="78"/>
        <v/>
      </c>
      <c r="G310" s="78" t="str">
        <f t="shared" si="79"/>
        <v/>
      </c>
      <c r="H310" s="44" t="str">
        <f t="shared" si="75"/>
        <v/>
      </c>
      <c r="I310" s="44" t="str">
        <f t="shared" si="80"/>
        <v/>
      </c>
      <c r="J310" s="44" t="str">
        <f t="shared" si="81"/>
        <v/>
      </c>
      <c r="K310" s="46" t="str">
        <f t="shared" si="76"/>
        <v/>
      </c>
      <c r="L310" s="46" t="str">
        <f t="shared" si="82"/>
        <v/>
      </c>
      <c r="M310" s="26" t="str">
        <f t="shared" si="83"/>
        <v/>
      </c>
      <c r="N310" s="2" t="str">
        <f t="shared" si="84"/>
        <v/>
      </c>
      <c r="P310" s="2" t="str">
        <f t="shared" si="85"/>
        <v/>
      </c>
      <c r="Q310" s="2" t="str">
        <f t="shared" si="86"/>
        <v/>
      </c>
      <c r="R310" s="2" t="str">
        <f t="shared" si="87"/>
        <v/>
      </c>
      <c r="S310" s="2" t="str">
        <f t="shared" si="88"/>
        <v/>
      </c>
      <c r="T310" s="2" t="str">
        <f t="shared" si="89"/>
        <v/>
      </c>
    </row>
    <row r="311" spans="2:20" ht="11.45" customHeight="1" x14ac:dyDescent="0.25">
      <c r="B311" s="86" t="str">
        <f t="shared" si="90"/>
        <v/>
      </c>
      <c r="C311" s="88"/>
      <c r="D311" s="87" t="str">
        <f t="shared" si="91"/>
        <v/>
      </c>
      <c r="E311" s="157" t="str">
        <f t="shared" si="77"/>
        <v/>
      </c>
      <c r="F311" s="156" t="str">
        <f t="shared" si="78"/>
        <v/>
      </c>
      <c r="G311" s="78" t="str">
        <f t="shared" si="79"/>
        <v/>
      </c>
      <c r="H311" s="44" t="str">
        <f t="shared" si="75"/>
        <v/>
      </c>
      <c r="I311" s="44" t="str">
        <f t="shared" si="80"/>
        <v/>
      </c>
      <c r="J311" s="44" t="str">
        <f t="shared" si="81"/>
        <v/>
      </c>
      <c r="K311" s="46" t="str">
        <f t="shared" si="76"/>
        <v/>
      </c>
      <c r="L311" s="46" t="str">
        <f t="shared" si="82"/>
        <v/>
      </c>
      <c r="M311" s="26" t="str">
        <f t="shared" si="83"/>
        <v/>
      </c>
      <c r="N311" s="2" t="str">
        <f t="shared" si="84"/>
        <v/>
      </c>
      <c r="P311" s="2" t="str">
        <f t="shared" si="85"/>
        <v/>
      </c>
      <c r="Q311" s="2" t="str">
        <f t="shared" si="86"/>
        <v/>
      </c>
      <c r="R311" s="2" t="str">
        <f t="shared" si="87"/>
        <v/>
      </c>
      <c r="S311" s="2" t="str">
        <f t="shared" si="88"/>
        <v/>
      </c>
      <c r="T311" s="2" t="str">
        <f t="shared" si="89"/>
        <v/>
      </c>
    </row>
    <row r="312" spans="2:20" ht="11.45" customHeight="1" x14ac:dyDescent="0.25">
      <c r="B312" s="86" t="str">
        <f t="shared" si="90"/>
        <v/>
      </c>
      <c r="C312" s="88"/>
      <c r="D312" s="87" t="str">
        <f t="shared" si="91"/>
        <v/>
      </c>
      <c r="E312" s="157" t="str">
        <f t="shared" si="77"/>
        <v/>
      </c>
      <c r="F312" s="156" t="str">
        <f t="shared" si="78"/>
        <v/>
      </c>
      <c r="G312" s="78" t="str">
        <f t="shared" si="79"/>
        <v/>
      </c>
      <c r="H312" s="44" t="str">
        <f t="shared" si="75"/>
        <v/>
      </c>
      <c r="I312" s="44" t="str">
        <f t="shared" si="80"/>
        <v/>
      </c>
      <c r="J312" s="44" t="str">
        <f t="shared" si="81"/>
        <v/>
      </c>
      <c r="K312" s="46" t="str">
        <f t="shared" si="76"/>
        <v/>
      </c>
      <c r="L312" s="46" t="str">
        <f t="shared" si="82"/>
        <v/>
      </c>
      <c r="M312" s="26" t="str">
        <f t="shared" si="83"/>
        <v/>
      </c>
      <c r="N312" s="2" t="str">
        <f t="shared" si="84"/>
        <v/>
      </c>
      <c r="P312" s="2" t="str">
        <f t="shared" si="85"/>
        <v/>
      </c>
      <c r="Q312" s="2" t="str">
        <f t="shared" si="86"/>
        <v/>
      </c>
      <c r="R312" s="2" t="str">
        <f t="shared" si="87"/>
        <v/>
      </c>
      <c r="S312" s="2" t="str">
        <f t="shared" si="88"/>
        <v/>
      </c>
      <c r="T312" s="2" t="str">
        <f t="shared" si="89"/>
        <v/>
      </c>
    </row>
    <row r="313" spans="2:20" ht="11.45" customHeight="1" x14ac:dyDescent="0.25">
      <c r="B313" s="86" t="str">
        <f t="shared" si="90"/>
        <v/>
      </c>
      <c r="C313" s="88"/>
      <c r="D313" s="87" t="str">
        <f t="shared" si="91"/>
        <v/>
      </c>
      <c r="E313" s="157" t="str">
        <f t="shared" si="77"/>
        <v/>
      </c>
      <c r="F313" s="156" t="str">
        <f t="shared" si="78"/>
        <v/>
      </c>
      <c r="G313" s="78" t="str">
        <f t="shared" si="79"/>
        <v/>
      </c>
      <c r="H313" s="44" t="str">
        <f t="shared" si="75"/>
        <v/>
      </c>
      <c r="I313" s="44" t="str">
        <f t="shared" si="80"/>
        <v/>
      </c>
      <c r="J313" s="44" t="str">
        <f t="shared" si="81"/>
        <v/>
      </c>
      <c r="K313" s="46" t="str">
        <f t="shared" si="76"/>
        <v/>
      </c>
      <c r="L313" s="46" t="str">
        <f t="shared" si="82"/>
        <v/>
      </c>
      <c r="M313" s="26" t="str">
        <f t="shared" si="83"/>
        <v/>
      </c>
      <c r="N313" s="2" t="str">
        <f t="shared" si="84"/>
        <v/>
      </c>
      <c r="P313" s="2" t="str">
        <f t="shared" si="85"/>
        <v/>
      </c>
      <c r="Q313" s="2" t="str">
        <f t="shared" si="86"/>
        <v/>
      </c>
      <c r="R313" s="2" t="str">
        <f t="shared" si="87"/>
        <v/>
      </c>
      <c r="S313" s="2" t="str">
        <f t="shared" si="88"/>
        <v/>
      </c>
      <c r="T313" s="2" t="str">
        <f t="shared" si="89"/>
        <v/>
      </c>
    </row>
    <row r="314" spans="2:20" ht="11.45" customHeight="1" x14ac:dyDescent="0.25">
      <c r="B314" s="86" t="str">
        <f t="shared" si="90"/>
        <v/>
      </c>
      <c r="C314" s="88"/>
      <c r="D314" s="87" t="str">
        <f t="shared" si="91"/>
        <v/>
      </c>
      <c r="E314" s="157" t="str">
        <f t="shared" si="77"/>
        <v/>
      </c>
      <c r="F314" s="156" t="str">
        <f t="shared" si="78"/>
        <v/>
      </c>
      <c r="G314" s="78" t="str">
        <f t="shared" si="79"/>
        <v/>
      </c>
      <c r="H314" s="44" t="str">
        <f t="shared" si="75"/>
        <v/>
      </c>
      <c r="I314" s="44" t="str">
        <f t="shared" si="80"/>
        <v/>
      </c>
      <c r="J314" s="44" t="str">
        <f t="shared" si="81"/>
        <v/>
      </c>
      <c r="K314" s="46" t="str">
        <f t="shared" si="76"/>
        <v/>
      </c>
      <c r="L314" s="46" t="str">
        <f t="shared" si="82"/>
        <v/>
      </c>
      <c r="M314" s="26" t="str">
        <f t="shared" si="83"/>
        <v/>
      </c>
      <c r="N314" s="2" t="str">
        <f t="shared" si="84"/>
        <v/>
      </c>
      <c r="P314" s="2" t="str">
        <f t="shared" si="85"/>
        <v/>
      </c>
      <c r="Q314" s="2" t="str">
        <f t="shared" si="86"/>
        <v/>
      </c>
      <c r="R314" s="2" t="str">
        <f t="shared" si="87"/>
        <v/>
      </c>
      <c r="S314" s="2" t="str">
        <f t="shared" si="88"/>
        <v/>
      </c>
      <c r="T314" s="2" t="str">
        <f t="shared" si="89"/>
        <v/>
      </c>
    </row>
    <row r="315" spans="2:20" ht="11.45" customHeight="1" x14ac:dyDescent="0.25">
      <c r="B315" s="86" t="str">
        <f t="shared" si="90"/>
        <v/>
      </c>
      <c r="C315" s="88"/>
      <c r="D315" s="87" t="str">
        <f t="shared" si="91"/>
        <v/>
      </c>
      <c r="E315" s="157" t="str">
        <f t="shared" si="77"/>
        <v/>
      </c>
      <c r="F315" s="156" t="str">
        <f t="shared" si="78"/>
        <v/>
      </c>
      <c r="G315" s="78" t="str">
        <f t="shared" si="79"/>
        <v/>
      </c>
      <c r="H315" s="44" t="str">
        <f t="shared" si="75"/>
        <v/>
      </c>
      <c r="I315" s="44" t="str">
        <f t="shared" si="80"/>
        <v/>
      </c>
      <c r="J315" s="44" t="str">
        <f t="shared" si="81"/>
        <v/>
      </c>
      <c r="K315" s="46" t="str">
        <f t="shared" si="76"/>
        <v/>
      </c>
      <c r="L315" s="46" t="str">
        <f t="shared" si="82"/>
        <v/>
      </c>
      <c r="M315" s="26" t="str">
        <f t="shared" si="83"/>
        <v/>
      </c>
      <c r="N315" s="2" t="str">
        <f t="shared" si="84"/>
        <v/>
      </c>
      <c r="P315" s="2" t="str">
        <f t="shared" si="85"/>
        <v/>
      </c>
      <c r="Q315" s="2" t="str">
        <f t="shared" si="86"/>
        <v/>
      </c>
      <c r="R315" s="2" t="str">
        <f t="shared" si="87"/>
        <v/>
      </c>
      <c r="S315" s="2" t="str">
        <f t="shared" si="88"/>
        <v/>
      </c>
      <c r="T315" s="2" t="str">
        <f t="shared" si="89"/>
        <v/>
      </c>
    </row>
    <row r="316" spans="2:20" ht="11.45" customHeight="1" x14ac:dyDescent="0.25">
      <c r="B316" s="86" t="str">
        <f t="shared" si="90"/>
        <v/>
      </c>
      <c r="C316" s="88"/>
      <c r="D316" s="87" t="str">
        <f t="shared" si="91"/>
        <v/>
      </c>
      <c r="E316" s="157" t="str">
        <f t="shared" si="77"/>
        <v/>
      </c>
      <c r="F316" s="156" t="str">
        <f t="shared" si="78"/>
        <v/>
      </c>
      <c r="G316" s="78" t="str">
        <f t="shared" si="79"/>
        <v/>
      </c>
      <c r="H316" s="44" t="str">
        <f t="shared" si="75"/>
        <v/>
      </c>
      <c r="I316" s="44" t="str">
        <f t="shared" si="80"/>
        <v/>
      </c>
      <c r="J316" s="44" t="str">
        <f t="shared" si="81"/>
        <v/>
      </c>
      <c r="K316" s="46" t="str">
        <f t="shared" si="76"/>
        <v/>
      </c>
      <c r="L316" s="46" t="str">
        <f t="shared" si="82"/>
        <v/>
      </c>
      <c r="M316" s="26" t="str">
        <f t="shared" si="83"/>
        <v/>
      </c>
      <c r="N316" s="2" t="str">
        <f t="shared" si="84"/>
        <v/>
      </c>
      <c r="P316" s="2" t="str">
        <f t="shared" si="85"/>
        <v/>
      </c>
      <c r="Q316" s="2" t="str">
        <f t="shared" si="86"/>
        <v/>
      </c>
      <c r="R316" s="2" t="str">
        <f t="shared" si="87"/>
        <v/>
      </c>
      <c r="S316" s="2" t="str">
        <f t="shared" si="88"/>
        <v/>
      </c>
      <c r="T316" s="2" t="str">
        <f t="shared" si="89"/>
        <v/>
      </c>
    </row>
    <row r="317" spans="2:20" ht="11.45" customHeight="1" x14ac:dyDescent="0.25">
      <c r="B317" s="86" t="str">
        <f t="shared" si="90"/>
        <v/>
      </c>
      <c r="C317" s="88"/>
      <c r="D317" s="87" t="str">
        <f t="shared" si="91"/>
        <v/>
      </c>
      <c r="E317" s="157" t="str">
        <f t="shared" si="77"/>
        <v/>
      </c>
      <c r="F317" s="156" t="str">
        <f t="shared" si="78"/>
        <v/>
      </c>
      <c r="G317" s="78" t="str">
        <f t="shared" si="79"/>
        <v/>
      </c>
      <c r="H317" s="44" t="str">
        <f t="shared" si="75"/>
        <v/>
      </c>
      <c r="I317" s="44" t="str">
        <f t="shared" si="80"/>
        <v/>
      </c>
      <c r="J317" s="44" t="str">
        <f t="shared" si="81"/>
        <v/>
      </c>
      <c r="K317" s="46" t="str">
        <f t="shared" si="76"/>
        <v/>
      </c>
      <c r="L317" s="46" t="str">
        <f t="shared" si="82"/>
        <v/>
      </c>
      <c r="M317" s="26" t="str">
        <f t="shared" si="83"/>
        <v/>
      </c>
      <c r="N317" s="2" t="str">
        <f t="shared" si="84"/>
        <v/>
      </c>
      <c r="P317" s="2" t="str">
        <f t="shared" si="85"/>
        <v/>
      </c>
      <c r="Q317" s="2" t="str">
        <f t="shared" si="86"/>
        <v/>
      </c>
      <c r="R317" s="2" t="str">
        <f t="shared" si="87"/>
        <v/>
      </c>
      <c r="S317" s="2" t="str">
        <f t="shared" si="88"/>
        <v/>
      </c>
      <c r="T317" s="2" t="str">
        <f t="shared" si="89"/>
        <v/>
      </c>
    </row>
    <row r="318" spans="2:20" ht="11.45" customHeight="1" x14ac:dyDescent="0.25">
      <c r="B318" s="86" t="str">
        <f t="shared" si="90"/>
        <v/>
      </c>
      <c r="C318" s="88"/>
      <c r="D318" s="87" t="str">
        <f t="shared" si="91"/>
        <v/>
      </c>
      <c r="E318" s="157" t="str">
        <f t="shared" si="77"/>
        <v/>
      </c>
      <c r="F318" s="156" t="str">
        <f t="shared" si="78"/>
        <v/>
      </c>
      <c r="G318" s="78" t="str">
        <f t="shared" si="79"/>
        <v/>
      </c>
      <c r="H318" s="44" t="str">
        <f t="shared" si="75"/>
        <v/>
      </c>
      <c r="I318" s="44" t="str">
        <f t="shared" si="80"/>
        <v/>
      </c>
      <c r="J318" s="44" t="str">
        <f t="shared" si="81"/>
        <v/>
      </c>
      <c r="K318" s="46" t="str">
        <f t="shared" si="76"/>
        <v/>
      </c>
      <c r="L318" s="46" t="str">
        <f t="shared" si="82"/>
        <v/>
      </c>
      <c r="M318" s="26" t="str">
        <f t="shared" si="83"/>
        <v/>
      </c>
      <c r="N318" s="2" t="str">
        <f t="shared" si="84"/>
        <v/>
      </c>
      <c r="P318" s="2" t="str">
        <f t="shared" si="85"/>
        <v/>
      </c>
      <c r="Q318" s="2" t="str">
        <f t="shared" si="86"/>
        <v/>
      </c>
      <c r="R318" s="2" t="str">
        <f t="shared" si="87"/>
        <v/>
      </c>
      <c r="S318" s="2" t="str">
        <f t="shared" si="88"/>
        <v/>
      </c>
      <c r="T318" s="2" t="str">
        <f t="shared" si="89"/>
        <v/>
      </c>
    </row>
    <row r="319" spans="2:20" ht="11.45" customHeight="1" x14ac:dyDescent="0.25">
      <c r="B319" s="86" t="str">
        <f t="shared" si="90"/>
        <v/>
      </c>
      <c r="C319" s="88"/>
      <c r="D319" s="87" t="str">
        <f t="shared" si="91"/>
        <v/>
      </c>
      <c r="E319" s="157" t="str">
        <f t="shared" si="77"/>
        <v/>
      </c>
      <c r="F319" s="156" t="str">
        <f t="shared" si="78"/>
        <v/>
      </c>
      <c r="G319" s="78" t="str">
        <f t="shared" si="79"/>
        <v/>
      </c>
      <c r="H319" s="44" t="str">
        <f t="shared" si="75"/>
        <v/>
      </c>
      <c r="I319" s="44" t="str">
        <f t="shared" si="80"/>
        <v/>
      </c>
      <c r="J319" s="44" t="str">
        <f t="shared" si="81"/>
        <v/>
      </c>
      <c r="K319" s="46" t="str">
        <f t="shared" si="76"/>
        <v/>
      </c>
      <c r="L319" s="46" t="str">
        <f t="shared" si="82"/>
        <v/>
      </c>
      <c r="M319" s="26" t="str">
        <f t="shared" si="83"/>
        <v/>
      </c>
      <c r="N319" s="2" t="str">
        <f t="shared" si="84"/>
        <v/>
      </c>
      <c r="P319" s="2" t="str">
        <f t="shared" si="85"/>
        <v/>
      </c>
      <c r="Q319" s="2" t="str">
        <f t="shared" si="86"/>
        <v/>
      </c>
      <c r="R319" s="2" t="str">
        <f t="shared" si="87"/>
        <v/>
      </c>
      <c r="S319" s="2" t="str">
        <f t="shared" si="88"/>
        <v/>
      </c>
      <c r="T319" s="2" t="str">
        <f t="shared" si="89"/>
        <v/>
      </c>
    </row>
    <row r="320" spans="2:20" ht="11.45" customHeight="1" x14ac:dyDescent="0.25">
      <c r="B320" s="86" t="str">
        <f t="shared" si="90"/>
        <v/>
      </c>
      <c r="C320" s="88"/>
      <c r="D320" s="87" t="str">
        <f t="shared" si="91"/>
        <v/>
      </c>
      <c r="E320" s="157" t="str">
        <f t="shared" si="77"/>
        <v/>
      </c>
      <c r="F320" s="156" t="str">
        <f t="shared" si="78"/>
        <v/>
      </c>
      <c r="G320" s="78" t="str">
        <f t="shared" si="79"/>
        <v/>
      </c>
      <c r="H320" s="44" t="str">
        <f t="shared" si="75"/>
        <v/>
      </c>
      <c r="I320" s="44" t="str">
        <f t="shared" si="80"/>
        <v/>
      </c>
      <c r="J320" s="44" t="str">
        <f t="shared" si="81"/>
        <v/>
      </c>
      <c r="K320" s="46" t="str">
        <f t="shared" si="76"/>
        <v/>
      </c>
      <c r="L320" s="46" t="str">
        <f t="shared" si="82"/>
        <v/>
      </c>
      <c r="M320" s="26" t="str">
        <f t="shared" si="83"/>
        <v/>
      </c>
      <c r="N320" s="2" t="str">
        <f t="shared" si="84"/>
        <v/>
      </c>
      <c r="P320" s="2" t="str">
        <f t="shared" si="85"/>
        <v/>
      </c>
      <c r="Q320" s="2" t="str">
        <f t="shared" si="86"/>
        <v/>
      </c>
      <c r="R320" s="2" t="str">
        <f t="shared" si="87"/>
        <v/>
      </c>
      <c r="S320" s="2" t="str">
        <f t="shared" si="88"/>
        <v/>
      </c>
      <c r="T320" s="2" t="str">
        <f t="shared" si="89"/>
        <v/>
      </c>
    </row>
    <row r="321" spans="2:20" ht="11.45" customHeight="1" x14ac:dyDescent="0.25">
      <c r="B321" s="86" t="str">
        <f t="shared" si="90"/>
        <v/>
      </c>
      <c r="C321" s="88"/>
      <c r="D321" s="87" t="str">
        <f t="shared" si="91"/>
        <v/>
      </c>
      <c r="E321" s="157" t="str">
        <f t="shared" si="77"/>
        <v/>
      </c>
      <c r="F321" s="156" t="str">
        <f t="shared" si="78"/>
        <v/>
      </c>
      <c r="G321" s="78" t="str">
        <f t="shared" si="79"/>
        <v/>
      </c>
      <c r="H321" s="44" t="str">
        <f t="shared" si="75"/>
        <v/>
      </c>
      <c r="I321" s="44" t="str">
        <f t="shared" si="80"/>
        <v/>
      </c>
      <c r="J321" s="44" t="str">
        <f t="shared" si="81"/>
        <v/>
      </c>
      <c r="K321" s="46" t="str">
        <f t="shared" si="76"/>
        <v/>
      </c>
      <c r="L321" s="46" t="str">
        <f t="shared" si="82"/>
        <v/>
      </c>
      <c r="M321" s="26" t="str">
        <f t="shared" si="83"/>
        <v/>
      </c>
      <c r="N321" s="2" t="str">
        <f t="shared" si="84"/>
        <v/>
      </c>
      <c r="P321" s="2" t="str">
        <f t="shared" si="85"/>
        <v/>
      </c>
      <c r="Q321" s="2" t="str">
        <f t="shared" si="86"/>
        <v/>
      </c>
      <c r="R321" s="2" t="str">
        <f t="shared" si="87"/>
        <v/>
      </c>
      <c r="S321" s="2" t="str">
        <f t="shared" si="88"/>
        <v/>
      </c>
      <c r="T321" s="2" t="str">
        <f t="shared" si="89"/>
        <v/>
      </c>
    </row>
    <row r="322" spans="2:20" ht="11.45" customHeight="1" x14ac:dyDescent="0.25">
      <c r="B322" s="86" t="str">
        <f t="shared" si="90"/>
        <v/>
      </c>
      <c r="C322" s="88"/>
      <c r="D322" s="87" t="str">
        <f t="shared" si="91"/>
        <v/>
      </c>
      <c r="E322" s="157" t="str">
        <f t="shared" si="77"/>
        <v/>
      </c>
      <c r="F322" s="156" t="str">
        <f t="shared" si="78"/>
        <v/>
      </c>
      <c r="G322" s="78" t="str">
        <f t="shared" si="79"/>
        <v/>
      </c>
      <c r="H322" s="44" t="str">
        <f t="shared" si="75"/>
        <v/>
      </c>
      <c r="I322" s="44" t="str">
        <f t="shared" si="80"/>
        <v/>
      </c>
      <c r="J322" s="44" t="str">
        <f t="shared" si="81"/>
        <v/>
      </c>
      <c r="K322" s="46" t="str">
        <f t="shared" si="76"/>
        <v/>
      </c>
      <c r="L322" s="46" t="str">
        <f t="shared" si="82"/>
        <v/>
      </c>
      <c r="M322" s="26" t="str">
        <f t="shared" si="83"/>
        <v/>
      </c>
      <c r="N322" s="2" t="str">
        <f t="shared" si="84"/>
        <v/>
      </c>
      <c r="P322" s="2" t="str">
        <f t="shared" si="85"/>
        <v/>
      </c>
      <c r="Q322" s="2" t="str">
        <f t="shared" si="86"/>
        <v/>
      </c>
      <c r="R322" s="2" t="str">
        <f t="shared" si="87"/>
        <v/>
      </c>
      <c r="S322" s="2" t="str">
        <f t="shared" si="88"/>
        <v/>
      </c>
      <c r="T322" s="2" t="str">
        <f t="shared" si="89"/>
        <v/>
      </c>
    </row>
    <row r="323" spans="2:20" ht="11.45" customHeight="1" x14ac:dyDescent="0.25">
      <c r="B323" s="86" t="str">
        <f t="shared" si="90"/>
        <v/>
      </c>
      <c r="C323" s="88"/>
      <c r="D323" s="87" t="str">
        <f t="shared" si="91"/>
        <v/>
      </c>
      <c r="E323" s="157" t="str">
        <f t="shared" si="77"/>
        <v/>
      </c>
      <c r="F323" s="156" t="str">
        <f t="shared" si="78"/>
        <v/>
      </c>
      <c r="G323" s="78" t="str">
        <f t="shared" si="79"/>
        <v/>
      </c>
      <c r="H323" s="44" t="str">
        <f t="shared" si="75"/>
        <v/>
      </c>
      <c r="I323" s="44" t="str">
        <f t="shared" si="80"/>
        <v/>
      </c>
      <c r="J323" s="44" t="str">
        <f t="shared" si="81"/>
        <v/>
      </c>
      <c r="K323" s="46" t="str">
        <f t="shared" si="76"/>
        <v/>
      </c>
      <c r="L323" s="46" t="str">
        <f t="shared" si="82"/>
        <v/>
      </c>
      <c r="M323" s="26" t="str">
        <f t="shared" si="83"/>
        <v/>
      </c>
      <c r="N323" s="2" t="str">
        <f t="shared" si="84"/>
        <v/>
      </c>
      <c r="P323" s="2" t="str">
        <f t="shared" si="85"/>
        <v/>
      </c>
      <c r="Q323" s="2" t="str">
        <f t="shared" si="86"/>
        <v/>
      </c>
      <c r="R323" s="2" t="str">
        <f t="shared" si="87"/>
        <v/>
      </c>
      <c r="S323" s="2" t="str">
        <f t="shared" si="88"/>
        <v/>
      </c>
      <c r="T323" s="2" t="str">
        <f t="shared" si="89"/>
        <v/>
      </c>
    </row>
    <row r="324" spans="2:20" ht="11.45" customHeight="1" x14ac:dyDescent="0.25">
      <c r="B324" s="86" t="str">
        <f t="shared" si="90"/>
        <v/>
      </c>
      <c r="C324" s="88"/>
      <c r="D324" s="87" t="str">
        <f t="shared" si="91"/>
        <v/>
      </c>
      <c r="E324" s="157" t="str">
        <f t="shared" si="77"/>
        <v/>
      </c>
      <c r="F324" s="156" t="str">
        <f t="shared" si="78"/>
        <v/>
      </c>
      <c r="G324" s="78" t="str">
        <f t="shared" si="79"/>
        <v/>
      </c>
      <c r="H324" s="44" t="str">
        <f t="shared" si="75"/>
        <v/>
      </c>
      <c r="I324" s="44" t="str">
        <f t="shared" si="80"/>
        <v/>
      </c>
      <c r="J324" s="44" t="str">
        <f t="shared" si="81"/>
        <v/>
      </c>
      <c r="K324" s="46" t="str">
        <f t="shared" si="76"/>
        <v/>
      </c>
      <c r="L324" s="46" t="str">
        <f t="shared" si="82"/>
        <v/>
      </c>
      <c r="M324" s="26" t="str">
        <f t="shared" si="83"/>
        <v/>
      </c>
      <c r="N324" s="2" t="str">
        <f t="shared" si="84"/>
        <v/>
      </c>
      <c r="P324" s="2" t="str">
        <f t="shared" si="85"/>
        <v/>
      </c>
      <c r="Q324" s="2" t="str">
        <f t="shared" si="86"/>
        <v/>
      </c>
      <c r="R324" s="2" t="str">
        <f t="shared" si="87"/>
        <v/>
      </c>
      <c r="S324" s="2" t="str">
        <f t="shared" si="88"/>
        <v/>
      </c>
      <c r="T324" s="2" t="str">
        <f t="shared" si="89"/>
        <v/>
      </c>
    </row>
    <row r="325" spans="2:20" ht="11.45" customHeight="1" x14ac:dyDescent="0.25">
      <c r="B325" s="86" t="str">
        <f t="shared" si="90"/>
        <v/>
      </c>
      <c r="C325" s="88"/>
      <c r="D325" s="87" t="str">
        <f t="shared" si="91"/>
        <v/>
      </c>
      <c r="E325" s="157" t="str">
        <f t="shared" si="77"/>
        <v/>
      </c>
      <c r="F325" s="156" t="str">
        <f t="shared" si="78"/>
        <v/>
      </c>
      <c r="G325" s="78" t="str">
        <f t="shared" si="79"/>
        <v/>
      </c>
      <c r="H325" s="44" t="str">
        <f t="shared" si="75"/>
        <v/>
      </c>
      <c r="I325" s="44" t="str">
        <f t="shared" si="80"/>
        <v/>
      </c>
      <c r="J325" s="44" t="str">
        <f t="shared" si="81"/>
        <v/>
      </c>
      <c r="K325" s="46" t="str">
        <f t="shared" si="76"/>
        <v/>
      </c>
      <c r="L325" s="46" t="str">
        <f t="shared" si="82"/>
        <v/>
      </c>
      <c r="M325" s="26" t="str">
        <f t="shared" si="83"/>
        <v/>
      </c>
      <c r="N325" s="2" t="str">
        <f t="shared" si="84"/>
        <v/>
      </c>
      <c r="P325" s="2" t="str">
        <f t="shared" si="85"/>
        <v/>
      </c>
      <c r="Q325" s="2" t="str">
        <f t="shared" si="86"/>
        <v/>
      </c>
      <c r="R325" s="2" t="str">
        <f t="shared" si="87"/>
        <v/>
      </c>
      <c r="S325" s="2" t="str">
        <f t="shared" si="88"/>
        <v/>
      </c>
      <c r="T325" s="2" t="str">
        <f t="shared" si="89"/>
        <v/>
      </c>
    </row>
    <row r="326" spans="2:20" ht="11.45" customHeight="1" x14ac:dyDescent="0.25">
      <c r="B326" s="86" t="str">
        <f t="shared" si="90"/>
        <v/>
      </c>
      <c r="C326" s="88"/>
      <c r="D326" s="87" t="str">
        <f t="shared" si="91"/>
        <v/>
      </c>
      <c r="E326" s="157" t="str">
        <f t="shared" si="77"/>
        <v/>
      </c>
      <c r="F326" s="156" t="str">
        <f t="shared" si="78"/>
        <v/>
      </c>
      <c r="G326" s="78" t="str">
        <f t="shared" si="79"/>
        <v/>
      </c>
      <c r="H326" s="44" t="str">
        <f t="shared" si="75"/>
        <v/>
      </c>
      <c r="I326" s="44" t="str">
        <f t="shared" si="80"/>
        <v/>
      </c>
      <c r="J326" s="44" t="str">
        <f t="shared" si="81"/>
        <v/>
      </c>
      <c r="K326" s="46" t="str">
        <f t="shared" si="76"/>
        <v/>
      </c>
      <c r="L326" s="46" t="str">
        <f t="shared" si="82"/>
        <v/>
      </c>
      <c r="M326" s="26" t="str">
        <f t="shared" si="83"/>
        <v/>
      </c>
      <c r="N326" s="2" t="str">
        <f t="shared" si="84"/>
        <v/>
      </c>
      <c r="P326" s="2" t="str">
        <f t="shared" si="85"/>
        <v/>
      </c>
      <c r="Q326" s="2" t="str">
        <f t="shared" si="86"/>
        <v/>
      </c>
      <c r="R326" s="2" t="str">
        <f t="shared" si="87"/>
        <v/>
      </c>
      <c r="S326" s="2" t="str">
        <f t="shared" si="88"/>
        <v/>
      </c>
      <c r="T326" s="2" t="str">
        <f t="shared" si="89"/>
        <v/>
      </c>
    </row>
    <row r="327" spans="2:20" ht="11.45" customHeight="1" x14ac:dyDescent="0.25">
      <c r="B327" s="86" t="str">
        <f t="shared" si="90"/>
        <v/>
      </c>
      <c r="C327" s="88"/>
      <c r="D327" s="87" t="str">
        <f t="shared" si="91"/>
        <v/>
      </c>
      <c r="E327" s="157" t="str">
        <f t="shared" si="77"/>
        <v/>
      </c>
      <c r="F327" s="156" t="str">
        <f t="shared" si="78"/>
        <v/>
      </c>
      <c r="G327" s="78" t="str">
        <f t="shared" si="79"/>
        <v/>
      </c>
      <c r="H327" s="44" t="str">
        <f t="shared" si="75"/>
        <v/>
      </c>
      <c r="I327" s="44" t="str">
        <f t="shared" si="80"/>
        <v/>
      </c>
      <c r="J327" s="44" t="str">
        <f t="shared" si="81"/>
        <v/>
      </c>
      <c r="K327" s="46" t="str">
        <f t="shared" si="76"/>
        <v/>
      </c>
      <c r="L327" s="46" t="str">
        <f t="shared" si="82"/>
        <v/>
      </c>
      <c r="M327" s="26" t="str">
        <f t="shared" si="83"/>
        <v/>
      </c>
      <c r="N327" s="2" t="str">
        <f t="shared" si="84"/>
        <v/>
      </c>
      <c r="P327" s="2" t="str">
        <f t="shared" si="85"/>
        <v/>
      </c>
      <c r="Q327" s="2" t="str">
        <f t="shared" si="86"/>
        <v/>
      </c>
      <c r="R327" s="2" t="str">
        <f t="shared" si="87"/>
        <v/>
      </c>
      <c r="S327" s="2" t="str">
        <f t="shared" si="88"/>
        <v/>
      </c>
      <c r="T327" s="2" t="str">
        <f t="shared" si="89"/>
        <v/>
      </c>
    </row>
    <row r="328" spans="2:20" ht="11.45" customHeight="1" x14ac:dyDescent="0.25">
      <c r="B328" s="86" t="str">
        <f t="shared" si="90"/>
        <v/>
      </c>
      <c r="C328" s="88"/>
      <c r="D328" s="87" t="str">
        <f t="shared" si="91"/>
        <v/>
      </c>
      <c r="E328" s="157" t="str">
        <f t="shared" si="77"/>
        <v/>
      </c>
      <c r="F328" s="156" t="str">
        <f t="shared" si="78"/>
        <v/>
      </c>
      <c r="G328" s="78" t="str">
        <f t="shared" si="79"/>
        <v/>
      </c>
      <c r="H328" s="44" t="str">
        <f t="shared" si="75"/>
        <v/>
      </c>
      <c r="I328" s="44" t="str">
        <f t="shared" si="80"/>
        <v/>
      </c>
      <c r="J328" s="44" t="str">
        <f t="shared" si="81"/>
        <v/>
      </c>
      <c r="K328" s="46" t="str">
        <f t="shared" si="76"/>
        <v/>
      </c>
      <c r="L328" s="46" t="str">
        <f t="shared" si="82"/>
        <v/>
      </c>
      <c r="M328" s="26" t="str">
        <f t="shared" si="83"/>
        <v/>
      </c>
      <c r="N328" s="2" t="str">
        <f t="shared" si="84"/>
        <v/>
      </c>
      <c r="P328" s="2" t="str">
        <f t="shared" si="85"/>
        <v/>
      </c>
      <c r="Q328" s="2" t="str">
        <f t="shared" si="86"/>
        <v/>
      </c>
      <c r="R328" s="2" t="str">
        <f t="shared" si="87"/>
        <v/>
      </c>
      <c r="S328" s="2" t="str">
        <f t="shared" si="88"/>
        <v/>
      </c>
      <c r="T328" s="2" t="str">
        <f t="shared" si="89"/>
        <v/>
      </c>
    </row>
    <row r="329" spans="2:20" ht="11.45" customHeight="1" x14ac:dyDescent="0.25">
      <c r="B329" s="86" t="str">
        <f t="shared" si="90"/>
        <v/>
      </c>
      <c r="C329" s="88"/>
      <c r="D329" s="87" t="str">
        <f t="shared" si="91"/>
        <v/>
      </c>
      <c r="E329" s="157" t="str">
        <f t="shared" si="77"/>
        <v/>
      </c>
      <c r="F329" s="156" t="str">
        <f t="shared" si="78"/>
        <v/>
      </c>
      <c r="G329" s="78" t="str">
        <f t="shared" si="79"/>
        <v/>
      </c>
      <c r="H329" s="44" t="str">
        <f t="shared" si="75"/>
        <v/>
      </c>
      <c r="I329" s="44" t="str">
        <f t="shared" si="80"/>
        <v/>
      </c>
      <c r="J329" s="44" t="str">
        <f t="shared" si="81"/>
        <v/>
      </c>
      <c r="K329" s="46" t="str">
        <f t="shared" si="76"/>
        <v/>
      </c>
      <c r="L329" s="46" t="str">
        <f t="shared" si="82"/>
        <v/>
      </c>
      <c r="M329" s="26" t="str">
        <f t="shared" si="83"/>
        <v/>
      </c>
      <c r="N329" s="2" t="str">
        <f t="shared" si="84"/>
        <v/>
      </c>
      <c r="P329" s="2" t="str">
        <f t="shared" si="85"/>
        <v/>
      </c>
      <c r="Q329" s="2" t="str">
        <f t="shared" si="86"/>
        <v/>
      </c>
      <c r="R329" s="2" t="str">
        <f t="shared" si="87"/>
        <v/>
      </c>
      <c r="S329" s="2" t="str">
        <f t="shared" si="88"/>
        <v/>
      </c>
      <c r="T329" s="2" t="str">
        <f t="shared" si="89"/>
        <v/>
      </c>
    </row>
    <row r="330" spans="2:20" ht="11.45" customHeight="1" x14ac:dyDescent="0.25">
      <c r="B330" s="86" t="str">
        <f t="shared" si="90"/>
        <v/>
      </c>
      <c r="C330" s="88"/>
      <c r="D330" s="87" t="str">
        <f t="shared" si="91"/>
        <v/>
      </c>
      <c r="E330" s="157" t="str">
        <f t="shared" si="77"/>
        <v/>
      </c>
      <c r="F330" s="156" t="str">
        <f t="shared" si="78"/>
        <v/>
      </c>
      <c r="G330" s="78" t="str">
        <f t="shared" si="79"/>
        <v/>
      </c>
      <c r="H330" s="44" t="str">
        <f t="shared" si="75"/>
        <v/>
      </c>
      <c r="I330" s="44" t="str">
        <f t="shared" si="80"/>
        <v/>
      </c>
      <c r="J330" s="44" t="str">
        <f t="shared" si="81"/>
        <v/>
      </c>
      <c r="K330" s="46" t="str">
        <f t="shared" si="76"/>
        <v/>
      </c>
      <c r="L330" s="46" t="str">
        <f t="shared" si="82"/>
        <v/>
      </c>
      <c r="M330" s="26" t="str">
        <f t="shared" si="83"/>
        <v/>
      </c>
      <c r="N330" s="2" t="str">
        <f t="shared" si="84"/>
        <v/>
      </c>
      <c r="P330" s="2" t="str">
        <f t="shared" si="85"/>
        <v/>
      </c>
      <c r="Q330" s="2" t="str">
        <f t="shared" si="86"/>
        <v/>
      </c>
      <c r="R330" s="2" t="str">
        <f t="shared" si="87"/>
        <v/>
      </c>
      <c r="S330" s="2" t="str">
        <f t="shared" si="88"/>
        <v/>
      </c>
      <c r="T330" s="2" t="str">
        <f t="shared" si="89"/>
        <v/>
      </c>
    </row>
    <row r="331" spans="2:20" ht="11.45" customHeight="1" x14ac:dyDescent="0.25">
      <c r="B331" s="86" t="str">
        <f t="shared" si="90"/>
        <v/>
      </c>
      <c r="C331" s="88"/>
      <c r="D331" s="87" t="str">
        <f t="shared" si="91"/>
        <v/>
      </c>
      <c r="E331" s="157" t="str">
        <f t="shared" si="77"/>
        <v/>
      </c>
      <c r="F331" s="156" t="str">
        <f t="shared" si="78"/>
        <v/>
      </c>
      <c r="G331" s="78" t="str">
        <f t="shared" si="79"/>
        <v/>
      </c>
      <c r="H331" s="44" t="str">
        <f t="shared" si="75"/>
        <v/>
      </c>
      <c r="I331" s="44" t="str">
        <f t="shared" si="80"/>
        <v/>
      </c>
      <c r="J331" s="44" t="str">
        <f t="shared" si="81"/>
        <v/>
      </c>
      <c r="K331" s="46" t="str">
        <f t="shared" si="76"/>
        <v/>
      </c>
      <c r="L331" s="46" t="str">
        <f t="shared" si="82"/>
        <v/>
      </c>
      <c r="M331" s="26" t="str">
        <f t="shared" si="83"/>
        <v/>
      </c>
      <c r="N331" s="2" t="str">
        <f t="shared" si="84"/>
        <v/>
      </c>
      <c r="P331" s="2" t="str">
        <f t="shared" si="85"/>
        <v/>
      </c>
      <c r="Q331" s="2" t="str">
        <f t="shared" si="86"/>
        <v/>
      </c>
      <c r="R331" s="2" t="str">
        <f t="shared" si="87"/>
        <v/>
      </c>
      <c r="S331" s="2" t="str">
        <f t="shared" si="88"/>
        <v/>
      </c>
      <c r="T331" s="2" t="str">
        <f t="shared" si="89"/>
        <v/>
      </c>
    </row>
    <row r="332" spans="2:20" ht="11.45" customHeight="1" x14ac:dyDescent="0.25">
      <c r="B332" s="86" t="str">
        <f t="shared" si="90"/>
        <v/>
      </c>
      <c r="C332" s="88"/>
      <c r="D332" s="87" t="str">
        <f t="shared" si="91"/>
        <v/>
      </c>
      <c r="E332" s="157" t="str">
        <f t="shared" si="77"/>
        <v/>
      </c>
      <c r="F332" s="156" t="str">
        <f t="shared" si="78"/>
        <v/>
      </c>
      <c r="G332" s="78" t="str">
        <f t="shared" si="79"/>
        <v/>
      </c>
      <c r="H332" s="44" t="str">
        <f t="shared" si="75"/>
        <v/>
      </c>
      <c r="I332" s="44" t="str">
        <f t="shared" si="80"/>
        <v/>
      </c>
      <c r="J332" s="44" t="str">
        <f t="shared" si="81"/>
        <v/>
      </c>
      <c r="K332" s="46" t="str">
        <f t="shared" si="76"/>
        <v/>
      </c>
      <c r="L332" s="46" t="str">
        <f t="shared" si="82"/>
        <v/>
      </c>
      <c r="M332" s="26" t="str">
        <f t="shared" si="83"/>
        <v/>
      </c>
      <c r="N332" s="2" t="str">
        <f t="shared" si="84"/>
        <v/>
      </c>
      <c r="P332" s="2" t="str">
        <f t="shared" si="85"/>
        <v/>
      </c>
      <c r="Q332" s="2" t="str">
        <f t="shared" si="86"/>
        <v/>
      </c>
      <c r="R332" s="2" t="str">
        <f t="shared" si="87"/>
        <v/>
      </c>
      <c r="S332" s="2" t="str">
        <f t="shared" si="88"/>
        <v/>
      </c>
      <c r="T332" s="2" t="str">
        <f t="shared" si="89"/>
        <v/>
      </c>
    </row>
    <row r="333" spans="2:20" ht="11.45" customHeight="1" x14ac:dyDescent="0.25">
      <c r="B333" s="86" t="str">
        <f t="shared" si="90"/>
        <v/>
      </c>
      <c r="C333" s="88"/>
      <c r="D333" s="87" t="str">
        <f t="shared" si="91"/>
        <v/>
      </c>
      <c r="E333" s="157" t="str">
        <f t="shared" si="77"/>
        <v/>
      </c>
      <c r="F333" s="156" t="str">
        <f t="shared" si="78"/>
        <v/>
      </c>
      <c r="G333" s="78" t="str">
        <f t="shared" si="79"/>
        <v/>
      </c>
      <c r="H333" s="44" t="str">
        <f t="shared" si="75"/>
        <v/>
      </c>
      <c r="I333" s="44" t="str">
        <f t="shared" si="80"/>
        <v/>
      </c>
      <c r="J333" s="44" t="str">
        <f t="shared" si="81"/>
        <v/>
      </c>
      <c r="K333" s="46" t="str">
        <f t="shared" si="76"/>
        <v/>
      </c>
      <c r="L333" s="46" t="str">
        <f t="shared" si="82"/>
        <v/>
      </c>
      <c r="M333" s="26" t="str">
        <f t="shared" si="83"/>
        <v/>
      </c>
      <c r="N333" s="2" t="str">
        <f t="shared" si="84"/>
        <v/>
      </c>
      <c r="P333" s="2" t="str">
        <f t="shared" si="85"/>
        <v/>
      </c>
      <c r="Q333" s="2" t="str">
        <f t="shared" si="86"/>
        <v/>
      </c>
      <c r="R333" s="2" t="str">
        <f t="shared" si="87"/>
        <v/>
      </c>
      <c r="S333" s="2" t="str">
        <f t="shared" si="88"/>
        <v/>
      </c>
      <c r="T333" s="2" t="str">
        <f t="shared" si="89"/>
        <v/>
      </c>
    </row>
    <row r="334" spans="2:20" ht="11.45" customHeight="1" x14ac:dyDescent="0.25">
      <c r="B334" s="86" t="str">
        <f t="shared" si="90"/>
        <v/>
      </c>
      <c r="C334" s="88"/>
      <c r="D334" s="87" t="str">
        <f t="shared" si="91"/>
        <v/>
      </c>
      <c r="E334" s="157" t="str">
        <f t="shared" si="77"/>
        <v/>
      </c>
      <c r="F334" s="156" t="str">
        <f t="shared" si="78"/>
        <v/>
      </c>
      <c r="G334" s="78" t="str">
        <f t="shared" si="79"/>
        <v/>
      </c>
      <c r="H334" s="44" t="str">
        <f t="shared" si="75"/>
        <v/>
      </c>
      <c r="I334" s="44" t="str">
        <f t="shared" si="80"/>
        <v/>
      </c>
      <c r="J334" s="44" t="str">
        <f t="shared" si="81"/>
        <v/>
      </c>
      <c r="K334" s="46" t="str">
        <f t="shared" si="76"/>
        <v/>
      </c>
      <c r="L334" s="46" t="str">
        <f t="shared" si="82"/>
        <v/>
      </c>
      <c r="M334" s="26" t="str">
        <f t="shared" si="83"/>
        <v/>
      </c>
      <c r="N334" s="2" t="str">
        <f t="shared" si="84"/>
        <v/>
      </c>
      <c r="P334" s="2" t="str">
        <f t="shared" si="85"/>
        <v/>
      </c>
      <c r="Q334" s="2" t="str">
        <f t="shared" si="86"/>
        <v/>
      </c>
      <c r="R334" s="2" t="str">
        <f t="shared" si="87"/>
        <v/>
      </c>
      <c r="S334" s="2" t="str">
        <f t="shared" si="88"/>
        <v/>
      </c>
      <c r="T334" s="2" t="str">
        <f t="shared" si="89"/>
        <v/>
      </c>
    </row>
    <row r="335" spans="2:20" ht="11.45" customHeight="1" x14ac:dyDescent="0.25">
      <c r="B335" s="86" t="str">
        <f t="shared" si="90"/>
        <v/>
      </c>
      <c r="C335" s="88"/>
      <c r="D335" s="87" t="str">
        <f t="shared" si="91"/>
        <v/>
      </c>
      <c r="E335" s="157" t="str">
        <f t="shared" si="77"/>
        <v/>
      </c>
      <c r="F335" s="156" t="str">
        <f t="shared" si="78"/>
        <v/>
      </c>
      <c r="G335" s="78" t="str">
        <f t="shared" si="79"/>
        <v/>
      </c>
      <c r="H335" s="44" t="str">
        <f t="shared" si="75"/>
        <v/>
      </c>
      <c r="I335" s="44" t="str">
        <f t="shared" si="80"/>
        <v/>
      </c>
      <c r="J335" s="44" t="str">
        <f t="shared" si="81"/>
        <v/>
      </c>
      <c r="K335" s="46" t="str">
        <f t="shared" si="76"/>
        <v/>
      </c>
      <c r="L335" s="46" t="str">
        <f t="shared" si="82"/>
        <v/>
      </c>
      <c r="M335" s="26" t="str">
        <f t="shared" si="83"/>
        <v/>
      </c>
      <c r="N335" s="2" t="str">
        <f t="shared" si="84"/>
        <v/>
      </c>
      <c r="P335" s="2" t="str">
        <f t="shared" si="85"/>
        <v/>
      </c>
      <c r="Q335" s="2" t="str">
        <f t="shared" si="86"/>
        <v/>
      </c>
      <c r="R335" s="2" t="str">
        <f t="shared" si="87"/>
        <v/>
      </c>
      <c r="S335" s="2" t="str">
        <f t="shared" si="88"/>
        <v/>
      </c>
      <c r="T335" s="2" t="str">
        <f t="shared" si="89"/>
        <v/>
      </c>
    </row>
    <row r="336" spans="2:20" ht="11.45" customHeight="1" x14ac:dyDescent="0.25">
      <c r="B336" s="86" t="str">
        <f t="shared" si="90"/>
        <v/>
      </c>
      <c r="C336" s="88"/>
      <c r="D336" s="87" t="str">
        <f t="shared" si="91"/>
        <v/>
      </c>
      <c r="E336" s="157" t="str">
        <f t="shared" si="77"/>
        <v/>
      </c>
      <c r="F336" s="156" t="str">
        <f t="shared" si="78"/>
        <v/>
      </c>
      <c r="G336" s="78" t="str">
        <f t="shared" si="79"/>
        <v/>
      </c>
      <c r="H336" s="44" t="str">
        <f t="shared" si="75"/>
        <v/>
      </c>
      <c r="I336" s="44" t="str">
        <f t="shared" si="80"/>
        <v/>
      </c>
      <c r="J336" s="44" t="str">
        <f t="shared" si="81"/>
        <v/>
      </c>
      <c r="K336" s="46" t="str">
        <f t="shared" si="76"/>
        <v/>
      </c>
      <c r="L336" s="46" t="str">
        <f t="shared" si="82"/>
        <v/>
      </c>
      <c r="M336" s="26" t="str">
        <f t="shared" si="83"/>
        <v/>
      </c>
      <c r="N336" s="2" t="str">
        <f t="shared" si="84"/>
        <v/>
      </c>
      <c r="P336" s="2" t="str">
        <f t="shared" si="85"/>
        <v/>
      </c>
      <c r="Q336" s="2" t="str">
        <f t="shared" si="86"/>
        <v/>
      </c>
      <c r="R336" s="2" t="str">
        <f t="shared" si="87"/>
        <v/>
      </c>
      <c r="S336" s="2" t="str">
        <f t="shared" si="88"/>
        <v/>
      </c>
      <c r="T336" s="2" t="str">
        <f t="shared" si="89"/>
        <v/>
      </c>
    </row>
    <row r="337" spans="2:20" ht="11.45" customHeight="1" x14ac:dyDescent="0.25">
      <c r="B337" s="86" t="str">
        <f t="shared" si="90"/>
        <v/>
      </c>
      <c r="C337" s="88"/>
      <c r="D337" s="87" t="str">
        <f t="shared" si="91"/>
        <v/>
      </c>
      <c r="E337" s="157" t="str">
        <f t="shared" si="77"/>
        <v/>
      </c>
      <c r="F337" s="156" t="str">
        <f t="shared" si="78"/>
        <v/>
      </c>
      <c r="G337" s="78" t="str">
        <f t="shared" si="79"/>
        <v/>
      </c>
      <c r="H337" s="44" t="str">
        <f t="shared" si="75"/>
        <v/>
      </c>
      <c r="I337" s="44" t="str">
        <f t="shared" si="80"/>
        <v/>
      </c>
      <c r="J337" s="44" t="str">
        <f t="shared" si="81"/>
        <v/>
      </c>
      <c r="K337" s="46" t="str">
        <f t="shared" si="76"/>
        <v/>
      </c>
      <c r="L337" s="46" t="str">
        <f t="shared" si="82"/>
        <v/>
      </c>
      <c r="M337" s="26" t="str">
        <f t="shared" si="83"/>
        <v/>
      </c>
      <c r="N337" s="2" t="str">
        <f t="shared" si="84"/>
        <v/>
      </c>
      <c r="P337" s="2" t="str">
        <f t="shared" si="85"/>
        <v/>
      </c>
      <c r="Q337" s="2" t="str">
        <f t="shared" si="86"/>
        <v/>
      </c>
      <c r="R337" s="2" t="str">
        <f t="shared" si="87"/>
        <v/>
      </c>
      <c r="S337" s="2" t="str">
        <f t="shared" si="88"/>
        <v/>
      </c>
      <c r="T337" s="2" t="str">
        <f t="shared" si="89"/>
        <v/>
      </c>
    </row>
    <row r="338" spans="2:20" ht="11.45" customHeight="1" x14ac:dyDescent="0.25">
      <c r="B338" s="86" t="str">
        <f t="shared" si="90"/>
        <v/>
      </c>
      <c r="C338" s="88"/>
      <c r="D338" s="87" t="str">
        <f t="shared" si="91"/>
        <v/>
      </c>
      <c r="E338" s="157" t="str">
        <f t="shared" si="77"/>
        <v/>
      </c>
      <c r="F338" s="156" t="str">
        <f t="shared" si="78"/>
        <v/>
      </c>
      <c r="G338" s="78" t="str">
        <f t="shared" si="79"/>
        <v/>
      </c>
      <c r="H338" s="44" t="str">
        <f t="shared" si="75"/>
        <v/>
      </c>
      <c r="I338" s="44" t="str">
        <f t="shared" si="80"/>
        <v/>
      </c>
      <c r="J338" s="44" t="str">
        <f t="shared" si="81"/>
        <v/>
      </c>
      <c r="K338" s="46" t="str">
        <f t="shared" si="76"/>
        <v/>
      </c>
      <c r="L338" s="46" t="str">
        <f t="shared" si="82"/>
        <v/>
      </c>
      <c r="M338" s="26" t="str">
        <f t="shared" si="83"/>
        <v/>
      </c>
      <c r="N338" s="2" t="str">
        <f t="shared" si="84"/>
        <v/>
      </c>
      <c r="P338" s="2" t="str">
        <f t="shared" si="85"/>
        <v/>
      </c>
      <c r="Q338" s="2" t="str">
        <f t="shared" si="86"/>
        <v/>
      </c>
      <c r="R338" s="2" t="str">
        <f t="shared" si="87"/>
        <v/>
      </c>
      <c r="S338" s="2" t="str">
        <f t="shared" si="88"/>
        <v/>
      </c>
      <c r="T338" s="2" t="str">
        <f t="shared" si="89"/>
        <v/>
      </c>
    </row>
    <row r="339" spans="2:20" ht="11.45" customHeight="1" x14ac:dyDescent="0.25">
      <c r="B339" s="86" t="str">
        <f t="shared" si="90"/>
        <v/>
      </c>
      <c r="C339" s="88"/>
      <c r="D339" s="87" t="str">
        <f t="shared" si="91"/>
        <v/>
      </c>
      <c r="E339" s="157" t="str">
        <f t="shared" si="77"/>
        <v/>
      </c>
      <c r="F339" s="156" t="str">
        <f t="shared" si="78"/>
        <v/>
      </c>
      <c r="G339" s="78" t="str">
        <f t="shared" si="79"/>
        <v/>
      </c>
      <c r="H339" s="44" t="str">
        <f t="shared" si="75"/>
        <v/>
      </c>
      <c r="I339" s="44" t="str">
        <f t="shared" si="80"/>
        <v/>
      </c>
      <c r="J339" s="44" t="str">
        <f t="shared" si="81"/>
        <v/>
      </c>
      <c r="K339" s="46" t="str">
        <f t="shared" si="76"/>
        <v/>
      </c>
      <c r="L339" s="46" t="str">
        <f t="shared" si="82"/>
        <v/>
      </c>
      <c r="M339" s="26" t="str">
        <f t="shared" si="83"/>
        <v/>
      </c>
      <c r="N339" s="2" t="str">
        <f t="shared" si="84"/>
        <v/>
      </c>
      <c r="P339" s="2" t="str">
        <f t="shared" si="85"/>
        <v/>
      </c>
      <c r="Q339" s="2" t="str">
        <f t="shared" si="86"/>
        <v/>
      </c>
      <c r="R339" s="2" t="str">
        <f t="shared" si="87"/>
        <v/>
      </c>
      <c r="S339" s="2" t="str">
        <f t="shared" si="88"/>
        <v/>
      </c>
      <c r="T339" s="2" t="str">
        <f t="shared" si="89"/>
        <v/>
      </c>
    </row>
    <row r="340" spans="2:20" ht="11.45" customHeight="1" x14ac:dyDescent="0.25">
      <c r="B340" s="86" t="str">
        <f t="shared" si="90"/>
        <v/>
      </c>
      <c r="C340" s="88"/>
      <c r="D340" s="87" t="str">
        <f t="shared" si="91"/>
        <v/>
      </c>
      <c r="E340" s="157" t="str">
        <f t="shared" si="77"/>
        <v/>
      </c>
      <c r="F340" s="156" t="str">
        <f t="shared" si="78"/>
        <v/>
      </c>
      <c r="G340" s="78" t="str">
        <f t="shared" si="79"/>
        <v/>
      </c>
      <c r="H340" s="44" t="str">
        <f t="shared" si="75"/>
        <v/>
      </c>
      <c r="I340" s="44" t="str">
        <f t="shared" si="80"/>
        <v/>
      </c>
      <c r="J340" s="44" t="str">
        <f t="shared" si="81"/>
        <v/>
      </c>
      <c r="K340" s="46" t="str">
        <f t="shared" si="76"/>
        <v/>
      </c>
      <c r="L340" s="46" t="str">
        <f t="shared" si="82"/>
        <v/>
      </c>
      <c r="M340" s="26" t="str">
        <f t="shared" si="83"/>
        <v/>
      </c>
      <c r="N340" s="2" t="str">
        <f t="shared" si="84"/>
        <v/>
      </c>
      <c r="P340" s="2" t="str">
        <f t="shared" si="85"/>
        <v/>
      </c>
      <c r="Q340" s="2" t="str">
        <f t="shared" si="86"/>
        <v/>
      </c>
      <c r="R340" s="2" t="str">
        <f t="shared" si="87"/>
        <v/>
      </c>
      <c r="S340" s="2" t="str">
        <f t="shared" si="88"/>
        <v/>
      </c>
      <c r="T340" s="2" t="str">
        <f t="shared" si="89"/>
        <v/>
      </c>
    </row>
    <row r="341" spans="2:20" ht="11.45" customHeight="1" x14ac:dyDescent="0.25">
      <c r="B341" s="86" t="str">
        <f t="shared" si="90"/>
        <v/>
      </c>
      <c r="C341" s="88"/>
      <c r="D341" s="87" t="str">
        <f t="shared" si="91"/>
        <v/>
      </c>
      <c r="E341" s="157" t="str">
        <f t="shared" si="77"/>
        <v/>
      </c>
      <c r="F341" s="156" t="str">
        <f t="shared" si="78"/>
        <v/>
      </c>
      <c r="G341" s="78" t="str">
        <f t="shared" si="79"/>
        <v/>
      </c>
      <c r="H341" s="44" t="str">
        <f t="shared" si="75"/>
        <v/>
      </c>
      <c r="I341" s="44" t="str">
        <f t="shared" si="80"/>
        <v/>
      </c>
      <c r="J341" s="44" t="str">
        <f t="shared" si="81"/>
        <v/>
      </c>
      <c r="K341" s="46" t="str">
        <f t="shared" si="76"/>
        <v/>
      </c>
      <c r="L341" s="46" t="str">
        <f t="shared" si="82"/>
        <v/>
      </c>
      <c r="M341" s="26" t="str">
        <f t="shared" si="83"/>
        <v/>
      </c>
      <c r="N341" s="2" t="str">
        <f t="shared" si="84"/>
        <v/>
      </c>
      <c r="P341" s="2" t="str">
        <f t="shared" si="85"/>
        <v/>
      </c>
      <c r="Q341" s="2" t="str">
        <f t="shared" si="86"/>
        <v/>
      </c>
      <c r="R341" s="2" t="str">
        <f t="shared" si="87"/>
        <v/>
      </c>
      <c r="S341" s="2" t="str">
        <f t="shared" si="88"/>
        <v/>
      </c>
      <c r="T341" s="2" t="str">
        <f t="shared" si="89"/>
        <v/>
      </c>
    </row>
    <row r="342" spans="2:20" ht="11.45" customHeight="1" x14ac:dyDescent="0.25">
      <c r="B342" s="86" t="str">
        <f t="shared" si="90"/>
        <v/>
      </c>
      <c r="C342" s="88"/>
      <c r="D342" s="87" t="str">
        <f t="shared" si="91"/>
        <v/>
      </c>
      <c r="E342" s="157" t="str">
        <f t="shared" si="77"/>
        <v/>
      </c>
      <c r="F342" s="156" t="str">
        <f t="shared" si="78"/>
        <v/>
      </c>
      <c r="G342" s="78" t="str">
        <f t="shared" si="79"/>
        <v/>
      </c>
      <c r="H342" s="44" t="str">
        <f t="shared" si="75"/>
        <v/>
      </c>
      <c r="I342" s="44" t="str">
        <f t="shared" si="80"/>
        <v/>
      </c>
      <c r="J342" s="44" t="str">
        <f t="shared" si="81"/>
        <v/>
      </c>
      <c r="K342" s="46" t="str">
        <f t="shared" si="76"/>
        <v/>
      </c>
      <c r="L342" s="46" t="str">
        <f t="shared" si="82"/>
        <v/>
      </c>
      <c r="M342" s="26" t="str">
        <f t="shared" si="83"/>
        <v/>
      </c>
      <c r="N342" s="2" t="str">
        <f t="shared" si="84"/>
        <v/>
      </c>
      <c r="P342" s="2" t="str">
        <f t="shared" si="85"/>
        <v/>
      </c>
      <c r="Q342" s="2" t="str">
        <f t="shared" si="86"/>
        <v/>
      </c>
      <c r="R342" s="2" t="str">
        <f t="shared" si="87"/>
        <v/>
      </c>
      <c r="S342" s="2" t="str">
        <f t="shared" si="88"/>
        <v/>
      </c>
      <c r="T342" s="2" t="str">
        <f t="shared" si="89"/>
        <v/>
      </c>
    </row>
    <row r="343" spans="2:20" ht="11.45" customHeight="1" x14ac:dyDescent="0.25">
      <c r="B343" s="86" t="str">
        <f t="shared" si="90"/>
        <v/>
      </c>
      <c r="C343" s="88"/>
      <c r="D343" s="87" t="str">
        <f t="shared" si="91"/>
        <v/>
      </c>
      <c r="E343" s="157" t="str">
        <f t="shared" si="77"/>
        <v/>
      </c>
      <c r="F343" s="156" t="str">
        <f t="shared" si="78"/>
        <v/>
      </c>
      <c r="G343" s="78" t="str">
        <f t="shared" si="79"/>
        <v/>
      </c>
      <c r="H343" s="44" t="str">
        <f t="shared" si="75"/>
        <v/>
      </c>
      <c r="I343" s="44" t="str">
        <f t="shared" si="80"/>
        <v/>
      </c>
      <c r="J343" s="44" t="str">
        <f t="shared" si="81"/>
        <v/>
      </c>
      <c r="K343" s="46" t="str">
        <f t="shared" si="76"/>
        <v/>
      </c>
      <c r="L343" s="46" t="str">
        <f t="shared" si="82"/>
        <v/>
      </c>
      <c r="M343" s="26" t="str">
        <f t="shared" si="83"/>
        <v/>
      </c>
      <c r="N343" s="2" t="str">
        <f t="shared" si="84"/>
        <v/>
      </c>
      <c r="P343" s="2" t="str">
        <f t="shared" si="85"/>
        <v/>
      </c>
      <c r="Q343" s="2" t="str">
        <f t="shared" si="86"/>
        <v/>
      </c>
      <c r="R343" s="2" t="str">
        <f t="shared" si="87"/>
        <v/>
      </c>
      <c r="S343" s="2" t="str">
        <f t="shared" si="88"/>
        <v/>
      </c>
      <c r="T343" s="2" t="str">
        <f t="shared" si="89"/>
        <v/>
      </c>
    </row>
    <row r="344" spans="2:20" ht="11.45" customHeight="1" x14ac:dyDescent="0.25">
      <c r="B344" s="86" t="str">
        <f t="shared" si="90"/>
        <v/>
      </c>
      <c r="C344" s="88"/>
      <c r="D344" s="87" t="str">
        <f t="shared" si="91"/>
        <v/>
      </c>
      <c r="E344" s="157" t="str">
        <f t="shared" si="77"/>
        <v/>
      </c>
      <c r="F344" s="156" t="str">
        <f t="shared" si="78"/>
        <v/>
      </c>
      <c r="G344" s="78" t="str">
        <f t="shared" si="79"/>
        <v/>
      </c>
      <c r="H344" s="44" t="str">
        <f t="shared" ref="H344:H407" si="92">IF(B344="","",IF($C$13=$P$22,P344,IF($C$13=$Q$22,Q344,IF($C$13=$R$22,R344,IF($C$13=$S$22,S344,"")))))</f>
        <v/>
      </c>
      <c r="I344" s="44" t="str">
        <f t="shared" si="80"/>
        <v/>
      </c>
      <c r="J344" s="44" t="str">
        <f t="shared" si="81"/>
        <v/>
      </c>
      <c r="K344" s="46" t="str">
        <f t="shared" ref="K344:K407" si="93">IF(B344="","",$F$9-B344)</f>
        <v/>
      </c>
      <c r="L344" s="46" t="str">
        <f t="shared" si="82"/>
        <v/>
      </c>
      <c r="M344" s="26" t="str">
        <f t="shared" si="83"/>
        <v/>
      </c>
      <c r="N344" s="2" t="str">
        <f t="shared" si="84"/>
        <v/>
      </c>
      <c r="P344" s="2" t="str">
        <f t="shared" si="85"/>
        <v/>
      </c>
      <c r="Q344" s="2" t="str">
        <f t="shared" si="86"/>
        <v/>
      </c>
      <c r="R344" s="2" t="str">
        <f t="shared" si="87"/>
        <v/>
      </c>
      <c r="S344" s="2" t="str">
        <f t="shared" si="88"/>
        <v/>
      </c>
      <c r="T344" s="2" t="str">
        <f t="shared" si="89"/>
        <v/>
      </c>
    </row>
    <row r="345" spans="2:20" ht="11.45" customHeight="1" x14ac:dyDescent="0.25">
      <c r="B345" s="86" t="str">
        <f t="shared" si="90"/>
        <v/>
      </c>
      <c r="C345" s="88"/>
      <c r="D345" s="87" t="str">
        <f t="shared" si="91"/>
        <v/>
      </c>
      <c r="E345" s="157" t="str">
        <f t="shared" ref="E345:E408" si="94">IF(B345="","",J344)</f>
        <v/>
      </c>
      <c r="F345" s="156" t="str">
        <f t="shared" ref="F345:F408" si="95">IF(B345="","",$C$14)</f>
        <v/>
      </c>
      <c r="G345" s="78" t="str">
        <f t="shared" ref="G345:G408" si="96">IF(B345&lt;$F$9,I345-H345,IF(B345=$F$9,J344,""))</f>
        <v/>
      </c>
      <c r="H345" s="44" t="str">
        <f t="shared" si="92"/>
        <v/>
      </c>
      <c r="I345" s="44" t="str">
        <f t="shared" ref="I345:I408" si="97">IF(B345="","",IF(OR(B345&lt;$F$11,B345=$F$11),H345,IF(B345=$F$9,J344+H345,IF($F$12="Monthly",-1*PMT($C$14/12,$F$10,$C$8),IF($F$12="Quarterly",-1*PMT($C$14/4,$F$10,$C$8),IF($F$12="Semi-Annually",-1*PMT($C$14/2,$F$10,$C$8),IF($F$12="Annually",-1*PMT($C$14,$F$10,$C$8))))))))</f>
        <v/>
      </c>
      <c r="J345" s="44" t="str">
        <f t="shared" ref="J345:J408" si="98">IF(B345="","",IF(B345=$F$9,0,J344-G345))</f>
        <v/>
      </c>
      <c r="K345" s="46" t="str">
        <f t="shared" si="93"/>
        <v/>
      </c>
      <c r="L345" s="46" t="str">
        <f t="shared" ref="L345:L408" si="99">IF(B345="","",IF(G345=0,L344,IF(G345&gt;0,L344-1,$F$139-B345)))</f>
        <v/>
      </c>
      <c r="M345" s="26" t="str">
        <f t="shared" ref="M345:M408" si="100">IF($F$9="","",IF(OR(B346&gt;$F$9,B346=""),"",DATE(YEAR(C345),MONTH(C345),DAY(C345))-DATE(YEAR(C345)-1,MONTH(C345),DAY(C345))))</f>
        <v/>
      </c>
      <c r="N345" s="2" t="str">
        <f t="shared" ref="N345:N408" si="101">IF($F$9="","",IF(OR(B346&gt;$F$9,B346=""),"",F345/M345))</f>
        <v/>
      </c>
      <c r="P345" s="2" t="str">
        <f t="shared" ref="P345:P408" si="102">IF(B345="","",IF($F$12="Monthly",F344*(D344/360)*J344,IF($F$12="Quarterly",F344*(D344/360)*3*J344,IF($F$12="Semi-Annually",F344*(D344/360)*6*J344,IF($F$12="Annually",F344*(D344/360)*12*J344)))))</f>
        <v/>
      </c>
      <c r="Q345" s="2" t="str">
        <f t="shared" ref="Q345:Q408" si="103">IF(B345="","",IF($F$12="Monthly",F345*(30/360)*J344,IF($F$12="Quarterly",F345*(30/360)*3*J344,IF($F$12="Semi-Annually",F345*(30/360)*6*J344,IF($F$12="Annually",F345*(30/360)*12*J344)))))</f>
        <v/>
      </c>
      <c r="R345" s="2" t="str">
        <f t="shared" ref="R345:R408" si="104">IF(B345="","",IF($F$12="Monthly",F345*(D345/365)*J344,IF($F$12="Quarterly",F345*(D345/365)*J344,IF($F$12="Semi-Annually",F345*(D345/365)*J344,IF($F$12="Annually",F345*(D345/365)*J344)))))</f>
        <v/>
      </c>
      <c r="S345" s="2" t="str">
        <f t="shared" ref="S345:S408" si="105">IF(B340="","",IF($F$12="Monthly",F345*(D345/360)*J344,IF($F$12="Quarterly",F345*(D345/360)*J344,IF($F$12="Semi-Annually",F345*(D345/360)*J344,IF($F$12="Annually",F345*(D345/360)*J344)))))</f>
        <v/>
      </c>
      <c r="T345" s="2" t="str">
        <f t="shared" ref="T345:T408" si="106">IF(B345="","",IF($F$12="Monthly",F345*(D345/M345)*J344,IF($F$12="Quarterly",F345*(D345/M345)*J344,IF($F$12="Semi-Annually",F345*(D345/M345)*J344,IF($F$12="Annually",F345*(D345/M345)*J344)))))</f>
        <v/>
      </c>
    </row>
    <row r="346" spans="2:20" ht="11.45" customHeight="1" x14ac:dyDescent="0.25">
      <c r="B346" s="86" t="str">
        <f t="shared" ref="B346:B409" si="107">IF(OR(B345=$F$9,B345&gt;$F$9),"",B345+1)</f>
        <v/>
      </c>
      <c r="C346" s="88"/>
      <c r="D346" s="87" t="str">
        <f t="shared" ref="D346:D409" si="108">IF(B346="","",C346-C345)</f>
        <v/>
      </c>
      <c r="E346" s="157" t="str">
        <f t="shared" si="94"/>
        <v/>
      </c>
      <c r="F346" s="156" t="str">
        <f t="shared" si="95"/>
        <v/>
      </c>
      <c r="G346" s="78" t="str">
        <f t="shared" si="96"/>
        <v/>
      </c>
      <c r="H346" s="44" t="str">
        <f t="shared" si="92"/>
        <v/>
      </c>
      <c r="I346" s="44" t="str">
        <f t="shared" si="97"/>
        <v/>
      </c>
      <c r="J346" s="44" t="str">
        <f t="shared" si="98"/>
        <v/>
      </c>
      <c r="K346" s="46" t="str">
        <f t="shared" si="93"/>
        <v/>
      </c>
      <c r="L346" s="46" t="str">
        <f t="shared" si="99"/>
        <v/>
      </c>
      <c r="M346" s="26" t="str">
        <f t="shared" si="100"/>
        <v/>
      </c>
      <c r="N346" s="2" t="str">
        <f t="shared" si="101"/>
        <v/>
      </c>
      <c r="P346" s="2" t="str">
        <f t="shared" si="102"/>
        <v/>
      </c>
      <c r="Q346" s="2" t="str">
        <f t="shared" si="103"/>
        <v/>
      </c>
      <c r="R346" s="2" t="str">
        <f t="shared" si="104"/>
        <v/>
      </c>
      <c r="S346" s="2" t="str">
        <f t="shared" si="105"/>
        <v/>
      </c>
      <c r="T346" s="2" t="str">
        <f t="shared" si="106"/>
        <v/>
      </c>
    </row>
    <row r="347" spans="2:20" ht="11.45" customHeight="1" x14ac:dyDescent="0.25">
      <c r="B347" s="86" t="str">
        <f t="shared" si="107"/>
        <v/>
      </c>
      <c r="C347" s="88"/>
      <c r="D347" s="87" t="str">
        <f t="shared" si="108"/>
        <v/>
      </c>
      <c r="E347" s="157" t="str">
        <f t="shared" si="94"/>
        <v/>
      </c>
      <c r="F347" s="156" t="str">
        <f t="shared" si="95"/>
        <v/>
      </c>
      <c r="G347" s="78" t="str">
        <f t="shared" si="96"/>
        <v/>
      </c>
      <c r="H347" s="44" t="str">
        <f t="shared" si="92"/>
        <v/>
      </c>
      <c r="I347" s="44" t="str">
        <f t="shared" si="97"/>
        <v/>
      </c>
      <c r="J347" s="44" t="str">
        <f t="shared" si="98"/>
        <v/>
      </c>
      <c r="K347" s="46" t="str">
        <f t="shared" si="93"/>
        <v/>
      </c>
      <c r="L347" s="46" t="str">
        <f t="shared" si="99"/>
        <v/>
      </c>
      <c r="M347" s="26" t="str">
        <f t="shared" si="100"/>
        <v/>
      </c>
      <c r="N347" s="2" t="str">
        <f t="shared" si="101"/>
        <v/>
      </c>
      <c r="P347" s="2" t="str">
        <f t="shared" si="102"/>
        <v/>
      </c>
      <c r="Q347" s="2" t="str">
        <f t="shared" si="103"/>
        <v/>
      </c>
      <c r="R347" s="2" t="str">
        <f t="shared" si="104"/>
        <v/>
      </c>
      <c r="S347" s="2" t="str">
        <f t="shared" si="105"/>
        <v/>
      </c>
      <c r="T347" s="2" t="str">
        <f t="shared" si="106"/>
        <v/>
      </c>
    </row>
    <row r="348" spans="2:20" ht="11.45" customHeight="1" x14ac:dyDescent="0.25">
      <c r="B348" s="86" t="str">
        <f t="shared" si="107"/>
        <v/>
      </c>
      <c r="C348" s="88"/>
      <c r="D348" s="87" t="str">
        <f t="shared" si="108"/>
        <v/>
      </c>
      <c r="E348" s="157" t="str">
        <f t="shared" si="94"/>
        <v/>
      </c>
      <c r="F348" s="156" t="str">
        <f t="shared" si="95"/>
        <v/>
      </c>
      <c r="G348" s="78" t="str">
        <f t="shared" si="96"/>
        <v/>
      </c>
      <c r="H348" s="44" t="str">
        <f t="shared" si="92"/>
        <v/>
      </c>
      <c r="I348" s="44" t="str">
        <f t="shared" si="97"/>
        <v/>
      </c>
      <c r="J348" s="44" t="str">
        <f t="shared" si="98"/>
        <v/>
      </c>
      <c r="K348" s="46" t="str">
        <f t="shared" si="93"/>
        <v/>
      </c>
      <c r="L348" s="46" t="str">
        <f t="shared" si="99"/>
        <v/>
      </c>
      <c r="M348" s="26" t="str">
        <f t="shared" si="100"/>
        <v/>
      </c>
      <c r="N348" s="2" t="str">
        <f t="shared" si="101"/>
        <v/>
      </c>
      <c r="P348" s="2" t="str">
        <f t="shared" si="102"/>
        <v/>
      </c>
      <c r="Q348" s="2" t="str">
        <f t="shared" si="103"/>
        <v/>
      </c>
      <c r="R348" s="2" t="str">
        <f t="shared" si="104"/>
        <v/>
      </c>
      <c r="S348" s="2" t="str">
        <f t="shared" si="105"/>
        <v/>
      </c>
      <c r="T348" s="2" t="str">
        <f t="shared" si="106"/>
        <v/>
      </c>
    </row>
    <row r="349" spans="2:20" ht="11.45" customHeight="1" x14ac:dyDescent="0.25">
      <c r="B349" s="86" t="str">
        <f t="shared" si="107"/>
        <v/>
      </c>
      <c r="C349" s="88"/>
      <c r="D349" s="87" t="str">
        <f t="shared" si="108"/>
        <v/>
      </c>
      <c r="E349" s="157" t="str">
        <f t="shared" si="94"/>
        <v/>
      </c>
      <c r="F349" s="156" t="str">
        <f t="shared" si="95"/>
        <v/>
      </c>
      <c r="G349" s="78" t="str">
        <f t="shared" si="96"/>
        <v/>
      </c>
      <c r="H349" s="44" t="str">
        <f t="shared" si="92"/>
        <v/>
      </c>
      <c r="I349" s="44" t="str">
        <f t="shared" si="97"/>
        <v/>
      </c>
      <c r="J349" s="44" t="str">
        <f t="shared" si="98"/>
        <v/>
      </c>
      <c r="K349" s="46" t="str">
        <f t="shared" si="93"/>
        <v/>
      </c>
      <c r="L349" s="46" t="str">
        <f t="shared" si="99"/>
        <v/>
      </c>
      <c r="M349" s="26" t="str">
        <f t="shared" si="100"/>
        <v/>
      </c>
      <c r="N349" s="2" t="str">
        <f t="shared" si="101"/>
        <v/>
      </c>
      <c r="P349" s="2" t="str">
        <f t="shared" si="102"/>
        <v/>
      </c>
      <c r="Q349" s="2" t="str">
        <f t="shared" si="103"/>
        <v/>
      </c>
      <c r="R349" s="2" t="str">
        <f t="shared" si="104"/>
        <v/>
      </c>
      <c r="S349" s="2" t="str">
        <f t="shared" si="105"/>
        <v/>
      </c>
      <c r="T349" s="2" t="str">
        <f t="shared" si="106"/>
        <v/>
      </c>
    </row>
    <row r="350" spans="2:20" ht="11.45" customHeight="1" x14ac:dyDescent="0.25">
      <c r="B350" s="86" t="str">
        <f t="shared" si="107"/>
        <v/>
      </c>
      <c r="C350" s="88"/>
      <c r="D350" s="87" t="str">
        <f t="shared" si="108"/>
        <v/>
      </c>
      <c r="E350" s="157" t="str">
        <f t="shared" si="94"/>
        <v/>
      </c>
      <c r="F350" s="156" t="str">
        <f t="shared" si="95"/>
        <v/>
      </c>
      <c r="G350" s="78" t="str">
        <f t="shared" si="96"/>
        <v/>
      </c>
      <c r="H350" s="44" t="str">
        <f t="shared" si="92"/>
        <v/>
      </c>
      <c r="I350" s="44" t="str">
        <f t="shared" si="97"/>
        <v/>
      </c>
      <c r="J350" s="44" t="str">
        <f t="shared" si="98"/>
        <v/>
      </c>
      <c r="K350" s="46" t="str">
        <f t="shared" si="93"/>
        <v/>
      </c>
      <c r="L350" s="46" t="str">
        <f t="shared" si="99"/>
        <v/>
      </c>
      <c r="M350" s="26" t="str">
        <f t="shared" si="100"/>
        <v/>
      </c>
      <c r="N350" s="2" t="str">
        <f t="shared" si="101"/>
        <v/>
      </c>
      <c r="P350" s="2" t="str">
        <f t="shared" si="102"/>
        <v/>
      </c>
      <c r="Q350" s="2" t="str">
        <f t="shared" si="103"/>
        <v/>
      </c>
      <c r="R350" s="2" t="str">
        <f t="shared" si="104"/>
        <v/>
      </c>
      <c r="S350" s="2" t="str">
        <f t="shared" si="105"/>
        <v/>
      </c>
      <c r="T350" s="2" t="str">
        <f t="shared" si="106"/>
        <v/>
      </c>
    </row>
    <row r="351" spans="2:20" ht="11.45" customHeight="1" x14ac:dyDescent="0.25">
      <c r="B351" s="86" t="str">
        <f t="shared" si="107"/>
        <v/>
      </c>
      <c r="C351" s="88"/>
      <c r="D351" s="87" t="str">
        <f t="shared" si="108"/>
        <v/>
      </c>
      <c r="E351" s="157" t="str">
        <f t="shared" si="94"/>
        <v/>
      </c>
      <c r="F351" s="156" t="str">
        <f t="shared" si="95"/>
        <v/>
      </c>
      <c r="G351" s="78" t="str">
        <f t="shared" si="96"/>
        <v/>
      </c>
      <c r="H351" s="44" t="str">
        <f t="shared" si="92"/>
        <v/>
      </c>
      <c r="I351" s="44" t="str">
        <f t="shared" si="97"/>
        <v/>
      </c>
      <c r="J351" s="44" t="str">
        <f t="shared" si="98"/>
        <v/>
      </c>
      <c r="K351" s="46" t="str">
        <f t="shared" si="93"/>
        <v/>
      </c>
      <c r="L351" s="46" t="str">
        <f t="shared" si="99"/>
        <v/>
      </c>
      <c r="M351" s="26" t="str">
        <f t="shared" si="100"/>
        <v/>
      </c>
      <c r="N351" s="2" t="str">
        <f t="shared" si="101"/>
        <v/>
      </c>
      <c r="P351" s="2" t="str">
        <f t="shared" si="102"/>
        <v/>
      </c>
      <c r="Q351" s="2" t="str">
        <f t="shared" si="103"/>
        <v/>
      </c>
      <c r="R351" s="2" t="str">
        <f t="shared" si="104"/>
        <v/>
      </c>
      <c r="S351" s="2" t="str">
        <f t="shared" si="105"/>
        <v/>
      </c>
      <c r="T351" s="2" t="str">
        <f t="shared" si="106"/>
        <v/>
      </c>
    </row>
    <row r="352" spans="2:20" ht="11.45" customHeight="1" x14ac:dyDescent="0.25">
      <c r="B352" s="86" t="str">
        <f t="shared" si="107"/>
        <v/>
      </c>
      <c r="C352" s="88"/>
      <c r="D352" s="87" t="str">
        <f t="shared" si="108"/>
        <v/>
      </c>
      <c r="E352" s="157" t="str">
        <f t="shared" si="94"/>
        <v/>
      </c>
      <c r="F352" s="156" t="str">
        <f t="shared" si="95"/>
        <v/>
      </c>
      <c r="G352" s="78" t="str">
        <f t="shared" si="96"/>
        <v/>
      </c>
      <c r="H352" s="44" t="str">
        <f t="shared" si="92"/>
        <v/>
      </c>
      <c r="I352" s="44" t="str">
        <f t="shared" si="97"/>
        <v/>
      </c>
      <c r="J352" s="44" t="str">
        <f t="shared" si="98"/>
        <v/>
      </c>
      <c r="K352" s="46" t="str">
        <f t="shared" si="93"/>
        <v/>
      </c>
      <c r="L352" s="46" t="str">
        <f t="shared" si="99"/>
        <v/>
      </c>
      <c r="M352" s="26" t="str">
        <f t="shared" si="100"/>
        <v/>
      </c>
      <c r="N352" s="2" t="str">
        <f t="shared" si="101"/>
        <v/>
      </c>
      <c r="P352" s="2" t="str">
        <f t="shared" si="102"/>
        <v/>
      </c>
      <c r="Q352" s="2" t="str">
        <f t="shared" si="103"/>
        <v/>
      </c>
      <c r="R352" s="2" t="str">
        <f t="shared" si="104"/>
        <v/>
      </c>
      <c r="S352" s="2" t="str">
        <f t="shared" si="105"/>
        <v/>
      </c>
      <c r="T352" s="2" t="str">
        <f t="shared" si="106"/>
        <v/>
      </c>
    </row>
    <row r="353" spans="2:20" ht="11.45" customHeight="1" x14ac:dyDescent="0.25">
      <c r="B353" s="86" t="str">
        <f t="shared" si="107"/>
        <v/>
      </c>
      <c r="C353" s="88"/>
      <c r="D353" s="87" t="str">
        <f t="shared" si="108"/>
        <v/>
      </c>
      <c r="E353" s="157" t="str">
        <f t="shared" si="94"/>
        <v/>
      </c>
      <c r="F353" s="156" t="str">
        <f t="shared" si="95"/>
        <v/>
      </c>
      <c r="G353" s="78" t="str">
        <f t="shared" si="96"/>
        <v/>
      </c>
      <c r="H353" s="44" t="str">
        <f t="shared" si="92"/>
        <v/>
      </c>
      <c r="I353" s="44" t="str">
        <f t="shared" si="97"/>
        <v/>
      </c>
      <c r="J353" s="44" t="str">
        <f t="shared" si="98"/>
        <v/>
      </c>
      <c r="K353" s="46" t="str">
        <f t="shared" si="93"/>
        <v/>
      </c>
      <c r="L353" s="46" t="str">
        <f t="shared" si="99"/>
        <v/>
      </c>
      <c r="M353" s="26" t="str">
        <f t="shared" si="100"/>
        <v/>
      </c>
      <c r="N353" s="2" t="str">
        <f t="shared" si="101"/>
        <v/>
      </c>
      <c r="P353" s="2" t="str">
        <f t="shared" si="102"/>
        <v/>
      </c>
      <c r="Q353" s="2" t="str">
        <f t="shared" si="103"/>
        <v/>
      </c>
      <c r="R353" s="2" t="str">
        <f t="shared" si="104"/>
        <v/>
      </c>
      <c r="S353" s="2" t="str">
        <f t="shared" si="105"/>
        <v/>
      </c>
      <c r="T353" s="2" t="str">
        <f t="shared" si="106"/>
        <v/>
      </c>
    </row>
    <row r="354" spans="2:20" ht="11.45" customHeight="1" x14ac:dyDescent="0.25">
      <c r="B354" s="86" t="str">
        <f t="shared" si="107"/>
        <v/>
      </c>
      <c r="C354" s="88"/>
      <c r="D354" s="87" t="str">
        <f t="shared" si="108"/>
        <v/>
      </c>
      <c r="E354" s="157" t="str">
        <f t="shared" si="94"/>
        <v/>
      </c>
      <c r="F354" s="156" t="str">
        <f t="shared" si="95"/>
        <v/>
      </c>
      <c r="G354" s="78" t="str">
        <f t="shared" si="96"/>
        <v/>
      </c>
      <c r="H354" s="44" t="str">
        <f t="shared" si="92"/>
        <v/>
      </c>
      <c r="I354" s="44" t="str">
        <f t="shared" si="97"/>
        <v/>
      </c>
      <c r="J354" s="44" t="str">
        <f t="shared" si="98"/>
        <v/>
      </c>
      <c r="K354" s="46" t="str">
        <f t="shared" si="93"/>
        <v/>
      </c>
      <c r="L354" s="46" t="str">
        <f t="shared" si="99"/>
        <v/>
      </c>
      <c r="M354" s="26" t="str">
        <f t="shared" si="100"/>
        <v/>
      </c>
      <c r="N354" s="2" t="str">
        <f t="shared" si="101"/>
        <v/>
      </c>
      <c r="P354" s="2" t="str">
        <f t="shared" si="102"/>
        <v/>
      </c>
      <c r="Q354" s="2" t="str">
        <f t="shared" si="103"/>
        <v/>
      </c>
      <c r="R354" s="2" t="str">
        <f t="shared" si="104"/>
        <v/>
      </c>
      <c r="S354" s="2" t="str">
        <f t="shared" si="105"/>
        <v/>
      </c>
      <c r="T354" s="2" t="str">
        <f t="shared" si="106"/>
        <v/>
      </c>
    </row>
    <row r="355" spans="2:20" ht="11.45" customHeight="1" x14ac:dyDescent="0.25">
      <c r="B355" s="86" t="str">
        <f t="shared" si="107"/>
        <v/>
      </c>
      <c r="C355" s="88"/>
      <c r="D355" s="87" t="str">
        <f t="shared" si="108"/>
        <v/>
      </c>
      <c r="E355" s="157" t="str">
        <f t="shared" si="94"/>
        <v/>
      </c>
      <c r="F355" s="156" t="str">
        <f t="shared" si="95"/>
        <v/>
      </c>
      <c r="G355" s="78" t="str">
        <f t="shared" si="96"/>
        <v/>
      </c>
      <c r="H355" s="44" t="str">
        <f t="shared" si="92"/>
        <v/>
      </c>
      <c r="I355" s="44" t="str">
        <f t="shared" si="97"/>
        <v/>
      </c>
      <c r="J355" s="44" t="str">
        <f t="shared" si="98"/>
        <v/>
      </c>
      <c r="K355" s="46" t="str">
        <f t="shared" si="93"/>
        <v/>
      </c>
      <c r="L355" s="46" t="str">
        <f t="shared" si="99"/>
        <v/>
      </c>
      <c r="M355" s="26" t="str">
        <f t="shared" si="100"/>
        <v/>
      </c>
      <c r="N355" s="2" t="str">
        <f t="shared" si="101"/>
        <v/>
      </c>
      <c r="P355" s="2" t="str">
        <f t="shared" si="102"/>
        <v/>
      </c>
      <c r="Q355" s="2" t="str">
        <f t="shared" si="103"/>
        <v/>
      </c>
      <c r="R355" s="2" t="str">
        <f t="shared" si="104"/>
        <v/>
      </c>
      <c r="S355" s="2" t="str">
        <f t="shared" si="105"/>
        <v/>
      </c>
      <c r="T355" s="2" t="str">
        <f t="shared" si="106"/>
        <v/>
      </c>
    </row>
    <row r="356" spans="2:20" ht="11.45" customHeight="1" x14ac:dyDescent="0.25">
      <c r="B356" s="86" t="str">
        <f t="shared" si="107"/>
        <v/>
      </c>
      <c r="C356" s="88"/>
      <c r="D356" s="87" t="str">
        <f t="shared" si="108"/>
        <v/>
      </c>
      <c r="E356" s="157" t="str">
        <f t="shared" si="94"/>
        <v/>
      </c>
      <c r="F356" s="156" t="str">
        <f t="shared" si="95"/>
        <v/>
      </c>
      <c r="G356" s="78" t="str">
        <f t="shared" si="96"/>
        <v/>
      </c>
      <c r="H356" s="44" t="str">
        <f t="shared" si="92"/>
        <v/>
      </c>
      <c r="I356" s="44" t="str">
        <f t="shared" si="97"/>
        <v/>
      </c>
      <c r="J356" s="44" t="str">
        <f t="shared" si="98"/>
        <v/>
      </c>
      <c r="K356" s="46" t="str">
        <f t="shared" si="93"/>
        <v/>
      </c>
      <c r="L356" s="46" t="str">
        <f t="shared" si="99"/>
        <v/>
      </c>
      <c r="M356" s="26" t="str">
        <f t="shared" si="100"/>
        <v/>
      </c>
      <c r="N356" s="2" t="str">
        <f t="shared" si="101"/>
        <v/>
      </c>
      <c r="P356" s="2" t="str">
        <f t="shared" si="102"/>
        <v/>
      </c>
      <c r="Q356" s="2" t="str">
        <f t="shared" si="103"/>
        <v/>
      </c>
      <c r="R356" s="2" t="str">
        <f t="shared" si="104"/>
        <v/>
      </c>
      <c r="S356" s="2" t="str">
        <f t="shared" si="105"/>
        <v/>
      </c>
      <c r="T356" s="2" t="str">
        <f t="shared" si="106"/>
        <v/>
      </c>
    </row>
    <row r="357" spans="2:20" ht="11.45" customHeight="1" x14ac:dyDescent="0.25">
      <c r="B357" s="86" t="str">
        <f t="shared" si="107"/>
        <v/>
      </c>
      <c r="C357" s="88"/>
      <c r="D357" s="87" t="str">
        <f t="shared" si="108"/>
        <v/>
      </c>
      <c r="E357" s="157" t="str">
        <f t="shared" si="94"/>
        <v/>
      </c>
      <c r="F357" s="156" t="str">
        <f t="shared" si="95"/>
        <v/>
      </c>
      <c r="G357" s="78" t="str">
        <f t="shared" si="96"/>
        <v/>
      </c>
      <c r="H357" s="44" t="str">
        <f t="shared" si="92"/>
        <v/>
      </c>
      <c r="I357" s="44" t="str">
        <f t="shared" si="97"/>
        <v/>
      </c>
      <c r="J357" s="44" t="str">
        <f t="shared" si="98"/>
        <v/>
      </c>
      <c r="K357" s="46" t="str">
        <f t="shared" si="93"/>
        <v/>
      </c>
      <c r="L357" s="46" t="str">
        <f t="shared" si="99"/>
        <v/>
      </c>
      <c r="M357" s="26" t="str">
        <f t="shared" si="100"/>
        <v/>
      </c>
      <c r="N357" s="2" t="str">
        <f t="shared" si="101"/>
        <v/>
      </c>
      <c r="P357" s="2" t="str">
        <f t="shared" si="102"/>
        <v/>
      </c>
      <c r="Q357" s="2" t="str">
        <f t="shared" si="103"/>
        <v/>
      </c>
      <c r="R357" s="2" t="str">
        <f t="shared" si="104"/>
        <v/>
      </c>
      <c r="S357" s="2" t="str">
        <f t="shared" si="105"/>
        <v/>
      </c>
      <c r="T357" s="2" t="str">
        <f t="shared" si="106"/>
        <v/>
      </c>
    </row>
    <row r="358" spans="2:20" ht="11.45" customHeight="1" x14ac:dyDescent="0.25">
      <c r="B358" s="86" t="str">
        <f t="shared" si="107"/>
        <v/>
      </c>
      <c r="C358" s="88"/>
      <c r="D358" s="87" t="str">
        <f t="shared" si="108"/>
        <v/>
      </c>
      <c r="E358" s="157" t="str">
        <f t="shared" si="94"/>
        <v/>
      </c>
      <c r="F358" s="156" t="str">
        <f t="shared" si="95"/>
        <v/>
      </c>
      <c r="G358" s="78" t="str">
        <f t="shared" si="96"/>
        <v/>
      </c>
      <c r="H358" s="44" t="str">
        <f t="shared" si="92"/>
        <v/>
      </c>
      <c r="I358" s="44" t="str">
        <f t="shared" si="97"/>
        <v/>
      </c>
      <c r="J358" s="44" t="str">
        <f t="shared" si="98"/>
        <v/>
      </c>
      <c r="K358" s="46" t="str">
        <f t="shared" si="93"/>
        <v/>
      </c>
      <c r="L358" s="46" t="str">
        <f t="shared" si="99"/>
        <v/>
      </c>
      <c r="M358" s="26" t="str">
        <f t="shared" si="100"/>
        <v/>
      </c>
      <c r="N358" s="2" t="str">
        <f t="shared" si="101"/>
        <v/>
      </c>
      <c r="P358" s="2" t="str">
        <f t="shared" si="102"/>
        <v/>
      </c>
      <c r="Q358" s="2" t="str">
        <f t="shared" si="103"/>
        <v/>
      </c>
      <c r="R358" s="2" t="str">
        <f t="shared" si="104"/>
        <v/>
      </c>
      <c r="S358" s="2" t="str">
        <f t="shared" si="105"/>
        <v/>
      </c>
      <c r="T358" s="2" t="str">
        <f t="shared" si="106"/>
        <v/>
      </c>
    </row>
    <row r="359" spans="2:20" ht="11.45" customHeight="1" x14ac:dyDescent="0.25">
      <c r="B359" s="86" t="str">
        <f t="shared" si="107"/>
        <v/>
      </c>
      <c r="C359" s="88"/>
      <c r="D359" s="87" t="str">
        <f t="shared" si="108"/>
        <v/>
      </c>
      <c r="E359" s="157" t="str">
        <f t="shared" si="94"/>
        <v/>
      </c>
      <c r="F359" s="156" t="str">
        <f t="shared" si="95"/>
        <v/>
      </c>
      <c r="G359" s="78" t="str">
        <f t="shared" si="96"/>
        <v/>
      </c>
      <c r="H359" s="44" t="str">
        <f t="shared" si="92"/>
        <v/>
      </c>
      <c r="I359" s="44" t="str">
        <f t="shared" si="97"/>
        <v/>
      </c>
      <c r="J359" s="44" t="str">
        <f t="shared" si="98"/>
        <v/>
      </c>
      <c r="K359" s="46" t="str">
        <f t="shared" si="93"/>
        <v/>
      </c>
      <c r="L359" s="46" t="str">
        <f t="shared" si="99"/>
        <v/>
      </c>
      <c r="M359" s="26" t="str">
        <f t="shared" si="100"/>
        <v/>
      </c>
      <c r="N359" s="2" t="str">
        <f t="shared" si="101"/>
        <v/>
      </c>
      <c r="P359" s="2" t="str">
        <f t="shared" si="102"/>
        <v/>
      </c>
      <c r="Q359" s="2" t="str">
        <f t="shared" si="103"/>
        <v/>
      </c>
      <c r="R359" s="2" t="str">
        <f t="shared" si="104"/>
        <v/>
      </c>
      <c r="S359" s="2" t="str">
        <f t="shared" si="105"/>
        <v/>
      </c>
      <c r="T359" s="2" t="str">
        <f t="shared" si="106"/>
        <v/>
      </c>
    </row>
    <row r="360" spans="2:20" ht="11.45" customHeight="1" x14ac:dyDescent="0.25">
      <c r="B360" s="86" t="str">
        <f t="shared" si="107"/>
        <v/>
      </c>
      <c r="C360" s="88"/>
      <c r="D360" s="87" t="str">
        <f t="shared" si="108"/>
        <v/>
      </c>
      <c r="E360" s="157" t="str">
        <f t="shared" si="94"/>
        <v/>
      </c>
      <c r="F360" s="156" t="str">
        <f t="shared" si="95"/>
        <v/>
      </c>
      <c r="G360" s="78" t="str">
        <f t="shared" si="96"/>
        <v/>
      </c>
      <c r="H360" s="44" t="str">
        <f t="shared" si="92"/>
        <v/>
      </c>
      <c r="I360" s="44" t="str">
        <f t="shared" si="97"/>
        <v/>
      </c>
      <c r="J360" s="44" t="str">
        <f t="shared" si="98"/>
        <v/>
      </c>
      <c r="K360" s="46" t="str">
        <f t="shared" si="93"/>
        <v/>
      </c>
      <c r="L360" s="46" t="str">
        <f t="shared" si="99"/>
        <v/>
      </c>
      <c r="M360" s="26" t="str">
        <f t="shared" si="100"/>
        <v/>
      </c>
      <c r="N360" s="2" t="str">
        <f t="shared" si="101"/>
        <v/>
      </c>
      <c r="P360" s="2" t="str">
        <f t="shared" si="102"/>
        <v/>
      </c>
      <c r="Q360" s="2" t="str">
        <f t="shared" si="103"/>
        <v/>
      </c>
      <c r="R360" s="2" t="str">
        <f t="shared" si="104"/>
        <v/>
      </c>
      <c r="S360" s="2" t="str">
        <f t="shared" si="105"/>
        <v/>
      </c>
      <c r="T360" s="2" t="str">
        <f t="shared" si="106"/>
        <v/>
      </c>
    </row>
    <row r="361" spans="2:20" ht="11.45" customHeight="1" x14ac:dyDescent="0.25">
      <c r="B361" s="86" t="str">
        <f t="shared" si="107"/>
        <v/>
      </c>
      <c r="C361" s="88"/>
      <c r="D361" s="87" t="str">
        <f t="shared" si="108"/>
        <v/>
      </c>
      <c r="E361" s="157" t="str">
        <f t="shared" si="94"/>
        <v/>
      </c>
      <c r="F361" s="156" t="str">
        <f t="shared" si="95"/>
        <v/>
      </c>
      <c r="G361" s="78" t="str">
        <f t="shared" si="96"/>
        <v/>
      </c>
      <c r="H361" s="44" t="str">
        <f t="shared" si="92"/>
        <v/>
      </c>
      <c r="I361" s="44" t="str">
        <f t="shared" si="97"/>
        <v/>
      </c>
      <c r="J361" s="44" t="str">
        <f t="shared" si="98"/>
        <v/>
      </c>
      <c r="K361" s="46" t="str">
        <f t="shared" si="93"/>
        <v/>
      </c>
      <c r="L361" s="46" t="str">
        <f t="shared" si="99"/>
        <v/>
      </c>
      <c r="M361" s="26" t="str">
        <f t="shared" si="100"/>
        <v/>
      </c>
      <c r="N361" s="2" t="str">
        <f t="shared" si="101"/>
        <v/>
      </c>
      <c r="P361" s="2" t="str">
        <f t="shared" si="102"/>
        <v/>
      </c>
      <c r="Q361" s="2" t="str">
        <f t="shared" si="103"/>
        <v/>
      </c>
      <c r="R361" s="2" t="str">
        <f t="shared" si="104"/>
        <v/>
      </c>
      <c r="S361" s="2" t="str">
        <f t="shared" si="105"/>
        <v/>
      </c>
      <c r="T361" s="2" t="str">
        <f t="shared" si="106"/>
        <v/>
      </c>
    </row>
    <row r="362" spans="2:20" ht="11.45" customHeight="1" x14ac:dyDescent="0.25">
      <c r="B362" s="86" t="str">
        <f t="shared" si="107"/>
        <v/>
      </c>
      <c r="C362" s="88"/>
      <c r="D362" s="87" t="str">
        <f t="shared" si="108"/>
        <v/>
      </c>
      <c r="E362" s="157" t="str">
        <f t="shared" si="94"/>
        <v/>
      </c>
      <c r="F362" s="156" t="str">
        <f t="shared" si="95"/>
        <v/>
      </c>
      <c r="G362" s="78" t="str">
        <f t="shared" si="96"/>
        <v/>
      </c>
      <c r="H362" s="44" t="str">
        <f t="shared" si="92"/>
        <v/>
      </c>
      <c r="I362" s="44" t="str">
        <f t="shared" si="97"/>
        <v/>
      </c>
      <c r="J362" s="44" t="str">
        <f t="shared" si="98"/>
        <v/>
      </c>
      <c r="K362" s="46" t="str">
        <f t="shared" si="93"/>
        <v/>
      </c>
      <c r="L362" s="46" t="str">
        <f t="shared" si="99"/>
        <v/>
      </c>
      <c r="M362" s="26" t="str">
        <f t="shared" si="100"/>
        <v/>
      </c>
      <c r="N362" s="2" t="str">
        <f t="shared" si="101"/>
        <v/>
      </c>
      <c r="P362" s="2" t="str">
        <f t="shared" si="102"/>
        <v/>
      </c>
      <c r="Q362" s="2" t="str">
        <f t="shared" si="103"/>
        <v/>
      </c>
      <c r="R362" s="2" t="str">
        <f t="shared" si="104"/>
        <v/>
      </c>
      <c r="S362" s="2" t="str">
        <f t="shared" si="105"/>
        <v/>
      </c>
      <c r="T362" s="2" t="str">
        <f t="shared" si="106"/>
        <v/>
      </c>
    </row>
    <row r="363" spans="2:20" ht="11.45" customHeight="1" x14ac:dyDescent="0.25">
      <c r="B363" s="86" t="str">
        <f t="shared" si="107"/>
        <v/>
      </c>
      <c r="C363" s="88"/>
      <c r="D363" s="87" t="str">
        <f t="shared" si="108"/>
        <v/>
      </c>
      <c r="E363" s="157" t="str">
        <f t="shared" si="94"/>
        <v/>
      </c>
      <c r="F363" s="156" t="str">
        <f t="shared" si="95"/>
        <v/>
      </c>
      <c r="G363" s="78" t="str">
        <f t="shared" si="96"/>
        <v/>
      </c>
      <c r="H363" s="44" t="str">
        <f t="shared" si="92"/>
        <v/>
      </c>
      <c r="I363" s="44" t="str">
        <f t="shared" si="97"/>
        <v/>
      </c>
      <c r="J363" s="44" t="str">
        <f t="shared" si="98"/>
        <v/>
      </c>
      <c r="K363" s="46" t="str">
        <f t="shared" si="93"/>
        <v/>
      </c>
      <c r="L363" s="46" t="str">
        <f t="shared" si="99"/>
        <v/>
      </c>
      <c r="M363" s="26" t="str">
        <f t="shared" si="100"/>
        <v/>
      </c>
      <c r="N363" s="2" t="str">
        <f t="shared" si="101"/>
        <v/>
      </c>
      <c r="P363" s="2" t="str">
        <f t="shared" si="102"/>
        <v/>
      </c>
      <c r="Q363" s="2" t="str">
        <f t="shared" si="103"/>
        <v/>
      </c>
      <c r="R363" s="2" t="str">
        <f t="shared" si="104"/>
        <v/>
      </c>
      <c r="S363" s="2" t="str">
        <f t="shared" si="105"/>
        <v/>
      </c>
      <c r="T363" s="2" t="str">
        <f t="shared" si="106"/>
        <v/>
      </c>
    </row>
    <row r="364" spans="2:20" ht="11.45" customHeight="1" x14ac:dyDescent="0.25">
      <c r="B364" s="86" t="str">
        <f t="shared" si="107"/>
        <v/>
      </c>
      <c r="C364" s="88"/>
      <c r="D364" s="87" t="str">
        <f t="shared" si="108"/>
        <v/>
      </c>
      <c r="E364" s="157" t="str">
        <f t="shared" si="94"/>
        <v/>
      </c>
      <c r="F364" s="156" t="str">
        <f t="shared" si="95"/>
        <v/>
      </c>
      <c r="G364" s="78" t="str">
        <f t="shared" si="96"/>
        <v/>
      </c>
      <c r="H364" s="44" t="str">
        <f t="shared" si="92"/>
        <v/>
      </c>
      <c r="I364" s="44" t="str">
        <f t="shared" si="97"/>
        <v/>
      </c>
      <c r="J364" s="44" t="str">
        <f t="shared" si="98"/>
        <v/>
      </c>
      <c r="K364" s="46" t="str">
        <f t="shared" si="93"/>
        <v/>
      </c>
      <c r="L364" s="46" t="str">
        <f t="shared" si="99"/>
        <v/>
      </c>
      <c r="M364" s="26" t="str">
        <f t="shared" si="100"/>
        <v/>
      </c>
      <c r="N364" s="2" t="str">
        <f t="shared" si="101"/>
        <v/>
      </c>
      <c r="P364" s="2" t="str">
        <f t="shared" si="102"/>
        <v/>
      </c>
      <c r="Q364" s="2" t="str">
        <f t="shared" si="103"/>
        <v/>
      </c>
      <c r="R364" s="2" t="str">
        <f t="shared" si="104"/>
        <v/>
      </c>
      <c r="S364" s="2" t="str">
        <f t="shared" si="105"/>
        <v/>
      </c>
      <c r="T364" s="2" t="str">
        <f t="shared" si="106"/>
        <v/>
      </c>
    </row>
    <row r="365" spans="2:20" ht="11.45" customHeight="1" x14ac:dyDescent="0.25">
      <c r="B365" s="86" t="str">
        <f t="shared" si="107"/>
        <v/>
      </c>
      <c r="C365" s="88"/>
      <c r="D365" s="87" t="str">
        <f t="shared" si="108"/>
        <v/>
      </c>
      <c r="E365" s="157" t="str">
        <f t="shared" si="94"/>
        <v/>
      </c>
      <c r="F365" s="156" t="str">
        <f t="shared" si="95"/>
        <v/>
      </c>
      <c r="G365" s="78" t="str">
        <f t="shared" si="96"/>
        <v/>
      </c>
      <c r="H365" s="44" t="str">
        <f t="shared" si="92"/>
        <v/>
      </c>
      <c r="I365" s="44" t="str">
        <f t="shared" si="97"/>
        <v/>
      </c>
      <c r="J365" s="44" t="str">
        <f t="shared" si="98"/>
        <v/>
      </c>
      <c r="K365" s="46" t="str">
        <f t="shared" si="93"/>
        <v/>
      </c>
      <c r="L365" s="46" t="str">
        <f t="shared" si="99"/>
        <v/>
      </c>
      <c r="M365" s="26" t="str">
        <f t="shared" si="100"/>
        <v/>
      </c>
      <c r="N365" s="2" t="str">
        <f t="shared" si="101"/>
        <v/>
      </c>
      <c r="P365" s="2" t="str">
        <f t="shared" si="102"/>
        <v/>
      </c>
      <c r="Q365" s="2" t="str">
        <f t="shared" si="103"/>
        <v/>
      </c>
      <c r="R365" s="2" t="str">
        <f t="shared" si="104"/>
        <v/>
      </c>
      <c r="S365" s="2" t="str">
        <f t="shared" si="105"/>
        <v/>
      </c>
      <c r="T365" s="2" t="str">
        <f t="shared" si="106"/>
        <v/>
      </c>
    </row>
    <row r="366" spans="2:20" ht="11.45" customHeight="1" x14ac:dyDescent="0.25">
      <c r="B366" s="86" t="str">
        <f t="shared" si="107"/>
        <v/>
      </c>
      <c r="C366" s="88"/>
      <c r="D366" s="87" t="str">
        <f t="shared" si="108"/>
        <v/>
      </c>
      <c r="E366" s="157" t="str">
        <f t="shared" si="94"/>
        <v/>
      </c>
      <c r="F366" s="156" t="str">
        <f t="shared" si="95"/>
        <v/>
      </c>
      <c r="G366" s="78" t="str">
        <f t="shared" si="96"/>
        <v/>
      </c>
      <c r="H366" s="44" t="str">
        <f t="shared" si="92"/>
        <v/>
      </c>
      <c r="I366" s="44" t="str">
        <f t="shared" si="97"/>
        <v/>
      </c>
      <c r="J366" s="44" t="str">
        <f t="shared" si="98"/>
        <v/>
      </c>
      <c r="K366" s="46" t="str">
        <f t="shared" si="93"/>
        <v/>
      </c>
      <c r="L366" s="46" t="str">
        <f t="shared" si="99"/>
        <v/>
      </c>
      <c r="M366" s="26" t="str">
        <f t="shared" si="100"/>
        <v/>
      </c>
      <c r="N366" s="2" t="str">
        <f t="shared" si="101"/>
        <v/>
      </c>
      <c r="P366" s="2" t="str">
        <f t="shared" si="102"/>
        <v/>
      </c>
      <c r="Q366" s="2" t="str">
        <f t="shared" si="103"/>
        <v/>
      </c>
      <c r="R366" s="2" t="str">
        <f t="shared" si="104"/>
        <v/>
      </c>
      <c r="S366" s="2" t="str">
        <f t="shared" si="105"/>
        <v/>
      </c>
      <c r="T366" s="2" t="str">
        <f t="shared" si="106"/>
        <v/>
      </c>
    </row>
    <row r="367" spans="2:20" ht="11.45" customHeight="1" x14ac:dyDescent="0.25">
      <c r="B367" s="86" t="str">
        <f t="shared" si="107"/>
        <v/>
      </c>
      <c r="C367" s="88"/>
      <c r="D367" s="87" t="str">
        <f t="shared" si="108"/>
        <v/>
      </c>
      <c r="E367" s="157" t="str">
        <f t="shared" si="94"/>
        <v/>
      </c>
      <c r="F367" s="156" t="str">
        <f t="shared" si="95"/>
        <v/>
      </c>
      <c r="G367" s="78" t="str">
        <f t="shared" si="96"/>
        <v/>
      </c>
      <c r="H367" s="44" t="str">
        <f t="shared" si="92"/>
        <v/>
      </c>
      <c r="I367" s="44" t="str">
        <f t="shared" si="97"/>
        <v/>
      </c>
      <c r="J367" s="44" t="str">
        <f t="shared" si="98"/>
        <v/>
      </c>
      <c r="K367" s="46" t="str">
        <f t="shared" si="93"/>
        <v/>
      </c>
      <c r="L367" s="46" t="str">
        <f t="shared" si="99"/>
        <v/>
      </c>
      <c r="M367" s="26" t="str">
        <f t="shared" si="100"/>
        <v/>
      </c>
      <c r="N367" s="2" t="str">
        <f t="shared" si="101"/>
        <v/>
      </c>
      <c r="P367" s="2" t="str">
        <f t="shared" si="102"/>
        <v/>
      </c>
      <c r="Q367" s="2" t="str">
        <f t="shared" si="103"/>
        <v/>
      </c>
      <c r="R367" s="2" t="str">
        <f t="shared" si="104"/>
        <v/>
      </c>
      <c r="S367" s="2" t="str">
        <f t="shared" si="105"/>
        <v/>
      </c>
      <c r="T367" s="2" t="str">
        <f t="shared" si="106"/>
        <v/>
      </c>
    </row>
    <row r="368" spans="2:20" ht="11.45" customHeight="1" x14ac:dyDescent="0.25">
      <c r="B368" s="86" t="str">
        <f t="shared" si="107"/>
        <v/>
      </c>
      <c r="C368" s="88"/>
      <c r="D368" s="87" t="str">
        <f t="shared" si="108"/>
        <v/>
      </c>
      <c r="E368" s="157" t="str">
        <f t="shared" si="94"/>
        <v/>
      </c>
      <c r="F368" s="156" t="str">
        <f t="shared" si="95"/>
        <v/>
      </c>
      <c r="G368" s="78" t="str">
        <f t="shared" si="96"/>
        <v/>
      </c>
      <c r="H368" s="44" t="str">
        <f t="shared" si="92"/>
        <v/>
      </c>
      <c r="I368" s="44" t="str">
        <f t="shared" si="97"/>
        <v/>
      </c>
      <c r="J368" s="44" t="str">
        <f t="shared" si="98"/>
        <v/>
      </c>
      <c r="K368" s="46" t="str">
        <f t="shared" si="93"/>
        <v/>
      </c>
      <c r="L368" s="46" t="str">
        <f t="shared" si="99"/>
        <v/>
      </c>
      <c r="M368" s="26" t="str">
        <f t="shared" si="100"/>
        <v/>
      </c>
      <c r="N368" s="2" t="str">
        <f t="shared" si="101"/>
        <v/>
      </c>
      <c r="P368" s="2" t="str">
        <f t="shared" si="102"/>
        <v/>
      </c>
      <c r="Q368" s="2" t="str">
        <f t="shared" si="103"/>
        <v/>
      </c>
      <c r="R368" s="2" t="str">
        <f t="shared" si="104"/>
        <v/>
      </c>
      <c r="S368" s="2" t="str">
        <f t="shared" si="105"/>
        <v/>
      </c>
      <c r="T368" s="2" t="str">
        <f t="shared" si="106"/>
        <v/>
      </c>
    </row>
    <row r="369" spans="2:20" ht="11.45" customHeight="1" x14ac:dyDescent="0.25">
      <c r="B369" s="86" t="str">
        <f t="shared" si="107"/>
        <v/>
      </c>
      <c r="C369" s="88"/>
      <c r="D369" s="87" t="str">
        <f t="shared" si="108"/>
        <v/>
      </c>
      <c r="E369" s="157" t="str">
        <f t="shared" si="94"/>
        <v/>
      </c>
      <c r="F369" s="156" t="str">
        <f t="shared" si="95"/>
        <v/>
      </c>
      <c r="G369" s="78" t="str">
        <f t="shared" si="96"/>
        <v/>
      </c>
      <c r="H369" s="44" t="str">
        <f t="shared" si="92"/>
        <v/>
      </c>
      <c r="I369" s="44" t="str">
        <f t="shared" si="97"/>
        <v/>
      </c>
      <c r="J369" s="44" t="str">
        <f t="shared" si="98"/>
        <v/>
      </c>
      <c r="K369" s="46" t="str">
        <f t="shared" si="93"/>
        <v/>
      </c>
      <c r="L369" s="46" t="str">
        <f t="shared" si="99"/>
        <v/>
      </c>
      <c r="M369" s="26" t="str">
        <f t="shared" si="100"/>
        <v/>
      </c>
      <c r="N369" s="2" t="str">
        <f t="shared" si="101"/>
        <v/>
      </c>
      <c r="P369" s="2" t="str">
        <f t="shared" si="102"/>
        <v/>
      </c>
      <c r="Q369" s="2" t="str">
        <f t="shared" si="103"/>
        <v/>
      </c>
      <c r="R369" s="2" t="str">
        <f t="shared" si="104"/>
        <v/>
      </c>
      <c r="S369" s="2" t="str">
        <f t="shared" si="105"/>
        <v/>
      </c>
      <c r="T369" s="2" t="str">
        <f t="shared" si="106"/>
        <v/>
      </c>
    </row>
    <row r="370" spans="2:20" ht="11.45" customHeight="1" x14ac:dyDescent="0.25">
      <c r="B370" s="86" t="str">
        <f t="shared" si="107"/>
        <v/>
      </c>
      <c r="C370" s="88"/>
      <c r="D370" s="87" t="str">
        <f t="shared" si="108"/>
        <v/>
      </c>
      <c r="E370" s="157" t="str">
        <f t="shared" si="94"/>
        <v/>
      </c>
      <c r="F370" s="156" t="str">
        <f t="shared" si="95"/>
        <v/>
      </c>
      <c r="G370" s="78" t="str">
        <f t="shared" si="96"/>
        <v/>
      </c>
      <c r="H370" s="44" t="str">
        <f t="shared" si="92"/>
        <v/>
      </c>
      <c r="I370" s="44" t="str">
        <f t="shared" si="97"/>
        <v/>
      </c>
      <c r="J370" s="44" t="str">
        <f t="shared" si="98"/>
        <v/>
      </c>
      <c r="K370" s="46" t="str">
        <f t="shared" si="93"/>
        <v/>
      </c>
      <c r="L370" s="46" t="str">
        <f t="shared" si="99"/>
        <v/>
      </c>
      <c r="M370" s="26" t="str">
        <f t="shared" si="100"/>
        <v/>
      </c>
      <c r="N370" s="2" t="str">
        <f t="shared" si="101"/>
        <v/>
      </c>
      <c r="P370" s="2" t="str">
        <f t="shared" si="102"/>
        <v/>
      </c>
      <c r="Q370" s="2" t="str">
        <f t="shared" si="103"/>
        <v/>
      </c>
      <c r="R370" s="2" t="str">
        <f t="shared" si="104"/>
        <v/>
      </c>
      <c r="S370" s="2" t="str">
        <f t="shared" si="105"/>
        <v/>
      </c>
      <c r="T370" s="2" t="str">
        <f t="shared" si="106"/>
        <v/>
      </c>
    </row>
    <row r="371" spans="2:20" ht="11.45" customHeight="1" x14ac:dyDescent="0.25">
      <c r="B371" s="86" t="str">
        <f t="shared" si="107"/>
        <v/>
      </c>
      <c r="C371" s="88"/>
      <c r="D371" s="87" t="str">
        <f t="shared" si="108"/>
        <v/>
      </c>
      <c r="E371" s="157" t="str">
        <f t="shared" si="94"/>
        <v/>
      </c>
      <c r="F371" s="156" t="str">
        <f t="shared" si="95"/>
        <v/>
      </c>
      <c r="G371" s="78" t="str">
        <f t="shared" si="96"/>
        <v/>
      </c>
      <c r="H371" s="44" t="str">
        <f t="shared" si="92"/>
        <v/>
      </c>
      <c r="I371" s="44" t="str">
        <f t="shared" si="97"/>
        <v/>
      </c>
      <c r="J371" s="44" t="str">
        <f t="shared" si="98"/>
        <v/>
      </c>
      <c r="K371" s="46" t="str">
        <f t="shared" si="93"/>
        <v/>
      </c>
      <c r="L371" s="46" t="str">
        <f t="shared" si="99"/>
        <v/>
      </c>
      <c r="M371" s="26" t="str">
        <f t="shared" si="100"/>
        <v/>
      </c>
      <c r="N371" s="2" t="str">
        <f t="shared" si="101"/>
        <v/>
      </c>
      <c r="P371" s="2" t="str">
        <f t="shared" si="102"/>
        <v/>
      </c>
      <c r="Q371" s="2" t="str">
        <f t="shared" si="103"/>
        <v/>
      </c>
      <c r="R371" s="2" t="str">
        <f t="shared" si="104"/>
        <v/>
      </c>
      <c r="S371" s="2" t="str">
        <f t="shared" si="105"/>
        <v/>
      </c>
      <c r="T371" s="2" t="str">
        <f t="shared" si="106"/>
        <v/>
      </c>
    </row>
    <row r="372" spans="2:20" ht="11.45" customHeight="1" x14ac:dyDescent="0.25">
      <c r="B372" s="86" t="str">
        <f t="shared" si="107"/>
        <v/>
      </c>
      <c r="C372" s="88"/>
      <c r="D372" s="87" t="str">
        <f t="shared" si="108"/>
        <v/>
      </c>
      <c r="E372" s="157" t="str">
        <f t="shared" si="94"/>
        <v/>
      </c>
      <c r="F372" s="156" t="str">
        <f t="shared" si="95"/>
        <v/>
      </c>
      <c r="G372" s="78" t="str">
        <f t="shared" si="96"/>
        <v/>
      </c>
      <c r="H372" s="44" t="str">
        <f t="shared" si="92"/>
        <v/>
      </c>
      <c r="I372" s="44" t="str">
        <f t="shared" si="97"/>
        <v/>
      </c>
      <c r="J372" s="44" t="str">
        <f t="shared" si="98"/>
        <v/>
      </c>
      <c r="K372" s="46" t="str">
        <f t="shared" si="93"/>
        <v/>
      </c>
      <c r="L372" s="46" t="str">
        <f t="shared" si="99"/>
        <v/>
      </c>
      <c r="M372" s="26" t="str">
        <f t="shared" si="100"/>
        <v/>
      </c>
      <c r="N372" s="2" t="str">
        <f t="shared" si="101"/>
        <v/>
      </c>
      <c r="P372" s="2" t="str">
        <f t="shared" si="102"/>
        <v/>
      </c>
      <c r="Q372" s="2" t="str">
        <f t="shared" si="103"/>
        <v/>
      </c>
      <c r="R372" s="2" t="str">
        <f t="shared" si="104"/>
        <v/>
      </c>
      <c r="S372" s="2" t="str">
        <f t="shared" si="105"/>
        <v/>
      </c>
      <c r="T372" s="2" t="str">
        <f t="shared" si="106"/>
        <v/>
      </c>
    </row>
    <row r="373" spans="2:20" ht="11.45" customHeight="1" x14ac:dyDescent="0.25">
      <c r="B373" s="86" t="str">
        <f t="shared" si="107"/>
        <v/>
      </c>
      <c r="C373" s="88"/>
      <c r="D373" s="87" t="str">
        <f t="shared" si="108"/>
        <v/>
      </c>
      <c r="E373" s="157" t="str">
        <f t="shared" si="94"/>
        <v/>
      </c>
      <c r="F373" s="156" t="str">
        <f t="shared" si="95"/>
        <v/>
      </c>
      <c r="G373" s="78" t="str">
        <f t="shared" si="96"/>
        <v/>
      </c>
      <c r="H373" s="44" t="str">
        <f t="shared" si="92"/>
        <v/>
      </c>
      <c r="I373" s="44" t="str">
        <f t="shared" si="97"/>
        <v/>
      </c>
      <c r="J373" s="44" t="str">
        <f t="shared" si="98"/>
        <v/>
      </c>
      <c r="K373" s="46" t="str">
        <f t="shared" si="93"/>
        <v/>
      </c>
      <c r="L373" s="46" t="str">
        <f t="shared" si="99"/>
        <v/>
      </c>
      <c r="M373" s="26" t="str">
        <f t="shared" si="100"/>
        <v/>
      </c>
      <c r="N373" s="2" t="str">
        <f t="shared" si="101"/>
        <v/>
      </c>
      <c r="P373" s="2" t="str">
        <f t="shared" si="102"/>
        <v/>
      </c>
      <c r="Q373" s="2" t="str">
        <f t="shared" si="103"/>
        <v/>
      </c>
      <c r="R373" s="2" t="str">
        <f t="shared" si="104"/>
        <v/>
      </c>
      <c r="S373" s="2" t="str">
        <f t="shared" si="105"/>
        <v/>
      </c>
      <c r="T373" s="2" t="str">
        <f t="shared" si="106"/>
        <v/>
      </c>
    </row>
    <row r="374" spans="2:20" ht="11.45" customHeight="1" x14ac:dyDescent="0.25">
      <c r="B374" s="86" t="str">
        <f t="shared" si="107"/>
        <v/>
      </c>
      <c r="C374" s="88"/>
      <c r="D374" s="87" t="str">
        <f t="shared" si="108"/>
        <v/>
      </c>
      <c r="E374" s="157" t="str">
        <f t="shared" si="94"/>
        <v/>
      </c>
      <c r="F374" s="156" t="str">
        <f t="shared" si="95"/>
        <v/>
      </c>
      <c r="G374" s="78" t="str">
        <f t="shared" si="96"/>
        <v/>
      </c>
      <c r="H374" s="44" t="str">
        <f t="shared" si="92"/>
        <v/>
      </c>
      <c r="I374" s="44" t="str">
        <f t="shared" si="97"/>
        <v/>
      </c>
      <c r="J374" s="44" t="str">
        <f t="shared" si="98"/>
        <v/>
      </c>
      <c r="K374" s="46" t="str">
        <f t="shared" si="93"/>
        <v/>
      </c>
      <c r="L374" s="46" t="str">
        <f t="shared" si="99"/>
        <v/>
      </c>
      <c r="M374" s="26" t="str">
        <f t="shared" si="100"/>
        <v/>
      </c>
      <c r="N374" s="2" t="str">
        <f t="shared" si="101"/>
        <v/>
      </c>
      <c r="P374" s="2" t="str">
        <f t="shared" si="102"/>
        <v/>
      </c>
      <c r="Q374" s="2" t="str">
        <f t="shared" si="103"/>
        <v/>
      </c>
      <c r="R374" s="2" t="str">
        <f t="shared" si="104"/>
        <v/>
      </c>
      <c r="S374" s="2" t="str">
        <f t="shared" si="105"/>
        <v/>
      </c>
      <c r="T374" s="2" t="str">
        <f t="shared" si="106"/>
        <v/>
      </c>
    </row>
    <row r="375" spans="2:20" ht="11.45" customHeight="1" x14ac:dyDescent="0.25">
      <c r="B375" s="86" t="str">
        <f t="shared" si="107"/>
        <v/>
      </c>
      <c r="C375" s="88"/>
      <c r="D375" s="87" t="str">
        <f t="shared" si="108"/>
        <v/>
      </c>
      <c r="E375" s="157" t="str">
        <f t="shared" si="94"/>
        <v/>
      </c>
      <c r="F375" s="156" t="str">
        <f t="shared" si="95"/>
        <v/>
      </c>
      <c r="G375" s="78" t="str">
        <f t="shared" si="96"/>
        <v/>
      </c>
      <c r="H375" s="44" t="str">
        <f t="shared" si="92"/>
        <v/>
      </c>
      <c r="I375" s="44" t="str">
        <f t="shared" si="97"/>
        <v/>
      </c>
      <c r="J375" s="44" t="str">
        <f t="shared" si="98"/>
        <v/>
      </c>
      <c r="K375" s="46" t="str">
        <f t="shared" si="93"/>
        <v/>
      </c>
      <c r="L375" s="46" t="str">
        <f t="shared" si="99"/>
        <v/>
      </c>
      <c r="M375" s="26" t="str">
        <f t="shared" si="100"/>
        <v/>
      </c>
      <c r="N375" s="2" t="str">
        <f t="shared" si="101"/>
        <v/>
      </c>
      <c r="P375" s="2" t="str">
        <f t="shared" si="102"/>
        <v/>
      </c>
      <c r="Q375" s="2" t="str">
        <f t="shared" si="103"/>
        <v/>
      </c>
      <c r="R375" s="2" t="str">
        <f t="shared" si="104"/>
        <v/>
      </c>
      <c r="S375" s="2" t="str">
        <f t="shared" si="105"/>
        <v/>
      </c>
      <c r="T375" s="2" t="str">
        <f t="shared" si="106"/>
        <v/>
      </c>
    </row>
    <row r="376" spans="2:20" ht="11.45" customHeight="1" x14ac:dyDescent="0.25">
      <c r="B376" s="86" t="str">
        <f t="shared" si="107"/>
        <v/>
      </c>
      <c r="C376" s="88"/>
      <c r="D376" s="87" t="str">
        <f t="shared" si="108"/>
        <v/>
      </c>
      <c r="E376" s="157" t="str">
        <f t="shared" si="94"/>
        <v/>
      </c>
      <c r="F376" s="156" t="str">
        <f t="shared" si="95"/>
        <v/>
      </c>
      <c r="G376" s="78" t="str">
        <f t="shared" si="96"/>
        <v/>
      </c>
      <c r="H376" s="44" t="str">
        <f t="shared" si="92"/>
        <v/>
      </c>
      <c r="I376" s="44" t="str">
        <f t="shared" si="97"/>
        <v/>
      </c>
      <c r="J376" s="44" t="str">
        <f t="shared" si="98"/>
        <v/>
      </c>
      <c r="K376" s="46" t="str">
        <f t="shared" si="93"/>
        <v/>
      </c>
      <c r="L376" s="46" t="str">
        <f t="shared" si="99"/>
        <v/>
      </c>
      <c r="M376" s="26" t="str">
        <f t="shared" si="100"/>
        <v/>
      </c>
      <c r="N376" s="2" t="str">
        <f t="shared" si="101"/>
        <v/>
      </c>
      <c r="P376" s="2" t="str">
        <f t="shared" si="102"/>
        <v/>
      </c>
      <c r="Q376" s="2" t="str">
        <f t="shared" si="103"/>
        <v/>
      </c>
      <c r="R376" s="2" t="str">
        <f t="shared" si="104"/>
        <v/>
      </c>
      <c r="S376" s="2" t="str">
        <f t="shared" si="105"/>
        <v/>
      </c>
      <c r="T376" s="2" t="str">
        <f t="shared" si="106"/>
        <v/>
      </c>
    </row>
    <row r="377" spans="2:20" ht="11.45" customHeight="1" x14ac:dyDescent="0.25">
      <c r="B377" s="86" t="str">
        <f t="shared" si="107"/>
        <v/>
      </c>
      <c r="C377" s="88"/>
      <c r="D377" s="87" t="str">
        <f t="shared" si="108"/>
        <v/>
      </c>
      <c r="E377" s="157" t="str">
        <f t="shared" si="94"/>
        <v/>
      </c>
      <c r="F377" s="156" t="str">
        <f t="shared" si="95"/>
        <v/>
      </c>
      <c r="G377" s="78" t="str">
        <f t="shared" si="96"/>
        <v/>
      </c>
      <c r="H377" s="44" t="str">
        <f t="shared" si="92"/>
        <v/>
      </c>
      <c r="I377" s="44" t="str">
        <f t="shared" si="97"/>
        <v/>
      </c>
      <c r="J377" s="44" t="str">
        <f t="shared" si="98"/>
        <v/>
      </c>
      <c r="K377" s="46" t="str">
        <f t="shared" si="93"/>
        <v/>
      </c>
      <c r="L377" s="46" t="str">
        <f t="shared" si="99"/>
        <v/>
      </c>
      <c r="M377" s="26" t="str">
        <f t="shared" si="100"/>
        <v/>
      </c>
      <c r="N377" s="2" t="str">
        <f t="shared" si="101"/>
        <v/>
      </c>
      <c r="P377" s="2" t="str">
        <f t="shared" si="102"/>
        <v/>
      </c>
      <c r="Q377" s="2" t="str">
        <f t="shared" si="103"/>
        <v/>
      </c>
      <c r="R377" s="2" t="str">
        <f t="shared" si="104"/>
        <v/>
      </c>
      <c r="S377" s="2" t="str">
        <f t="shared" si="105"/>
        <v/>
      </c>
      <c r="T377" s="2" t="str">
        <f t="shared" si="106"/>
        <v/>
      </c>
    </row>
    <row r="378" spans="2:20" ht="11.45" customHeight="1" x14ac:dyDescent="0.25">
      <c r="B378" s="86" t="str">
        <f t="shared" si="107"/>
        <v/>
      </c>
      <c r="C378" s="88"/>
      <c r="D378" s="87" t="str">
        <f t="shared" si="108"/>
        <v/>
      </c>
      <c r="E378" s="157" t="str">
        <f t="shared" si="94"/>
        <v/>
      </c>
      <c r="F378" s="156" t="str">
        <f t="shared" si="95"/>
        <v/>
      </c>
      <c r="G378" s="78" t="str">
        <f t="shared" si="96"/>
        <v/>
      </c>
      <c r="H378" s="44" t="str">
        <f t="shared" si="92"/>
        <v/>
      </c>
      <c r="I378" s="44" t="str">
        <f t="shared" si="97"/>
        <v/>
      </c>
      <c r="J378" s="44" t="str">
        <f t="shared" si="98"/>
        <v/>
      </c>
      <c r="K378" s="46" t="str">
        <f t="shared" si="93"/>
        <v/>
      </c>
      <c r="L378" s="46" t="str">
        <f t="shared" si="99"/>
        <v/>
      </c>
      <c r="M378" s="26" t="str">
        <f t="shared" si="100"/>
        <v/>
      </c>
      <c r="N378" s="2" t="str">
        <f t="shared" si="101"/>
        <v/>
      </c>
      <c r="P378" s="2" t="str">
        <f t="shared" si="102"/>
        <v/>
      </c>
      <c r="Q378" s="2" t="str">
        <f t="shared" si="103"/>
        <v/>
      </c>
      <c r="R378" s="2" t="str">
        <f t="shared" si="104"/>
        <v/>
      </c>
      <c r="S378" s="2" t="str">
        <f t="shared" si="105"/>
        <v/>
      </c>
      <c r="T378" s="2" t="str">
        <f t="shared" si="106"/>
        <v/>
      </c>
    </row>
    <row r="379" spans="2:20" ht="11.45" customHeight="1" x14ac:dyDescent="0.25">
      <c r="B379" s="86" t="str">
        <f t="shared" si="107"/>
        <v/>
      </c>
      <c r="C379" s="88"/>
      <c r="D379" s="87" t="str">
        <f t="shared" si="108"/>
        <v/>
      </c>
      <c r="E379" s="157" t="str">
        <f t="shared" si="94"/>
        <v/>
      </c>
      <c r="F379" s="156" t="str">
        <f t="shared" si="95"/>
        <v/>
      </c>
      <c r="G379" s="78" t="str">
        <f t="shared" si="96"/>
        <v/>
      </c>
      <c r="H379" s="44" t="str">
        <f t="shared" si="92"/>
        <v/>
      </c>
      <c r="I379" s="44" t="str">
        <f t="shared" si="97"/>
        <v/>
      </c>
      <c r="J379" s="44" t="str">
        <f t="shared" si="98"/>
        <v/>
      </c>
      <c r="K379" s="46" t="str">
        <f t="shared" si="93"/>
        <v/>
      </c>
      <c r="L379" s="46" t="str">
        <f t="shared" si="99"/>
        <v/>
      </c>
      <c r="M379" s="26" t="str">
        <f t="shared" si="100"/>
        <v/>
      </c>
      <c r="N379" s="2" t="str">
        <f t="shared" si="101"/>
        <v/>
      </c>
      <c r="P379" s="2" t="str">
        <f t="shared" si="102"/>
        <v/>
      </c>
      <c r="Q379" s="2" t="str">
        <f t="shared" si="103"/>
        <v/>
      </c>
      <c r="R379" s="2" t="str">
        <f t="shared" si="104"/>
        <v/>
      </c>
      <c r="S379" s="2" t="str">
        <f t="shared" si="105"/>
        <v/>
      </c>
      <c r="T379" s="2" t="str">
        <f t="shared" si="106"/>
        <v/>
      </c>
    </row>
    <row r="380" spans="2:20" ht="11.45" customHeight="1" x14ac:dyDescent="0.25">
      <c r="B380" s="86" t="str">
        <f t="shared" si="107"/>
        <v/>
      </c>
      <c r="C380" s="88"/>
      <c r="D380" s="87" t="str">
        <f t="shared" si="108"/>
        <v/>
      </c>
      <c r="E380" s="157" t="str">
        <f t="shared" si="94"/>
        <v/>
      </c>
      <c r="F380" s="156" t="str">
        <f t="shared" si="95"/>
        <v/>
      </c>
      <c r="G380" s="78" t="str">
        <f t="shared" si="96"/>
        <v/>
      </c>
      <c r="H380" s="44" t="str">
        <f t="shared" si="92"/>
        <v/>
      </c>
      <c r="I380" s="44" t="str">
        <f t="shared" si="97"/>
        <v/>
      </c>
      <c r="J380" s="44" t="str">
        <f t="shared" si="98"/>
        <v/>
      </c>
      <c r="K380" s="46" t="str">
        <f t="shared" si="93"/>
        <v/>
      </c>
      <c r="L380" s="46" t="str">
        <f t="shared" si="99"/>
        <v/>
      </c>
      <c r="M380" s="26" t="str">
        <f t="shared" si="100"/>
        <v/>
      </c>
      <c r="N380" s="2" t="str">
        <f t="shared" si="101"/>
        <v/>
      </c>
      <c r="P380" s="2" t="str">
        <f t="shared" si="102"/>
        <v/>
      </c>
      <c r="Q380" s="2" t="str">
        <f t="shared" si="103"/>
        <v/>
      </c>
      <c r="R380" s="2" t="str">
        <f t="shared" si="104"/>
        <v/>
      </c>
      <c r="S380" s="2" t="str">
        <f t="shared" si="105"/>
        <v/>
      </c>
      <c r="T380" s="2" t="str">
        <f t="shared" si="106"/>
        <v/>
      </c>
    </row>
    <row r="381" spans="2:20" ht="11.45" customHeight="1" x14ac:dyDescent="0.25">
      <c r="B381" s="86" t="str">
        <f t="shared" si="107"/>
        <v/>
      </c>
      <c r="C381" s="88"/>
      <c r="D381" s="87" t="str">
        <f t="shared" si="108"/>
        <v/>
      </c>
      <c r="E381" s="157" t="str">
        <f t="shared" si="94"/>
        <v/>
      </c>
      <c r="F381" s="156" t="str">
        <f t="shared" si="95"/>
        <v/>
      </c>
      <c r="G381" s="78" t="str">
        <f t="shared" si="96"/>
        <v/>
      </c>
      <c r="H381" s="44" t="str">
        <f t="shared" si="92"/>
        <v/>
      </c>
      <c r="I381" s="44" t="str">
        <f t="shared" si="97"/>
        <v/>
      </c>
      <c r="J381" s="44" t="str">
        <f t="shared" si="98"/>
        <v/>
      </c>
      <c r="K381" s="46" t="str">
        <f t="shared" si="93"/>
        <v/>
      </c>
      <c r="L381" s="46" t="str">
        <f t="shared" si="99"/>
        <v/>
      </c>
      <c r="M381" s="26" t="str">
        <f t="shared" si="100"/>
        <v/>
      </c>
      <c r="N381" s="2" t="str">
        <f t="shared" si="101"/>
        <v/>
      </c>
      <c r="P381" s="2" t="str">
        <f t="shared" si="102"/>
        <v/>
      </c>
      <c r="Q381" s="2" t="str">
        <f t="shared" si="103"/>
        <v/>
      </c>
      <c r="R381" s="2" t="str">
        <f t="shared" si="104"/>
        <v/>
      </c>
      <c r="S381" s="2" t="str">
        <f t="shared" si="105"/>
        <v/>
      </c>
      <c r="T381" s="2" t="str">
        <f t="shared" si="106"/>
        <v/>
      </c>
    </row>
    <row r="382" spans="2:20" ht="11.45" customHeight="1" x14ac:dyDescent="0.25">
      <c r="B382" s="86" t="str">
        <f t="shared" si="107"/>
        <v/>
      </c>
      <c r="C382" s="88"/>
      <c r="D382" s="87" t="str">
        <f t="shared" si="108"/>
        <v/>
      </c>
      <c r="E382" s="157" t="str">
        <f t="shared" si="94"/>
        <v/>
      </c>
      <c r="F382" s="156" t="str">
        <f t="shared" si="95"/>
        <v/>
      </c>
      <c r="G382" s="78" t="str">
        <f t="shared" si="96"/>
        <v/>
      </c>
      <c r="H382" s="44" t="str">
        <f t="shared" si="92"/>
        <v/>
      </c>
      <c r="I382" s="44" t="str">
        <f t="shared" si="97"/>
        <v/>
      </c>
      <c r="J382" s="44" t="str">
        <f t="shared" si="98"/>
        <v/>
      </c>
      <c r="K382" s="46" t="str">
        <f t="shared" si="93"/>
        <v/>
      </c>
      <c r="L382" s="46" t="str">
        <f t="shared" si="99"/>
        <v/>
      </c>
      <c r="M382" s="26" t="str">
        <f t="shared" si="100"/>
        <v/>
      </c>
      <c r="N382" s="2" t="str">
        <f t="shared" si="101"/>
        <v/>
      </c>
      <c r="P382" s="2" t="str">
        <f t="shared" si="102"/>
        <v/>
      </c>
      <c r="Q382" s="2" t="str">
        <f t="shared" si="103"/>
        <v/>
      </c>
      <c r="R382" s="2" t="str">
        <f t="shared" si="104"/>
        <v/>
      </c>
      <c r="S382" s="2" t="str">
        <f t="shared" si="105"/>
        <v/>
      </c>
      <c r="T382" s="2" t="str">
        <f t="shared" si="106"/>
        <v/>
      </c>
    </row>
    <row r="383" spans="2:20" ht="11.45" customHeight="1" x14ac:dyDescent="0.25">
      <c r="B383" s="86" t="str">
        <f t="shared" si="107"/>
        <v/>
      </c>
      <c r="C383" s="88"/>
      <c r="D383" s="87" t="str">
        <f t="shared" si="108"/>
        <v/>
      </c>
      <c r="E383" s="157" t="str">
        <f t="shared" si="94"/>
        <v/>
      </c>
      <c r="F383" s="156" t="str">
        <f t="shared" si="95"/>
        <v/>
      </c>
      <c r="G383" s="78" t="str">
        <f t="shared" si="96"/>
        <v/>
      </c>
      <c r="H383" s="44" t="str">
        <f t="shared" si="92"/>
        <v/>
      </c>
      <c r="I383" s="44" t="str">
        <f t="shared" si="97"/>
        <v/>
      </c>
      <c r="J383" s="44" t="str">
        <f t="shared" si="98"/>
        <v/>
      </c>
      <c r="K383" s="46" t="str">
        <f t="shared" si="93"/>
        <v/>
      </c>
      <c r="L383" s="46" t="str">
        <f t="shared" si="99"/>
        <v/>
      </c>
      <c r="M383" s="26" t="str">
        <f t="shared" si="100"/>
        <v/>
      </c>
      <c r="N383" s="2" t="str">
        <f t="shared" si="101"/>
        <v/>
      </c>
      <c r="P383" s="2" t="str">
        <f t="shared" si="102"/>
        <v/>
      </c>
      <c r="Q383" s="2" t="str">
        <f t="shared" si="103"/>
        <v/>
      </c>
      <c r="R383" s="2" t="str">
        <f t="shared" si="104"/>
        <v/>
      </c>
      <c r="S383" s="2" t="str">
        <f t="shared" si="105"/>
        <v/>
      </c>
      <c r="T383" s="2" t="str">
        <f t="shared" si="106"/>
        <v/>
      </c>
    </row>
    <row r="384" spans="2:20" ht="11.45" customHeight="1" x14ac:dyDescent="0.25">
      <c r="B384" s="86" t="str">
        <f t="shared" si="107"/>
        <v/>
      </c>
      <c r="C384" s="88"/>
      <c r="D384" s="87" t="str">
        <f t="shared" si="108"/>
        <v/>
      </c>
      <c r="E384" s="157" t="str">
        <f t="shared" si="94"/>
        <v/>
      </c>
      <c r="F384" s="156" t="str">
        <f t="shared" si="95"/>
        <v/>
      </c>
      <c r="G384" s="78" t="str">
        <f t="shared" si="96"/>
        <v/>
      </c>
      <c r="H384" s="44" t="str">
        <f t="shared" si="92"/>
        <v/>
      </c>
      <c r="I384" s="44" t="str">
        <f t="shared" si="97"/>
        <v/>
      </c>
      <c r="J384" s="44" t="str">
        <f t="shared" si="98"/>
        <v/>
      </c>
      <c r="K384" s="46" t="str">
        <f t="shared" si="93"/>
        <v/>
      </c>
      <c r="L384" s="46" t="str">
        <f t="shared" si="99"/>
        <v/>
      </c>
      <c r="M384" s="26" t="str">
        <f t="shared" si="100"/>
        <v/>
      </c>
      <c r="N384" s="2" t="str">
        <f t="shared" si="101"/>
        <v/>
      </c>
      <c r="P384" s="2" t="str">
        <f t="shared" si="102"/>
        <v/>
      </c>
      <c r="Q384" s="2" t="str">
        <f t="shared" si="103"/>
        <v/>
      </c>
      <c r="R384" s="2" t="str">
        <f t="shared" si="104"/>
        <v/>
      </c>
      <c r="S384" s="2" t="str">
        <f t="shared" si="105"/>
        <v/>
      </c>
      <c r="T384" s="2" t="str">
        <f t="shared" si="106"/>
        <v/>
      </c>
    </row>
    <row r="385" spans="2:20" ht="11.45" customHeight="1" x14ac:dyDescent="0.25">
      <c r="B385" s="86" t="str">
        <f t="shared" si="107"/>
        <v/>
      </c>
      <c r="C385" s="88"/>
      <c r="D385" s="87" t="str">
        <f t="shared" si="108"/>
        <v/>
      </c>
      <c r="E385" s="157" t="str">
        <f t="shared" si="94"/>
        <v/>
      </c>
      <c r="F385" s="156" t="str">
        <f t="shared" si="95"/>
        <v/>
      </c>
      <c r="G385" s="78" t="str">
        <f t="shared" si="96"/>
        <v/>
      </c>
      <c r="H385" s="44" t="str">
        <f t="shared" si="92"/>
        <v/>
      </c>
      <c r="I385" s="44" t="str">
        <f t="shared" si="97"/>
        <v/>
      </c>
      <c r="J385" s="44" t="str">
        <f t="shared" si="98"/>
        <v/>
      </c>
      <c r="K385" s="46" t="str">
        <f t="shared" si="93"/>
        <v/>
      </c>
      <c r="L385" s="46" t="str">
        <f t="shared" si="99"/>
        <v/>
      </c>
      <c r="M385" s="26" t="str">
        <f t="shared" si="100"/>
        <v/>
      </c>
      <c r="N385" s="2" t="str">
        <f t="shared" si="101"/>
        <v/>
      </c>
      <c r="P385" s="2" t="str">
        <f t="shared" si="102"/>
        <v/>
      </c>
      <c r="Q385" s="2" t="str">
        <f t="shared" si="103"/>
        <v/>
      </c>
      <c r="R385" s="2" t="str">
        <f t="shared" si="104"/>
        <v/>
      </c>
      <c r="S385" s="2" t="str">
        <f t="shared" si="105"/>
        <v/>
      </c>
      <c r="T385" s="2" t="str">
        <f t="shared" si="106"/>
        <v/>
      </c>
    </row>
    <row r="386" spans="2:20" ht="11.45" customHeight="1" x14ac:dyDescent="0.25">
      <c r="B386" s="86" t="str">
        <f t="shared" si="107"/>
        <v/>
      </c>
      <c r="C386" s="88"/>
      <c r="D386" s="87" t="str">
        <f t="shared" si="108"/>
        <v/>
      </c>
      <c r="E386" s="157" t="str">
        <f t="shared" si="94"/>
        <v/>
      </c>
      <c r="F386" s="156" t="str">
        <f t="shared" si="95"/>
        <v/>
      </c>
      <c r="G386" s="78" t="str">
        <f t="shared" si="96"/>
        <v/>
      </c>
      <c r="H386" s="44" t="str">
        <f t="shared" si="92"/>
        <v/>
      </c>
      <c r="I386" s="44" t="str">
        <f t="shared" si="97"/>
        <v/>
      </c>
      <c r="J386" s="44" t="str">
        <f t="shared" si="98"/>
        <v/>
      </c>
      <c r="K386" s="46" t="str">
        <f t="shared" si="93"/>
        <v/>
      </c>
      <c r="L386" s="46" t="str">
        <f t="shared" si="99"/>
        <v/>
      </c>
      <c r="M386" s="26" t="str">
        <f t="shared" si="100"/>
        <v/>
      </c>
      <c r="N386" s="2" t="str">
        <f t="shared" si="101"/>
        <v/>
      </c>
      <c r="P386" s="2" t="str">
        <f t="shared" si="102"/>
        <v/>
      </c>
      <c r="Q386" s="2" t="str">
        <f t="shared" si="103"/>
        <v/>
      </c>
      <c r="R386" s="2" t="str">
        <f t="shared" si="104"/>
        <v/>
      </c>
      <c r="S386" s="2" t="str">
        <f t="shared" si="105"/>
        <v/>
      </c>
      <c r="T386" s="2" t="str">
        <f t="shared" si="106"/>
        <v/>
      </c>
    </row>
    <row r="387" spans="2:20" ht="11.45" customHeight="1" x14ac:dyDescent="0.25">
      <c r="B387" s="86" t="str">
        <f t="shared" si="107"/>
        <v/>
      </c>
      <c r="C387" s="88"/>
      <c r="D387" s="87" t="str">
        <f t="shared" si="108"/>
        <v/>
      </c>
      <c r="E387" s="157" t="str">
        <f t="shared" si="94"/>
        <v/>
      </c>
      <c r="F387" s="156" t="str">
        <f t="shared" si="95"/>
        <v/>
      </c>
      <c r="G387" s="78" t="str">
        <f t="shared" si="96"/>
        <v/>
      </c>
      <c r="H387" s="44" t="str">
        <f t="shared" si="92"/>
        <v/>
      </c>
      <c r="I387" s="44" t="str">
        <f t="shared" si="97"/>
        <v/>
      </c>
      <c r="J387" s="44" t="str">
        <f t="shared" si="98"/>
        <v/>
      </c>
      <c r="K387" s="46" t="str">
        <f t="shared" si="93"/>
        <v/>
      </c>
      <c r="L387" s="46" t="str">
        <f t="shared" si="99"/>
        <v/>
      </c>
      <c r="M387" s="26" t="str">
        <f t="shared" si="100"/>
        <v/>
      </c>
      <c r="N387" s="2" t="str">
        <f t="shared" si="101"/>
        <v/>
      </c>
      <c r="P387" s="2" t="str">
        <f t="shared" si="102"/>
        <v/>
      </c>
      <c r="Q387" s="2" t="str">
        <f t="shared" si="103"/>
        <v/>
      </c>
      <c r="R387" s="2" t="str">
        <f t="shared" si="104"/>
        <v/>
      </c>
      <c r="S387" s="2" t="str">
        <f t="shared" si="105"/>
        <v/>
      </c>
      <c r="T387" s="2" t="str">
        <f t="shared" si="106"/>
        <v/>
      </c>
    </row>
    <row r="388" spans="2:20" ht="11.45" customHeight="1" x14ac:dyDescent="0.25">
      <c r="B388" s="86" t="str">
        <f t="shared" si="107"/>
        <v/>
      </c>
      <c r="C388" s="88"/>
      <c r="D388" s="87" t="str">
        <f t="shared" si="108"/>
        <v/>
      </c>
      <c r="E388" s="157" t="str">
        <f t="shared" si="94"/>
        <v/>
      </c>
      <c r="F388" s="156" t="str">
        <f t="shared" si="95"/>
        <v/>
      </c>
      <c r="G388" s="78" t="str">
        <f t="shared" si="96"/>
        <v/>
      </c>
      <c r="H388" s="44" t="str">
        <f t="shared" si="92"/>
        <v/>
      </c>
      <c r="I388" s="44" t="str">
        <f t="shared" si="97"/>
        <v/>
      </c>
      <c r="J388" s="44" t="str">
        <f t="shared" si="98"/>
        <v/>
      </c>
      <c r="K388" s="46" t="str">
        <f t="shared" si="93"/>
        <v/>
      </c>
      <c r="L388" s="46" t="str">
        <f t="shared" si="99"/>
        <v/>
      </c>
      <c r="M388" s="26" t="str">
        <f t="shared" si="100"/>
        <v/>
      </c>
      <c r="N388" s="2" t="str">
        <f t="shared" si="101"/>
        <v/>
      </c>
      <c r="P388" s="2" t="str">
        <f t="shared" si="102"/>
        <v/>
      </c>
      <c r="Q388" s="2" t="str">
        <f t="shared" si="103"/>
        <v/>
      </c>
      <c r="R388" s="2" t="str">
        <f t="shared" si="104"/>
        <v/>
      </c>
      <c r="S388" s="2" t="str">
        <f t="shared" si="105"/>
        <v/>
      </c>
      <c r="T388" s="2" t="str">
        <f t="shared" si="106"/>
        <v/>
      </c>
    </row>
    <row r="389" spans="2:20" ht="11.45" customHeight="1" x14ac:dyDescent="0.25">
      <c r="B389" s="86" t="str">
        <f t="shared" si="107"/>
        <v/>
      </c>
      <c r="C389" s="88"/>
      <c r="D389" s="87" t="str">
        <f t="shared" si="108"/>
        <v/>
      </c>
      <c r="E389" s="157" t="str">
        <f t="shared" si="94"/>
        <v/>
      </c>
      <c r="F389" s="156" t="str">
        <f t="shared" si="95"/>
        <v/>
      </c>
      <c r="G389" s="78" t="str">
        <f t="shared" si="96"/>
        <v/>
      </c>
      <c r="H389" s="44" t="str">
        <f t="shared" si="92"/>
        <v/>
      </c>
      <c r="I389" s="44" t="str">
        <f t="shared" si="97"/>
        <v/>
      </c>
      <c r="J389" s="44" t="str">
        <f t="shared" si="98"/>
        <v/>
      </c>
      <c r="K389" s="46" t="str">
        <f t="shared" si="93"/>
        <v/>
      </c>
      <c r="L389" s="46" t="str">
        <f t="shared" si="99"/>
        <v/>
      </c>
      <c r="M389" s="26" t="str">
        <f t="shared" si="100"/>
        <v/>
      </c>
      <c r="N389" s="2" t="str">
        <f t="shared" si="101"/>
        <v/>
      </c>
      <c r="P389" s="2" t="str">
        <f t="shared" si="102"/>
        <v/>
      </c>
      <c r="Q389" s="2" t="str">
        <f t="shared" si="103"/>
        <v/>
      </c>
      <c r="R389" s="2" t="str">
        <f t="shared" si="104"/>
        <v/>
      </c>
      <c r="S389" s="2" t="str">
        <f t="shared" si="105"/>
        <v/>
      </c>
      <c r="T389" s="2" t="str">
        <f t="shared" si="106"/>
        <v/>
      </c>
    </row>
    <row r="390" spans="2:20" ht="11.45" customHeight="1" x14ac:dyDescent="0.25">
      <c r="B390" s="86" t="str">
        <f t="shared" si="107"/>
        <v/>
      </c>
      <c r="C390" s="88"/>
      <c r="D390" s="87" t="str">
        <f t="shared" si="108"/>
        <v/>
      </c>
      <c r="E390" s="157" t="str">
        <f t="shared" si="94"/>
        <v/>
      </c>
      <c r="F390" s="156" t="str">
        <f t="shared" si="95"/>
        <v/>
      </c>
      <c r="G390" s="78" t="str">
        <f t="shared" si="96"/>
        <v/>
      </c>
      <c r="H390" s="44" t="str">
        <f t="shared" si="92"/>
        <v/>
      </c>
      <c r="I390" s="44" t="str">
        <f t="shared" si="97"/>
        <v/>
      </c>
      <c r="J390" s="44" t="str">
        <f t="shared" si="98"/>
        <v/>
      </c>
      <c r="K390" s="46" t="str">
        <f t="shared" si="93"/>
        <v/>
      </c>
      <c r="L390" s="46" t="str">
        <f t="shared" si="99"/>
        <v/>
      </c>
      <c r="M390" s="26" t="str">
        <f t="shared" si="100"/>
        <v/>
      </c>
      <c r="N390" s="2" t="str">
        <f t="shared" si="101"/>
        <v/>
      </c>
      <c r="P390" s="2" t="str">
        <f t="shared" si="102"/>
        <v/>
      </c>
      <c r="Q390" s="2" t="str">
        <f t="shared" si="103"/>
        <v/>
      </c>
      <c r="R390" s="2" t="str">
        <f t="shared" si="104"/>
        <v/>
      </c>
      <c r="S390" s="2" t="str">
        <f t="shared" si="105"/>
        <v/>
      </c>
      <c r="T390" s="2" t="str">
        <f t="shared" si="106"/>
        <v/>
      </c>
    </row>
    <row r="391" spans="2:20" ht="11.45" customHeight="1" x14ac:dyDescent="0.25">
      <c r="B391" s="86" t="str">
        <f t="shared" si="107"/>
        <v/>
      </c>
      <c r="C391" s="88"/>
      <c r="D391" s="87" t="str">
        <f t="shared" si="108"/>
        <v/>
      </c>
      <c r="E391" s="157" t="str">
        <f t="shared" si="94"/>
        <v/>
      </c>
      <c r="F391" s="156" t="str">
        <f t="shared" si="95"/>
        <v/>
      </c>
      <c r="G391" s="78" t="str">
        <f t="shared" si="96"/>
        <v/>
      </c>
      <c r="H391" s="44" t="str">
        <f t="shared" si="92"/>
        <v/>
      </c>
      <c r="I391" s="44" t="str">
        <f t="shared" si="97"/>
        <v/>
      </c>
      <c r="J391" s="44" t="str">
        <f t="shared" si="98"/>
        <v/>
      </c>
      <c r="K391" s="46" t="str">
        <f t="shared" si="93"/>
        <v/>
      </c>
      <c r="L391" s="46" t="str">
        <f t="shared" si="99"/>
        <v/>
      </c>
      <c r="M391" s="26" t="str">
        <f t="shared" si="100"/>
        <v/>
      </c>
      <c r="N391" s="2" t="str">
        <f t="shared" si="101"/>
        <v/>
      </c>
      <c r="P391" s="2" t="str">
        <f t="shared" si="102"/>
        <v/>
      </c>
      <c r="Q391" s="2" t="str">
        <f t="shared" si="103"/>
        <v/>
      </c>
      <c r="R391" s="2" t="str">
        <f t="shared" si="104"/>
        <v/>
      </c>
      <c r="S391" s="2" t="str">
        <f t="shared" si="105"/>
        <v/>
      </c>
      <c r="T391" s="2" t="str">
        <f t="shared" si="106"/>
        <v/>
      </c>
    </row>
    <row r="392" spans="2:20" ht="11.45" customHeight="1" x14ac:dyDescent="0.25">
      <c r="B392" s="86" t="str">
        <f t="shared" si="107"/>
        <v/>
      </c>
      <c r="C392" s="88"/>
      <c r="D392" s="87" t="str">
        <f t="shared" si="108"/>
        <v/>
      </c>
      <c r="E392" s="157" t="str">
        <f t="shared" si="94"/>
        <v/>
      </c>
      <c r="F392" s="156" t="str">
        <f t="shared" si="95"/>
        <v/>
      </c>
      <c r="G392" s="78" t="str">
        <f t="shared" si="96"/>
        <v/>
      </c>
      <c r="H392" s="44" t="str">
        <f t="shared" si="92"/>
        <v/>
      </c>
      <c r="I392" s="44" t="str">
        <f t="shared" si="97"/>
        <v/>
      </c>
      <c r="J392" s="44" t="str">
        <f t="shared" si="98"/>
        <v/>
      </c>
      <c r="K392" s="46" t="str">
        <f t="shared" si="93"/>
        <v/>
      </c>
      <c r="L392" s="46" t="str">
        <f t="shared" si="99"/>
        <v/>
      </c>
      <c r="M392" s="26" t="str">
        <f t="shared" si="100"/>
        <v/>
      </c>
      <c r="N392" s="2" t="str">
        <f t="shared" si="101"/>
        <v/>
      </c>
      <c r="P392" s="2" t="str">
        <f t="shared" si="102"/>
        <v/>
      </c>
      <c r="Q392" s="2" t="str">
        <f t="shared" si="103"/>
        <v/>
      </c>
      <c r="R392" s="2" t="str">
        <f t="shared" si="104"/>
        <v/>
      </c>
      <c r="S392" s="2" t="str">
        <f t="shared" si="105"/>
        <v/>
      </c>
      <c r="T392" s="2" t="str">
        <f t="shared" si="106"/>
        <v/>
      </c>
    </row>
    <row r="393" spans="2:20" ht="11.45" customHeight="1" x14ac:dyDescent="0.25">
      <c r="B393" s="86" t="str">
        <f t="shared" si="107"/>
        <v/>
      </c>
      <c r="C393" s="88"/>
      <c r="D393" s="87" t="str">
        <f t="shared" si="108"/>
        <v/>
      </c>
      <c r="E393" s="157" t="str">
        <f t="shared" si="94"/>
        <v/>
      </c>
      <c r="F393" s="156" t="str">
        <f t="shared" si="95"/>
        <v/>
      </c>
      <c r="G393" s="78" t="str">
        <f t="shared" si="96"/>
        <v/>
      </c>
      <c r="H393" s="44" t="str">
        <f t="shared" si="92"/>
        <v/>
      </c>
      <c r="I393" s="44" t="str">
        <f t="shared" si="97"/>
        <v/>
      </c>
      <c r="J393" s="44" t="str">
        <f t="shared" si="98"/>
        <v/>
      </c>
      <c r="K393" s="46" t="str">
        <f t="shared" si="93"/>
        <v/>
      </c>
      <c r="L393" s="46" t="str">
        <f t="shared" si="99"/>
        <v/>
      </c>
      <c r="M393" s="26" t="str">
        <f t="shared" si="100"/>
        <v/>
      </c>
      <c r="N393" s="2" t="str">
        <f t="shared" si="101"/>
        <v/>
      </c>
      <c r="P393" s="2" t="str">
        <f t="shared" si="102"/>
        <v/>
      </c>
      <c r="Q393" s="2" t="str">
        <f t="shared" si="103"/>
        <v/>
      </c>
      <c r="R393" s="2" t="str">
        <f t="shared" si="104"/>
        <v/>
      </c>
      <c r="S393" s="2" t="str">
        <f t="shared" si="105"/>
        <v/>
      </c>
      <c r="T393" s="2" t="str">
        <f t="shared" si="106"/>
        <v/>
      </c>
    </row>
    <row r="394" spans="2:20" ht="11.45" customHeight="1" x14ac:dyDescent="0.25">
      <c r="B394" s="86" t="str">
        <f t="shared" si="107"/>
        <v/>
      </c>
      <c r="C394" s="88"/>
      <c r="D394" s="87" t="str">
        <f t="shared" si="108"/>
        <v/>
      </c>
      <c r="E394" s="157" t="str">
        <f t="shared" si="94"/>
        <v/>
      </c>
      <c r="F394" s="156" t="str">
        <f t="shared" si="95"/>
        <v/>
      </c>
      <c r="G394" s="78" t="str">
        <f t="shared" si="96"/>
        <v/>
      </c>
      <c r="H394" s="44" t="str">
        <f t="shared" si="92"/>
        <v/>
      </c>
      <c r="I394" s="44" t="str">
        <f t="shared" si="97"/>
        <v/>
      </c>
      <c r="J394" s="44" t="str">
        <f t="shared" si="98"/>
        <v/>
      </c>
      <c r="K394" s="46" t="str">
        <f t="shared" si="93"/>
        <v/>
      </c>
      <c r="L394" s="46" t="str">
        <f t="shared" si="99"/>
        <v/>
      </c>
      <c r="M394" s="26" t="str">
        <f t="shared" si="100"/>
        <v/>
      </c>
      <c r="N394" s="2" t="str">
        <f t="shared" si="101"/>
        <v/>
      </c>
      <c r="P394" s="2" t="str">
        <f t="shared" si="102"/>
        <v/>
      </c>
      <c r="Q394" s="2" t="str">
        <f t="shared" si="103"/>
        <v/>
      </c>
      <c r="R394" s="2" t="str">
        <f t="shared" si="104"/>
        <v/>
      </c>
      <c r="S394" s="2" t="str">
        <f t="shared" si="105"/>
        <v/>
      </c>
      <c r="T394" s="2" t="str">
        <f t="shared" si="106"/>
        <v/>
      </c>
    </row>
    <row r="395" spans="2:20" ht="11.45" customHeight="1" x14ac:dyDescent="0.25">
      <c r="B395" s="86" t="str">
        <f t="shared" si="107"/>
        <v/>
      </c>
      <c r="C395" s="88"/>
      <c r="D395" s="87" t="str">
        <f t="shared" si="108"/>
        <v/>
      </c>
      <c r="E395" s="157" t="str">
        <f t="shared" si="94"/>
        <v/>
      </c>
      <c r="F395" s="156" t="str">
        <f t="shared" si="95"/>
        <v/>
      </c>
      <c r="G395" s="78" t="str">
        <f t="shared" si="96"/>
        <v/>
      </c>
      <c r="H395" s="44" t="str">
        <f t="shared" si="92"/>
        <v/>
      </c>
      <c r="I395" s="44" t="str">
        <f t="shared" si="97"/>
        <v/>
      </c>
      <c r="J395" s="44" t="str">
        <f t="shared" si="98"/>
        <v/>
      </c>
      <c r="K395" s="46" t="str">
        <f t="shared" si="93"/>
        <v/>
      </c>
      <c r="L395" s="46" t="str">
        <f t="shared" si="99"/>
        <v/>
      </c>
      <c r="M395" s="26" t="str">
        <f t="shared" si="100"/>
        <v/>
      </c>
      <c r="N395" s="2" t="str">
        <f t="shared" si="101"/>
        <v/>
      </c>
      <c r="P395" s="2" t="str">
        <f t="shared" si="102"/>
        <v/>
      </c>
      <c r="Q395" s="2" t="str">
        <f t="shared" si="103"/>
        <v/>
      </c>
      <c r="R395" s="2" t="str">
        <f t="shared" si="104"/>
        <v/>
      </c>
      <c r="S395" s="2" t="str">
        <f t="shared" si="105"/>
        <v/>
      </c>
      <c r="T395" s="2" t="str">
        <f t="shared" si="106"/>
        <v/>
      </c>
    </row>
    <row r="396" spans="2:20" ht="11.45" customHeight="1" x14ac:dyDescent="0.25">
      <c r="B396" s="86" t="str">
        <f t="shared" si="107"/>
        <v/>
      </c>
      <c r="C396" s="88"/>
      <c r="D396" s="87" t="str">
        <f t="shared" si="108"/>
        <v/>
      </c>
      <c r="E396" s="157" t="str">
        <f t="shared" si="94"/>
        <v/>
      </c>
      <c r="F396" s="156" t="str">
        <f t="shared" si="95"/>
        <v/>
      </c>
      <c r="G396" s="78" t="str">
        <f t="shared" si="96"/>
        <v/>
      </c>
      <c r="H396" s="44" t="str">
        <f t="shared" si="92"/>
        <v/>
      </c>
      <c r="I396" s="44" t="str">
        <f t="shared" si="97"/>
        <v/>
      </c>
      <c r="J396" s="44" t="str">
        <f t="shared" si="98"/>
        <v/>
      </c>
      <c r="K396" s="46" t="str">
        <f t="shared" si="93"/>
        <v/>
      </c>
      <c r="L396" s="46" t="str">
        <f t="shared" si="99"/>
        <v/>
      </c>
      <c r="M396" s="26" t="str">
        <f t="shared" si="100"/>
        <v/>
      </c>
      <c r="N396" s="2" t="str">
        <f t="shared" si="101"/>
        <v/>
      </c>
      <c r="P396" s="2" t="str">
        <f t="shared" si="102"/>
        <v/>
      </c>
      <c r="Q396" s="2" t="str">
        <f t="shared" si="103"/>
        <v/>
      </c>
      <c r="R396" s="2" t="str">
        <f t="shared" si="104"/>
        <v/>
      </c>
      <c r="S396" s="2" t="str">
        <f t="shared" si="105"/>
        <v/>
      </c>
      <c r="T396" s="2" t="str">
        <f t="shared" si="106"/>
        <v/>
      </c>
    </row>
    <row r="397" spans="2:20" ht="11.45" customHeight="1" x14ac:dyDescent="0.25">
      <c r="B397" s="86" t="str">
        <f t="shared" si="107"/>
        <v/>
      </c>
      <c r="C397" s="88"/>
      <c r="D397" s="87" t="str">
        <f t="shared" si="108"/>
        <v/>
      </c>
      <c r="E397" s="157" t="str">
        <f t="shared" si="94"/>
        <v/>
      </c>
      <c r="F397" s="156" t="str">
        <f t="shared" si="95"/>
        <v/>
      </c>
      <c r="G397" s="78" t="str">
        <f t="shared" si="96"/>
        <v/>
      </c>
      <c r="H397" s="44" t="str">
        <f t="shared" si="92"/>
        <v/>
      </c>
      <c r="I397" s="44" t="str">
        <f t="shared" si="97"/>
        <v/>
      </c>
      <c r="J397" s="44" t="str">
        <f t="shared" si="98"/>
        <v/>
      </c>
      <c r="K397" s="46" t="str">
        <f t="shared" si="93"/>
        <v/>
      </c>
      <c r="L397" s="46" t="str">
        <f t="shared" si="99"/>
        <v/>
      </c>
      <c r="M397" s="26" t="str">
        <f t="shared" si="100"/>
        <v/>
      </c>
      <c r="N397" s="2" t="str">
        <f t="shared" si="101"/>
        <v/>
      </c>
      <c r="P397" s="2" t="str">
        <f t="shared" si="102"/>
        <v/>
      </c>
      <c r="Q397" s="2" t="str">
        <f t="shared" si="103"/>
        <v/>
      </c>
      <c r="R397" s="2" t="str">
        <f t="shared" si="104"/>
        <v/>
      </c>
      <c r="S397" s="2" t="str">
        <f t="shared" si="105"/>
        <v/>
      </c>
      <c r="T397" s="2" t="str">
        <f t="shared" si="106"/>
        <v/>
      </c>
    </row>
    <row r="398" spans="2:20" ht="11.45" customHeight="1" x14ac:dyDescent="0.25">
      <c r="B398" s="86" t="str">
        <f t="shared" si="107"/>
        <v/>
      </c>
      <c r="C398" s="88"/>
      <c r="D398" s="87" t="str">
        <f t="shared" si="108"/>
        <v/>
      </c>
      <c r="E398" s="157" t="str">
        <f t="shared" si="94"/>
        <v/>
      </c>
      <c r="F398" s="156" t="str">
        <f t="shared" si="95"/>
        <v/>
      </c>
      <c r="G398" s="78" t="str">
        <f t="shared" si="96"/>
        <v/>
      </c>
      <c r="H398" s="44" t="str">
        <f t="shared" si="92"/>
        <v/>
      </c>
      <c r="I398" s="44" t="str">
        <f t="shared" si="97"/>
        <v/>
      </c>
      <c r="J398" s="44" t="str">
        <f t="shared" si="98"/>
        <v/>
      </c>
      <c r="K398" s="46" t="str">
        <f t="shared" si="93"/>
        <v/>
      </c>
      <c r="L398" s="46" t="str">
        <f t="shared" si="99"/>
        <v/>
      </c>
      <c r="M398" s="26" t="str">
        <f t="shared" si="100"/>
        <v/>
      </c>
      <c r="N398" s="2" t="str">
        <f t="shared" si="101"/>
        <v/>
      </c>
      <c r="P398" s="2" t="str">
        <f t="shared" si="102"/>
        <v/>
      </c>
      <c r="Q398" s="2" t="str">
        <f t="shared" si="103"/>
        <v/>
      </c>
      <c r="R398" s="2" t="str">
        <f t="shared" si="104"/>
        <v/>
      </c>
      <c r="S398" s="2" t="str">
        <f t="shared" si="105"/>
        <v/>
      </c>
      <c r="T398" s="2" t="str">
        <f t="shared" si="106"/>
        <v/>
      </c>
    </row>
    <row r="399" spans="2:20" ht="11.45" customHeight="1" x14ac:dyDescent="0.25">
      <c r="B399" s="86" t="str">
        <f t="shared" si="107"/>
        <v/>
      </c>
      <c r="C399" s="88"/>
      <c r="D399" s="87" t="str">
        <f t="shared" si="108"/>
        <v/>
      </c>
      <c r="E399" s="157" t="str">
        <f t="shared" si="94"/>
        <v/>
      </c>
      <c r="F399" s="156" t="str">
        <f t="shared" si="95"/>
        <v/>
      </c>
      <c r="G399" s="78" t="str">
        <f t="shared" si="96"/>
        <v/>
      </c>
      <c r="H399" s="44" t="str">
        <f t="shared" si="92"/>
        <v/>
      </c>
      <c r="I399" s="44" t="str">
        <f t="shared" si="97"/>
        <v/>
      </c>
      <c r="J399" s="44" t="str">
        <f t="shared" si="98"/>
        <v/>
      </c>
      <c r="K399" s="46" t="str">
        <f t="shared" si="93"/>
        <v/>
      </c>
      <c r="L399" s="46" t="str">
        <f t="shared" si="99"/>
        <v/>
      </c>
      <c r="M399" s="26" t="str">
        <f t="shared" si="100"/>
        <v/>
      </c>
      <c r="N399" s="2" t="str">
        <f t="shared" si="101"/>
        <v/>
      </c>
      <c r="P399" s="2" t="str">
        <f t="shared" si="102"/>
        <v/>
      </c>
      <c r="Q399" s="2" t="str">
        <f t="shared" si="103"/>
        <v/>
      </c>
      <c r="R399" s="2" t="str">
        <f t="shared" si="104"/>
        <v/>
      </c>
      <c r="S399" s="2" t="str">
        <f t="shared" si="105"/>
        <v/>
      </c>
      <c r="T399" s="2" t="str">
        <f t="shared" si="106"/>
        <v/>
      </c>
    </row>
    <row r="400" spans="2:20" ht="11.45" customHeight="1" x14ac:dyDescent="0.25">
      <c r="B400" s="86" t="str">
        <f t="shared" si="107"/>
        <v/>
      </c>
      <c r="C400" s="88"/>
      <c r="D400" s="87" t="str">
        <f t="shared" si="108"/>
        <v/>
      </c>
      <c r="E400" s="157" t="str">
        <f t="shared" si="94"/>
        <v/>
      </c>
      <c r="F400" s="156" t="str">
        <f t="shared" si="95"/>
        <v/>
      </c>
      <c r="G400" s="78" t="str">
        <f t="shared" si="96"/>
        <v/>
      </c>
      <c r="H400" s="44" t="str">
        <f t="shared" si="92"/>
        <v/>
      </c>
      <c r="I400" s="44" t="str">
        <f t="shared" si="97"/>
        <v/>
      </c>
      <c r="J400" s="44" t="str">
        <f t="shared" si="98"/>
        <v/>
      </c>
      <c r="K400" s="46" t="str">
        <f t="shared" si="93"/>
        <v/>
      </c>
      <c r="L400" s="46" t="str">
        <f t="shared" si="99"/>
        <v/>
      </c>
      <c r="M400" s="26" t="str">
        <f t="shared" si="100"/>
        <v/>
      </c>
      <c r="N400" s="2" t="str">
        <f t="shared" si="101"/>
        <v/>
      </c>
      <c r="P400" s="2" t="str">
        <f t="shared" si="102"/>
        <v/>
      </c>
      <c r="Q400" s="2" t="str">
        <f t="shared" si="103"/>
        <v/>
      </c>
      <c r="R400" s="2" t="str">
        <f t="shared" si="104"/>
        <v/>
      </c>
      <c r="S400" s="2" t="str">
        <f t="shared" si="105"/>
        <v/>
      </c>
      <c r="T400" s="2" t="str">
        <f t="shared" si="106"/>
        <v/>
      </c>
    </row>
    <row r="401" spans="2:20" ht="11.45" customHeight="1" x14ac:dyDescent="0.25">
      <c r="B401" s="86" t="str">
        <f t="shared" si="107"/>
        <v/>
      </c>
      <c r="C401" s="88"/>
      <c r="D401" s="87" t="str">
        <f t="shared" si="108"/>
        <v/>
      </c>
      <c r="E401" s="157" t="str">
        <f t="shared" si="94"/>
        <v/>
      </c>
      <c r="F401" s="156" t="str">
        <f t="shared" si="95"/>
        <v/>
      </c>
      <c r="G401" s="78" t="str">
        <f t="shared" si="96"/>
        <v/>
      </c>
      <c r="H401" s="44" t="str">
        <f t="shared" si="92"/>
        <v/>
      </c>
      <c r="I401" s="44" t="str">
        <f t="shared" si="97"/>
        <v/>
      </c>
      <c r="J401" s="44" t="str">
        <f t="shared" si="98"/>
        <v/>
      </c>
      <c r="K401" s="46" t="str">
        <f t="shared" si="93"/>
        <v/>
      </c>
      <c r="L401" s="46" t="str">
        <f t="shared" si="99"/>
        <v/>
      </c>
      <c r="M401" s="26" t="str">
        <f t="shared" si="100"/>
        <v/>
      </c>
      <c r="N401" s="2" t="str">
        <f t="shared" si="101"/>
        <v/>
      </c>
      <c r="P401" s="2" t="str">
        <f t="shared" si="102"/>
        <v/>
      </c>
      <c r="Q401" s="2" t="str">
        <f t="shared" si="103"/>
        <v/>
      </c>
      <c r="R401" s="2" t="str">
        <f t="shared" si="104"/>
        <v/>
      </c>
      <c r="S401" s="2" t="str">
        <f t="shared" si="105"/>
        <v/>
      </c>
      <c r="T401" s="2" t="str">
        <f t="shared" si="106"/>
        <v/>
      </c>
    </row>
    <row r="402" spans="2:20" ht="11.45" customHeight="1" x14ac:dyDescent="0.25">
      <c r="B402" s="86" t="str">
        <f t="shared" si="107"/>
        <v/>
      </c>
      <c r="C402" s="88"/>
      <c r="D402" s="87" t="str">
        <f t="shared" si="108"/>
        <v/>
      </c>
      <c r="E402" s="157" t="str">
        <f t="shared" si="94"/>
        <v/>
      </c>
      <c r="F402" s="156" t="str">
        <f t="shared" si="95"/>
        <v/>
      </c>
      <c r="G402" s="78" t="str">
        <f t="shared" si="96"/>
        <v/>
      </c>
      <c r="H402" s="44" t="str">
        <f t="shared" si="92"/>
        <v/>
      </c>
      <c r="I402" s="44" t="str">
        <f t="shared" si="97"/>
        <v/>
      </c>
      <c r="J402" s="44" t="str">
        <f t="shared" si="98"/>
        <v/>
      </c>
      <c r="K402" s="46" t="str">
        <f t="shared" si="93"/>
        <v/>
      </c>
      <c r="L402" s="46" t="str">
        <f t="shared" si="99"/>
        <v/>
      </c>
      <c r="M402" s="26" t="str">
        <f t="shared" si="100"/>
        <v/>
      </c>
      <c r="N402" s="2" t="str">
        <f t="shared" si="101"/>
        <v/>
      </c>
      <c r="P402" s="2" t="str">
        <f t="shared" si="102"/>
        <v/>
      </c>
      <c r="Q402" s="2" t="str">
        <f t="shared" si="103"/>
        <v/>
      </c>
      <c r="R402" s="2" t="str">
        <f t="shared" si="104"/>
        <v/>
      </c>
      <c r="S402" s="2" t="str">
        <f t="shared" si="105"/>
        <v/>
      </c>
      <c r="T402" s="2" t="str">
        <f t="shared" si="106"/>
        <v/>
      </c>
    </row>
    <row r="403" spans="2:20" ht="11.45" customHeight="1" x14ac:dyDescent="0.25">
      <c r="B403" s="86" t="str">
        <f t="shared" si="107"/>
        <v/>
      </c>
      <c r="C403" s="88"/>
      <c r="D403" s="87" t="str">
        <f t="shared" si="108"/>
        <v/>
      </c>
      <c r="E403" s="157" t="str">
        <f t="shared" si="94"/>
        <v/>
      </c>
      <c r="F403" s="156" t="str">
        <f t="shared" si="95"/>
        <v/>
      </c>
      <c r="G403" s="78" t="str">
        <f t="shared" si="96"/>
        <v/>
      </c>
      <c r="H403" s="44" t="str">
        <f t="shared" si="92"/>
        <v/>
      </c>
      <c r="I403" s="44" t="str">
        <f t="shared" si="97"/>
        <v/>
      </c>
      <c r="J403" s="44" t="str">
        <f t="shared" si="98"/>
        <v/>
      </c>
      <c r="K403" s="46" t="str">
        <f t="shared" si="93"/>
        <v/>
      </c>
      <c r="L403" s="46" t="str">
        <f t="shared" si="99"/>
        <v/>
      </c>
      <c r="M403" s="26" t="str">
        <f t="shared" si="100"/>
        <v/>
      </c>
      <c r="N403" s="2" t="str">
        <f t="shared" si="101"/>
        <v/>
      </c>
      <c r="P403" s="2" t="str">
        <f t="shared" si="102"/>
        <v/>
      </c>
      <c r="Q403" s="2" t="str">
        <f t="shared" si="103"/>
        <v/>
      </c>
      <c r="R403" s="2" t="str">
        <f t="shared" si="104"/>
        <v/>
      </c>
      <c r="S403" s="2" t="str">
        <f t="shared" si="105"/>
        <v/>
      </c>
      <c r="T403" s="2" t="str">
        <f t="shared" si="106"/>
        <v/>
      </c>
    </row>
    <row r="404" spans="2:20" ht="11.45" customHeight="1" x14ac:dyDescent="0.25">
      <c r="B404" s="86" t="str">
        <f t="shared" si="107"/>
        <v/>
      </c>
      <c r="C404" s="88"/>
      <c r="D404" s="87" t="str">
        <f t="shared" si="108"/>
        <v/>
      </c>
      <c r="E404" s="157" t="str">
        <f t="shared" si="94"/>
        <v/>
      </c>
      <c r="F404" s="156" t="str">
        <f t="shared" si="95"/>
        <v/>
      </c>
      <c r="G404" s="78" t="str">
        <f t="shared" si="96"/>
        <v/>
      </c>
      <c r="H404" s="44" t="str">
        <f t="shared" si="92"/>
        <v/>
      </c>
      <c r="I404" s="44" t="str">
        <f t="shared" si="97"/>
        <v/>
      </c>
      <c r="J404" s="44" t="str">
        <f t="shared" si="98"/>
        <v/>
      </c>
      <c r="K404" s="46" t="str">
        <f t="shared" si="93"/>
        <v/>
      </c>
      <c r="L404" s="46" t="str">
        <f t="shared" si="99"/>
        <v/>
      </c>
      <c r="M404" s="26" t="str">
        <f t="shared" si="100"/>
        <v/>
      </c>
      <c r="N404" s="2" t="str">
        <f t="shared" si="101"/>
        <v/>
      </c>
      <c r="P404" s="2" t="str">
        <f t="shared" si="102"/>
        <v/>
      </c>
      <c r="Q404" s="2" t="str">
        <f t="shared" si="103"/>
        <v/>
      </c>
      <c r="R404" s="2" t="str">
        <f t="shared" si="104"/>
        <v/>
      </c>
      <c r="S404" s="2" t="str">
        <f t="shared" si="105"/>
        <v/>
      </c>
      <c r="T404" s="2" t="str">
        <f t="shared" si="106"/>
        <v/>
      </c>
    </row>
    <row r="405" spans="2:20" ht="11.45" customHeight="1" x14ac:dyDescent="0.25">
      <c r="B405" s="86" t="str">
        <f t="shared" si="107"/>
        <v/>
      </c>
      <c r="C405" s="88"/>
      <c r="D405" s="87" t="str">
        <f t="shared" si="108"/>
        <v/>
      </c>
      <c r="E405" s="157" t="str">
        <f t="shared" si="94"/>
        <v/>
      </c>
      <c r="F405" s="156" t="str">
        <f t="shared" si="95"/>
        <v/>
      </c>
      <c r="G405" s="78" t="str">
        <f t="shared" si="96"/>
        <v/>
      </c>
      <c r="H405" s="44" t="str">
        <f t="shared" si="92"/>
        <v/>
      </c>
      <c r="I405" s="44" t="str">
        <f t="shared" si="97"/>
        <v/>
      </c>
      <c r="J405" s="44" t="str">
        <f t="shared" si="98"/>
        <v/>
      </c>
      <c r="K405" s="46" t="str">
        <f t="shared" si="93"/>
        <v/>
      </c>
      <c r="L405" s="46" t="str">
        <f t="shared" si="99"/>
        <v/>
      </c>
      <c r="M405" s="26" t="str">
        <f t="shared" si="100"/>
        <v/>
      </c>
      <c r="N405" s="2" t="str">
        <f t="shared" si="101"/>
        <v/>
      </c>
      <c r="P405" s="2" t="str">
        <f t="shared" si="102"/>
        <v/>
      </c>
      <c r="Q405" s="2" t="str">
        <f t="shared" si="103"/>
        <v/>
      </c>
      <c r="R405" s="2" t="str">
        <f t="shared" si="104"/>
        <v/>
      </c>
      <c r="S405" s="2" t="str">
        <f t="shared" si="105"/>
        <v/>
      </c>
      <c r="T405" s="2" t="str">
        <f t="shared" si="106"/>
        <v/>
      </c>
    </row>
    <row r="406" spans="2:20" ht="11.45" customHeight="1" x14ac:dyDescent="0.25">
      <c r="B406" s="86" t="str">
        <f t="shared" si="107"/>
        <v/>
      </c>
      <c r="C406" s="88"/>
      <c r="D406" s="87" t="str">
        <f t="shared" si="108"/>
        <v/>
      </c>
      <c r="E406" s="157" t="str">
        <f t="shared" si="94"/>
        <v/>
      </c>
      <c r="F406" s="156" t="str">
        <f t="shared" si="95"/>
        <v/>
      </c>
      <c r="G406" s="78" t="str">
        <f t="shared" si="96"/>
        <v/>
      </c>
      <c r="H406" s="44" t="str">
        <f t="shared" si="92"/>
        <v/>
      </c>
      <c r="I406" s="44" t="str">
        <f t="shared" si="97"/>
        <v/>
      </c>
      <c r="J406" s="44" t="str">
        <f t="shared" si="98"/>
        <v/>
      </c>
      <c r="K406" s="46" t="str">
        <f t="shared" si="93"/>
        <v/>
      </c>
      <c r="L406" s="46" t="str">
        <f t="shared" si="99"/>
        <v/>
      </c>
      <c r="M406" s="26" t="str">
        <f t="shared" si="100"/>
        <v/>
      </c>
      <c r="N406" s="2" t="str">
        <f t="shared" si="101"/>
        <v/>
      </c>
      <c r="P406" s="2" t="str">
        <f t="shared" si="102"/>
        <v/>
      </c>
      <c r="Q406" s="2" t="str">
        <f t="shared" si="103"/>
        <v/>
      </c>
      <c r="R406" s="2" t="str">
        <f t="shared" si="104"/>
        <v/>
      </c>
      <c r="S406" s="2" t="str">
        <f t="shared" si="105"/>
        <v/>
      </c>
      <c r="T406" s="2" t="str">
        <f t="shared" si="106"/>
        <v/>
      </c>
    </row>
    <row r="407" spans="2:20" ht="11.45" customHeight="1" x14ac:dyDescent="0.25">
      <c r="B407" s="86" t="str">
        <f t="shared" si="107"/>
        <v/>
      </c>
      <c r="C407" s="88"/>
      <c r="D407" s="87" t="str">
        <f t="shared" si="108"/>
        <v/>
      </c>
      <c r="E407" s="157" t="str">
        <f t="shared" si="94"/>
        <v/>
      </c>
      <c r="F407" s="156" t="str">
        <f t="shared" si="95"/>
        <v/>
      </c>
      <c r="G407" s="78" t="str">
        <f t="shared" si="96"/>
        <v/>
      </c>
      <c r="H407" s="44" t="str">
        <f t="shared" si="92"/>
        <v/>
      </c>
      <c r="I407" s="44" t="str">
        <f t="shared" si="97"/>
        <v/>
      </c>
      <c r="J407" s="44" t="str">
        <f t="shared" si="98"/>
        <v/>
      </c>
      <c r="K407" s="46" t="str">
        <f t="shared" si="93"/>
        <v/>
      </c>
      <c r="L407" s="46" t="str">
        <f t="shared" si="99"/>
        <v/>
      </c>
      <c r="M407" s="26" t="str">
        <f t="shared" si="100"/>
        <v/>
      </c>
      <c r="N407" s="2" t="str">
        <f t="shared" si="101"/>
        <v/>
      </c>
      <c r="P407" s="2" t="str">
        <f t="shared" si="102"/>
        <v/>
      </c>
      <c r="Q407" s="2" t="str">
        <f t="shared" si="103"/>
        <v/>
      </c>
      <c r="R407" s="2" t="str">
        <f t="shared" si="104"/>
        <v/>
      </c>
      <c r="S407" s="2" t="str">
        <f t="shared" si="105"/>
        <v/>
      </c>
      <c r="T407" s="2" t="str">
        <f t="shared" si="106"/>
        <v/>
      </c>
    </row>
    <row r="408" spans="2:20" ht="11.45" customHeight="1" x14ac:dyDescent="0.25">
      <c r="B408" s="86" t="str">
        <f t="shared" si="107"/>
        <v/>
      </c>
      <c r="C408" s="88"/>
      <c r="D408" s="87" t="str">
        <f t="shared" si="108"/>
        <v/>
      </c>
      <c r="E408" s="157" t="str">
        <f t="shared" si="94"/>
        <v/>
      </c>
      <c r="F408" s="156" t="str">
        <f t="shared" si="95"/>
        <v/>
      </c>
      <c r="G408" s="78" t="str">
        <f t="shared" si="96"/>
        <v/>
      </c>
      <c r="H408" s="44" t="str">
        <f t="shared" ref="H408:H471" si="109">IF(B408="","",IF($C$13=$P$22,P408,IF($C$13=$Q$22,Q408,IF($C$13=$R$22,R408,IF($C$13=$S$22,S408,"")))))</f>
        <v/>
      </c>
      <c r="I408" s="44" t="str">
        <f t="shared" si="97"/>
        <v/>
      </c>
      <c r="J408" s="44" t="str">
        <f t="shared" si="98"/>
        <v/>
      </c>
      <c r="K408" s="46" t="str">
        <f t="shared" ref="K408:K471" si="110">IF(B408="","",$F$9-B408)</f>
        <v/>
      </c>
      <c r="L408" s="46" t="str">
        <f t="shared" si="99"/>
        <v/>
      </c>
      <c r="M408" s="26" t="str">
        <f t="shared" si="100"/>
        <v/>
      </c>
      <c r="N408" s="2" t="str">
        <f t="shared" si="101"/>
        <v/>
      </c>
      <c r="P408" s="2" t="str">
        <f t="shared" si="102"/>
        <v/>
      </c>
      <c r="Q408" s="2" t="str">
        <f t="shared" si="103"/>
        <v/>
      </c>
      <c r="R408" s="2" t="str">
        <f t="shared" si="104"/>
        <v/>
      </c>
      <c r="S408" s="2" t="str">
        <f t="shared" si="105"/>
        <v/>
      </c>
      <c r="T408" s="2" t="str">
        <f t="shared" si="106"/>
        <v/>
      </c>
    </row>
    <row r="409" spans="2:20" ht="11.45" customHeight="1" x14ac:dyDescent="0.25">
      <c r="B409" s="86" t="str">
        <f t="shared" si="107"/>
        <v/>
      </c>
      <c r="C409" s="88"/>
      <c r="D409" s="87" t="str">
        <f t="shared" si="108"/>
        <v/>
      </c>
      <c r="E409" s="157" t="str">
        <f t="shared" ref="E409:E472" si="111">IF(B409="","",J408)</f>
        <v/>
      </c>
      <c r="F409" s="156" t="str">
        <f t="shared" ref="F409:F472" si="112">IF(B409="","",$C$14)</f>
        <v/>
      </c>
      <c r="G409" s="78" t="str">
        <f t="shared" ref="G409:G472" si="113">IF(B409&lt;$F$9,I409-H409,IF(B409=$F$9,J408,""))</f>
        <v/>
      </c>
      <c r="H409" s="44" t="str">
        <f t="shared" si="109"/>
        <v/>
      </c>
      <c r="I409" s="44" t="str">
        <f t="shared" ref="I409:I472" si="114">IF(B409="","",IF(OR(B409&lt;$F$11,B409=$F$11),H409,IF(B409=$F$9,J408+H409,IF($F$12="Monthly",-1*PMT($C$14/12,$F$10,$C$8),IF($F$12="Quarterly",-1*PMT($C$14/4,$F$10,$C$8),IF($F$12="Semi-Annually",-1*PMT($C$14/2,$F$10,$C$8),IF($F$12="Annually",-1*PMT($C$14,$F$10,$C$8))))))))</f>
        <v/>
      </c>
      <c r="J409" s="44" t="str">
        <f t="shared" ref="J409:J472" si="115">IF(B409="","",IF(B409=$F$9,0,J408-G409))</f>
        <v/>
      </c>
      <c r="K409" s="46" t="str">
        <f t="shared" si="110"/>
        <v/>
      </c>
      <c r="L409" s="46" t="str">
        <f t="shared" ref="L409:L472" si="116">IF(B409="","",IF(G409=0,L408,IF(G409&gt;0,L408-1,$F$139-B409)))</f>
        <v/>
      </c>
      <c r="M409" s="26" t="str">
        <f t="shared" ref="M409:M472" si="117">IF($F$9="","",IF(OR(B410&gt;$F$9,B410=""),"",DATE(YEAR(C409),MONTH(C409),DAY(C409))-DATE(YEAR(C409)-1,MONTH(C409),DAY(C409))))</f>
        <v/>
      </c>
      <c r="N409" s="2" t="str">
        <f t="shared" ref="N409:N472" si="118">IF($F$9="","",IF(OR(B410&gt;$F$9,B410=""),"",F409/M409))</f>
        <v/>
      </c>
      <c r="P409" s="2" t="str">
        <f t="shared" ref="P409:P472" si="119">IF(B409="","",IF($F$12="Monthly",F408*(D408/360)*J408,IF($F$12="Quarterly",F408*(D408/360)*3*J408,IF($F$12="Semi-Annually",F408*(D408/360)*6*J408,IF($F$12="Annually",F408*(D408/360)*12*J408)))))</f>
        <v/>
      </c>
      <c r="Q409" s="2" t="str">
        <f t="shared" ref="Q409:Q472" si="120">IF(B409="","",IF($F$12="Monthly",F409*(30/360)*J408,IF($F$12="Quarterly",F409*(30/360)*3*J408,IF($F$12="Semi-Annually",F409*(30/360)*6*J408,IF($F$12="Annually",F409*(30/360)*12*J408)))))</f>
        <v/>
      </c>
      <c r="R409" s="2" t="str">
        <f t="shared" ref="R409:R472" si="121">IF(B409="","",IF($F$12="Monthly",F409*(D409/365)*J408,IF($F$12="Quarterly",F409*(D409/365)*J408,IF($F$12="Semi-Annually",F409*(D409/365)*J408,IF($F$12="Annually",F409*(D409/365)*J408)))))</f>
        <v/>
      </c>
      <c r="S409" s="2" t="str">
        <f t="shared" ref="S409:S472" si="122">IF(B404="","",IF($F$12="Monthly",F409*(D409/360)*J408,IF($F$12="Quarterly",F409*(D409/360)*J408,IF($F$12="Semi-Annually",F409*(D409/360)*J408,IF($F$12="Annually",F409*(D409/360)*J408)))))</f>
        <v/>
      </c>
      <c r="T409" s="2" t="str">
        <f t="shared" ref="T409:T472" si="123">IF(B409="","",IF($F$12="Monthly",F409*(D409/M409)*J408,IF($F$12="Quarterly",F409*(D409/M409)*J408,IF($F$12="Semi-Annually",F409*(D409/M409)*J408,IF($F$12="Annually",F409*(D409/M409)*J408)))))</f>
        <v/>
      </c>
    </row>
    <row r="410" spans="2:20" ht="11.45" customHeight="1" x14ac:dyDescent="0.25">
      <c r="B410" s="86" t="str">
        <f t="shared" ref="B410:B473" si="124">IF(OR(B409=$F$9,B409&gt;$F$9),"",B409+1)</f>
        <v/>
      </c>
      <c r="C410" s="88"/>
      <c r="D410" s="87" t="str">
        <f t="shared" ref="D410:D473" si="125">IF(B410="","",C410-C409)</f>
        <v/>
      </c>
      <c r="E410" s="157" t="str">
        <f t="shared" si="111"/>
        <v/>
      </c>
      <c r="F410" s="156" t="str">
        <f t="shared" si="112"/>
        <v/>
      </c>
      <c r="G410" s="78" t="str">
        <f t="shared" si="113"/>
        <v/>
      </c>
      <c r="H410" s="44" t="str">
        <f t="shared" si="109"/>
        <v/>
      </c>
      <c r="I410" s="44" t="str">
        <f t="shared" si="114"/>
        <v/>
      </c>
      <c r="J410" s="44" t="str">
        <f t="shared" si="115"/>
        <v/>
      </c>
      <c r="K410" s="46" t="str">
        <f t="shared" si="110"/>
        <v/>
      </c>
      <c r="L410" s="46" t="str">
        <f t="shared" si="116"/>
        <v/>
      </c>
      <c r="M410" s="26" t="str">
        <f t="shared" si="117"/>
        <v/>
      </c>
      <c r="N410" s="2" t="str">
        <f t="shared" si="118"/>
        <v/>
      </c>
      <c r="P410" s="2" t="str">
        <f t="shared" si="119"/>
        <v/>
      </c>
      <c r="Q410" s="2" t="str">
        <f t="shared" si="120"/>
        <v/>
      </c>
      <c r="R410" s="2" t="str">
        <f t="shared" si="121"/>
        <v/>
      </c>
      <c r="S410" s="2" t="str">
        <f t="shared" si="122"/>
        <v/>
      </c>
      <c r="T410" s="2" t="str">
        <f t="shared" si="123"/>
        <v/>
      </c>
    </row>
    <row r="411" spans="2:20" ht="11.45" customHeight="1" x14ac:dyDescent="0.25">
      <c r="B411" s="86" t="str">
        <f t="shared" si="124"/>
        <v/>
      </c>
      <c r="C411" s="88"/>
      <c r="D411" s="87" t="str">
        <f t="shared" si="125"/>
        <v/>
      </c>
      <c r="E411" s="157" t="str">
        <f t="shared" si="111"/>
        <v/>
      </c>
      <c r="F411" s="156" t="str">
        <f t="shared" si="112"/>
        <v/>
      </c>
      <c r="G411" s="78" t="str">
        <f t="shared" si="113"/>
        <v/>
      </c>
      <c r="H411" s="44" t="str">
        <f t="shared" si="109"/>
        <v/>
      </c>
      <c r="I411" s="44" t="str">
        <f t="shared" si="114"/>
        <v/>
      </c>
      <c r="J411" s="44" t="str">
        <f t="shared" si="115"/>
        <v/>
      </c>
      <c r="K411" s="46" t="str">
        <f t="shared" si="110"/>
        <v/>
      </c>
      <c r="L411" s="46" t="str">
        <f t="shared" si="116"/>
        <v/>
      </c>
      <c r="M411" s="26" t="str">
        <f t="shared" si="117"/>
        <v/>
      </c>
      <c r="N411" s="2" t="str">
        <f t="shared" si="118"/>
        <v/>
      </c>
      <c r="P411" s="2" t="str">
        <f t="shared" si="119"/>
        <v/>
      </c>
      <c r="Q411" s="2" t="str">
        <f t="shared" si="120"/>
        <v/>
      </c>
      <c r="R411" s="2" t="str">
        <f t="shared" si="121"/>
        <v/>
      </c>
      <c r="S411" s="2" t="str">
        <f t="shared" si="122"/>
        <v/>
      </c>
      <c r="T411" s="2" t="str">
        <f t="shared" si="123"/>
        <v/>
      </c>
    </row>
    <row r="412" spans="2:20" ht="11.45" customHeight="1" x14ac:dyDescent="0.25">
      <c r="B412" s="86" t="str">
        <f t="shared" si="124"/>
        <v/>
      </c>
      <c r="C412" s="88"/>
      <c r="D412" s="87" t="str">
        <f t="shared" si="125"/>
        <v/>
      </c>
      <c r="E412" s="157" t="str">
        <f t="shared" si="111"/>
        <v/>
      </c>
      <c r="F412" s="156" t="str">
        <f t="shared" si="112"/>
        <v/>
      </c>
      <c r="G412" s="78" t="str">
        <f t="shared" si="113"/>
        <v/>
      </c>
      <c r="H412" s="44" t="str">
        <f t="shared" si="109"/>
        <v/>
      </c>
      <c r="I412" s="44" t="str">
        <f t="shared" si="114"/>
        <v/>
      </c>
      <c r="J412" s="44" t="str">
        <f t="shared" si="115"/>
        <v/>
      </c>
      <c r="K412" s="46" t="str">
        <f t="shared" si="110"/>
        <v/>
      </c>
      <c r="L412" s="46" t="str">
        <f t="shared" si="116"/>
        <v/>
      </c>
      <c r="M412" s="26" t="str">
        <f t="shared" si="117"/>
        <v/>
      </c>
      <c r="N412" s="2" t="str">
        <f t="shared" si="118"/>
        <v/>
      </c>
      <c r="P412" s="2" t="str">
        <f t="shared" si="119"/>
        <v/>
      </c>
      <c r="Q412" s="2" t="str">
        <f t="shared" si="120"/>
        <v/>
      </c>
      <c r="R412" s="2" t="str">
        <f t="shared" si="121"/>
        <v/>
      </c>
      <c r="S412" s="2" t="str">
        <f t="shared" si="122"/>
        <v/>
      </c>
      <c r="T412" s="2" t="str">
        <f t="shared" si="123"/>
        <v/>
      </c>
    </row>
    <row r="413" spans="2:20" ht="11.45" customHeight="1" x14ac:dyDescent="0.25">
      <c r="B413" s="86" t="str">
        <f t="shared" si="124"/>
        <v/>
      </c>
      <c r="C413" s="88"/>
      <c r="D413" s="87" t="str">
        <f t="shared" si="125"/>
        <v/>
      </c>
      <c r="E413" s="157" t="str">
        <f t="shared" si="111"/>
        <v/>
      </c>
      <c r="F413" s="156" t="str">
        <f t="shared" si="112"/>
        <v/>
      </c>
      <c r="G413" s="78" t="str">
        <f t="shared" si="113"/>
        <v/>
      </c>
      <c r="H413" s="44" t="str">
        <f t="shared" si="109"/>
        <v/>
      </c>
      <c r="I413" s="44" t="str">
        <f t="shared" si="114"/>
        <v/>
      </c>
      <c r="J413" s="44" t="str">
        <f t="shared" si="115"/>
        <v/>
      </c>
      <c r="K413" s="46" t="str">
        <f t="shared" si="110"/>
        <v/>
      </c>
      <c r="L413" s="46" t="str">
        <f t="shared" si="116"/>
        <v/>
      </c>
      <c r="M413" s="26" t="str">
        <f t="shared" si="117"/>
        <v/>
      </c>
      <c r="N413" s="2" t="str">
        <f t="shared" si="118"/>
        <v/>
      </c>
      <c r="P413" s="2" t="str">
        <f t="shared" si="119"/>
        <v/>
      </c>
      <c r="Q413" s="2" t="str">
        <f t="shared" si="120"/>
        <v/>
      </c>
      <c r="R413" s="2" t="str">
        <f t="shared" si="121"/>
        <v/>
      </c>
      <c r="S413" s="2" t="str">
        <f t="shared" si="122"/>
        <v/>
      </c>
      <c r="T413" s="2" t="str">
        <f t="shared" si="123"/>
        <v/>
      </c>
    </row>
    <row r="414" spans="2:20" ht="11.45" customHeight="1" x14ac:dyDescent="0.25">
      <c r="B414" s="86" t="str">
        <f t="shared" si="124"/>
        <v/>
      </c>
      <c r="C414" s="88"/>
      <c r="D414" s="87" t="str">
        <f t="shared" si="125"/>
        <v/>
      </c>
      <c r="E414" s="157" t="str">
        <f t="shared" si="111"/>
        <v/>
      </c>
      <c r="F414" s="156" t="str">
        <f t="shared" si="112"/>
        <v/>
      </c>
      <c r="G414" s="78" t="str">
        <f t="shared" si="113"/>
        <v/>
      </c>
      <c r="H414" s="44" t="str">
        <f t="shared" si="109"/>
        <v/>
      </c>
      <c r="I414" s="44" t="str">
        <f t="shared" si="114"/>
        <v/>
      </c>
      <c r="J414" s="44" t="str">
        <f t="shared" si="115"/>
        <v/>
      </c>
      <c r="K414" s="46" t="str">
        <f t="shared" si="110"/>
        <v/>
      </c>
      <c r="L414" s="46" t="str">
        <f t="shared" si="116"/>
        <v/>
      </c>
      <c r="M414" s="26" t="str">
        <f t="shared" si="117"/>
        <v/>
      </c>
      <c r="N414" s="2" t="str">
        <f t="shared" si="118"/>
        <v/>
      </c>
      <c r="P414" s="2" t="str">
        <f t="shared" si="119"/>
        <v/>
      </c>
      <c r="Q414" s="2" t="str">
        <f t="shared" si="120"/>
        <v/>
      </c>
      <c r="R414" s="2" t="str">
        <f t="shared" si="121"/>
        <v/>
      </c>
      <c r="S414" s="2" t="str">
        <f t="shared" si="122"/>
        <v/>
      </c>
      <c r="T414" s="2" t="str">
        <f t="shared" si="123"/>
        <v/>
      </c>
    </row>
    <row r="415" spans="2:20" ht="11.45" customHeight="1" x14ac:dyDescent="0.25">
      <c r="B415" s="86" t="str">
        <f t="shared" si="124"/>
        <v/>
      </c>
      <c r="C415" s="88"/>
      <c r="D415" s="87" t="str">
        <f t="shared" si="125"/>
        <v/>
      </c>
      <c r="E415" s="157" t="str">
        <f t="shared" si="111"/>
        <v/>
      </c>
      <c r="F415" s="156" t="str">
        <f t="shared" si="112"/>
        <v/>
      </c>
      <c r="G415" s="78" t="str">
        <f t="shared" si="113"/>
        <v/>
      </c>
      <c r="H415" s="44" t="str">
        <f t="shared" si="109"/>
        <v/>
      </c>
      <c r="I415" s="44" t="str">
        <f t="shared" si="114"/>
        <v/>
      </c>
      <c r="J415" s="44" t="str">
        <f t="shared" si="115"/>
        <v/>
      </c>
      <c r="K415" s="46" t="str">
        <f t="shared" si="110"/>
        <v/>
      </c>
      <c r="L415" s="46" t="str">
        <f t="shared" si="116"/>
        <v/>
      </c>
      <c r="M415" s="26" t="str">
        <f t="shared" si="117"/>
        <v/>
      </c>
      <c r="N415" s="2" t="str">
        <f t="shared" si="118"/>
        <v/>
      </c>
      <c r="P415" s="2" t="str">
        <f t="shared" si="119"/>
        <v/>
      </c>
      <c r="Q415" s="2" t="str">
        <f t="shared" si="120"/>
        <v/>
      </c>
      <c r="R415" s="2" t="str">
        <f t="shared" si="121"/>
        <v/>
      </c>
      <c r="S415" s="2" t="str">
        <f t="shared" si="122"/>
        <v/>
      </c>
      <c r="T415" s="2" t="str">
        <f t="shared" si="123"/>
        <v/>
      </c>
    </row>
    <row r="416" spans="2:20" ht="11.45" customHeight="1" x14ac:dyDescent="0.25">
      <c r="B416" s="86" t="str">
        <f t="shared" si="124"/>
        <v/>
      </c>
      <c r="C416" s="88"/>
      <c r="D416" s="87" t="str">
        <f t="shared" si="125"/>
        <v/>
      </c>
      <c r="E416" s="157" t="str">
        <f t="shared" si="111"/>
        <v/>
      </c>
      <c r="F416" s="156" t="str">
        <f t="shared" si="112"/>
        <v/>
      </c>
      <c r="G416" s="78" t="str">
        <f t="shared" si="113"/>
        <v/>
      </c>
      <c r="H416" s="44" t="str">
        <f t="shared" si="109"/>
        <v/>
      </c>
      <c r="I416" s="44" t="str">
        <f t="shared" si="114"/>
        <v/>
      </c>
      <c r="J416" s="44" t="str">
        <f t="shared" si="115"/>
        <v/>
      </c>
      <c r="K416" s="46" t="str">
        <f t="shared" si="110"/>
        <v/>
      </c>
      <c r="L416" s="46" t="str">
        <f t="shared" si="116"/>
        <v/>
      </c>
      <c r="M416" s="26" t="str">
        <f t="shared" si="117"/>
        <v/>
      </c>
      <c r="N416" s="2" t="str">
        <f t="shared" si="118"/>
        <v/>
      </c>
      <c r="P416" s="2" t="str">
        <f t="shared" si="119"/>
        <v/>
      </c>
      <c r="Q416" s="2" t="str">
        <f t="shared" si="120"/>
        <v/>
      </c>
      <c r="R416" s="2" t="str">
        <f t="shared" si="121"/>
        <v/>
      </c>
      <c r="S416" s="2" t="str">
        <f t="shared" si="122"/>
        <v/>
      </c>
      <c r="T416" s="2" t="str">
        <f t="shared" si="123"/>
        <v/>
      </c>
    </row>
    <row r="417" spans="2:20" ht="11.45" customHeight="1" x14ac:dyDescent="0.25">
      <c r="B417" s="86" t="str">
        <f t="shared" si="124"/>
        <v/>
      </c>
      <c r="C417" s="88"/>
      <c r="D417" s="87" t="str">
        <f t="shared" si="125"/>
        <v/>
      </c>
      <c r="E417" s="157" t="str">
        <f t="shared" si="111"/>
        <v/>
      </c>
      <c r="F417" s="156" t="str">
        <f t="shared" si="112"/>
        <v/>
      </c>
      <c r="G417" s="78" t="str">
        <f t="shared" si="113"/>
        <v/>
      </c>
      <c r="H417" s="44" t="str">
        <f t="shared" si="109"/>
        <v/>
      </c>
      <c r="I417" s="44" t="str">
        <f t="shared" si="114"/>
        <v/>
      </c>
      <c r="J417" s="44" t="str">
        <f t="shared" si="115"/>
        <v/>
      </c>
      <c r="K417" s="46" t="str">
        <f t="shared" si="110"/>
        <v/>
      </c>
      <c r="L417" s="46" t="str">
        <f t="shared" si="116"/>
        <v/>
      </c>
      <c r="M417" s="26" t="str">
        <f t="shared" si="117"/>
        <v/>
      </c>
      <c r="N417" s="2" t="str">
        <f t="shared" si="118"/>
        <v/>
      </c>
      <c r="P417" s="2" t="str">
        <f t="shared" si="119"/>
        <v/>
      </c>
      <c r="Q417" s="2" t="str">
        <f t="shared" si="120"/>
        <v/>
      </c>
      <c r="R417" s="2" t="str">
        <f t="shared" si="121"/>
        <v/>
      </c>
      <c r="S417" s="2" t="str">
        <f t="shared" si="122"/>
        <v/>
      </c>
      <c r="T417" s="2" t="str">
        <f t="shared" si="123"/>
        <v/>
      </c>
    </row>
    <row r="418" spans="2:20" ht="11.45" customHeight="1" x14ac:dyDescent="0.25">
      <c r="B418" s="86" t="str">
        <f t="shared" si="124"/>
        <v/>
      </c>
      <c r="C418" s="88"/>
      <c r="D418" s="87" t="str">
        <f t="shared" si="125"/>
        <v/>
      </c>
      <c r="E418" s="157" t="str">
        <f t="shared" si="111"/>
        <v/>
      </c>
      <c r="F418" s="156" t="str">
        <f t="shared" si="112"/>
        <v/>
      </c>
      <c r="G418" s="78" t="str">
        <f t="shared" si="113"/>
        <v/>
      </c>
      <c r="H418" s="44" t="str">
        <f t="shared" si="109"/>
        <v/>
      </c>
      <c r="I418" s="44" t="str">
        <f t="shared" si="114"/>
        <v/>
      </c>
      <c r="J418" s="44" t="str">
        <f t="shared" si="115"/>
        <v/>
      </c>
      <c r="K418" s="46" t="str">
        <f t="shared" si="110"/>
        <v/>
      </c>
      <c r="L418" s="46" t="str">
        <f t="shared" si="116"/>
        <v/>
      </c>
      <c r="M418" s="26" t="str">
        <f t="shared" si="117"/>
        <v/>
      </c>
      <c r="N418" s="2" t="str">
        <f t="shared" si="118"/>
        <v/>
      </c>
      <c r="P418" s="2" t="str">
        <f t="shared" si="119"/>
        <v/>
      </c>
      <c r="Q418" s="2" t="str">
        <f t="shared" si="120"/>
        <v/>
      </c>
      <c r="R418" s="2" t="str">
        <f t="shared" si="121"/>
        <v/>
      </c>
      <c r="S418" s="2" t="str">
        <f t="shared" si="122"/>
        <v/>
      </c>
      <c r="T418" s="2" t="str">
        <f t="shared" si="123"/>
        <v/>
      </c>
    </row>
    <row r="419" spans="2:20" ht="11.45" customHeight="1" x14ac:dyDescent="0.25">
      <c r="B419" s="86" t="str">
        <f t="shared" si="124"/>
        <v/>
      </c>
      <c r="C419" s="88"/>
      <c r="D419" s="87" t="str">
        <f t="shared" si="125"/>
        <v/>
      </c>
      <c r="E419" s="157" t="str">
        <f t="shared" si="111"/>
        <v/>
      </c>
      <c r="F419" s="156" t="str">
        <f t="shared" si="112"/>
        <v/>
      </c>
      <c r="G419" s="78" t="str">
        <f t="shared" si="113"/>
        <v/>
      </c>
      <c r="H419" s="44" t="str">
        <f t="shared" si="109"/>
        <v/>
      </c>
      <c r="I419" s="44" t="str">
        <f t="shared" si="114"/>
        <v/>
      </c>
      <c r="J419" s="44" t="str">
        <f t="shared" si="115"/>
        <v/>
      </c>
      <c r="K419" s="46" t="str">
        <f t="shared" si="110"/>
        <v/>
      </c>
      <c r="L419" s="46" t="str">
        <f t="shared" si="116"/>
        <v/>
      </c>
      <c r="M419" s="26" t="str">
        <f t="shared" si="117"/>
        <v/>
      </c>
      <c r="N419" s="2" t="str">
        <f t="shared" si="118"/>
        <v/>
      </c>
      <c r="P419" s="2" t="str">
        <f t="shared" si="119"/>
        <v/>
      </c>
      <c r="Q419" s="2" t="str">
        <f t="shared" si="120"/>
        <v/>
      </c>
      <c r="R419" s="2" t="str">
        <f t="shared" si="121"/>
        <v/>
      </c>
      <c r="S419" s="2" t="str">
        <f t="shared" si="122"/>
        <v/>
      </c>
      <c r="T419" s="2" t="str">
        <f t="shared" si="123"/>
        <v/>
      </c>
    </row>
    <row r="420" spans="2:20" ht="11.45" customHeight="1" x14ac:dyDescent="0.25">
      <c r="B420" s="86" t="str">
        <f t="shared" si="124"/>
        <v/>
      </c>
      <c r="C420" s="88"/>
      <c r="D420" s="87" t="str">
        <f t="shared" si="125"/>
        <v/>
      </c>
      <c r="E420" s="157" t="str">
        <f t="shared" si="111"/>
        <v/>
      </c>
      <c r="F420" s="156" t="str">
        <f t="shared" si="112"/>
        <v/>
      </c>
      <c r="G420" s="78" t="str">
        <f t="shared" si="113"/>
        <v/>
      </c>
      <c r="H420" s="44" t="str">
        <f t="shared" si="109"/>
        <v/>
      </c>
      <c r="I420" s="44" t="str">
        <f t="shared" si="114"/>
        <v/>
      </c>
      <c r="J420" s="44" t="str">
        <f t="shared" si="115"/>
        <v/>
      </c>
      <c r="K420" s="46" t="str">
        <f t="shared" si="110"/>
        <v/>
      </c>
      <c r="L420" s="46" t="str">
        <f t="shared" si="116"/>
        <v/>
      </c>
      <c r="M420" s="26" t="str">
        <f t="shared" si="117"/>
        <v/>
      </c>
      <c r="N420" s="2" t="str">
        <f t="shared" si="118"/>
        <v/>
      </c>
      <c r="P420" s="2" t="str">
        <f t="shared" si="119"/>
        <v/>
      </c>
      <c r="Q420" s="2" t="str">
        <f t="shared" si="120"/>
        <v/>
      </c>
      <c r="R420" s="2" t="str">
        <f t="shared" si="121"/>
        <v/>
      </c>
      <c r="S420" s="2" t="str">
        <f t="shared" si="122"/>
        <v/>
      </c>
      <c r="T420" s="2" t="str">
        <f t="shared" si="123"/>
        <v/>
      </c>
    </row>
    <row r="421" spans="2:20" ht="11.45" customHeight="1" x14ac:dyDescent="0.25">
      <c r="B421" s="86" t="str">
        <f t="shared" si="124"/>
        <v/>
      </c>
      <c r="C421" s="88"/>
      <c r="D421" s="87" t="str">
        <f t="shared" si="125"/>
        <v/>
      </c>
      <c r="E421" s="157" t="str">
        <f t="shared" si="111"/>
        <v/>
      </c>
      <c r="F421" s="156" t="str">
        <f t="shared" si="112"/>
        <v/>
      </c>
      <c r="G421" s="78" t="str">
        <f t="shared" si="113"/>
        <v/>
      </c>
      <c r="H421" s="44" t="str">
        <f t="shared" si="109"/>
        <v/>
      </c>
      <c r="I421" s="44" t="str">
        <f t="shared" si="114"/>
        <v/>
      </c>
      <c r="J421" s="44" t="str">
        <f t="shared" si="115"/>
        <v/>
      </c>
      <c r="K421" s="46" t="str">
        <f t="shared" si="110"/>
        <v/>
      </c>
      <c r="L421" s="46" t="str">
        <f t="shared" si="116"/>
        <v/>
      </c>
      <c r="M421" s="26" t="str">
        <f t="shared" si="117"/>
        <v/>
      </c>
      <c r="N421" s="2" t="str">
        <f t="shared" si="118"/>
        <v/>
      </c>
      <c r="P421" s="2" t="str">
        <f t="shared" si="119"/>
        <v/>
      </c>
      <c r="Q421" s="2" t="str">
        <f t="shared" si="120"/>
        <v/>
      </c>
      <c r="R421" s="2" t="str">
        <f t="shared" si="121"/>
        <v/>
      </c>
      <c r="S421" s="2" t="str">
        <f t="shared" si="122"/>
        <v/>
      </c>
      <c r="T421" s="2" t="str">
        <f t="shared" si="123"/>
        <v/>
      </c>
    </row>
    <row r="422" spans="2:20" ht="11.45" customHeight="1" x14ac:dyDescent="0.25">
      <c r="B422" s="86" t="str">
        <f t="shared" si="124"/>
        <v/>
      </c>
      <c r="C422" s="88"/>
      <c r="D422" s="87" t="str">
        <f t="shared" si="125"/>
        <v/>
      </c>
      <c r="E422" s="157" t="str">
        <f t="shared" si="111"/>
        <v/>
      </c>
      <c r="F422" s="156" t="str">
        <f t="shared" si="112"/>
        <v/>
      </c>
      <c r="G422" s="78" t="str">
        <f t="shared" si="113"/>
        <v/>
      </c>
      <c r="H422" s="44" t="str">
        <f t="shared" si="109"/>
        <v/>
      </c>
      <c r="I422" s="44" t="str">
        <f t="shared" si="114"/>
        <v/>
      </c>
      <c r="J422" s="44" t="str">
        <f t="shared" si="115"/>
        <v/>
      </c>
      <c r="K422" s="46" t="str">
        <f t="shared" si="110"/>
        <v/>
      </c>
      <c r="L422" s="46" t="str">
        <f t="shared" si="116"/>
        <v/>
      </c>
      <c r="M422" s="26" t="str">
        <f t="shared" si="117"/>
        <v/>
      </c>
      <c r="N422" s="2" t="str">
        <f t="shared" si="118"/>
        <v/>
      </c>
      <c r="P422" s="2" t="str">
        <f t="shared" si="119"/>
        <v/>
      </c>
      <c r="Q422" s="2" t="str">
        <f t="shared" si="120"/>
        <v/>
      </c>
      <c r="R422" s="2" t="str">
        <f t="shared" si="121"/>
        <v/>
      </c>
      <c r="S422" s="2" t="str">
        <f t="shared" si="122"/>
        <v/>
      </c>
      <c r="T422" s="2" t="str">
        <f t="shared" si="123"/>
        <v/>
      </c>
    </row>
    <row r="423" spans="2:20" ht="11.45" customHeight="1" x14ac:dyDescent="0.25">
      <c r="B423" s="86" t="str">
        <f t="shared" si="124"/>
        <v/>
      </c>
      <c r="C423" s="88"/>
      <c r="D423" s="87" t="str">
        <f t="shared" si="125"/>
        <v/>
      </c>
      <c r="E423" s="157" t="str">
        <f t="shared" si="111"/>
        <v/>
      </c>
      <c r="F423" s="156" t="str">
        <f t="shared" si="112"/>
        <v/>
      </c>
      <c r="G423" s="78" t="str">
        <f t="shared" si="113"/>
        <v/>
      </c>
      <c r="H423" s="44" t="str">
        <f t="shared" si="109"/>
        <v/>
      </c>
      <c r="I423" s="44" t="str">
        <f t="shared" si="114"/>
        <v/>
      </c>
      <c r="J423" s="44" t="str">
        <f t="shared" si="115"/>
        <v/>
      </c>
      <c r="K423" s="46" t="str">
        <f t="shared" si="110"/>
        <v/>
      </c>
      <c r="L423" s="46" t="str">
        <f t="shared" si="116"/>
        <v/>
      </c>
      <c r="M423" s="26" t="str">
        <f t="shared" si="117"/>
        <v/>
      </c>
      <c r="N423" s="2" t="str">
        <f t="shared" si="118"/>
        <v/>
      </c>
      <c r="P423" s="2" t="str">
        <f t="shared" si="119"/>
        <v/>
      </c>
      <c r="Q423" s="2" t="str">
        <f t="shared" si="120"/>
        <v/>
      </c>
      <c r="R423" s="2" t="str">
        <f t="shared" si="121"/>
        <v/>
      </c>
      <c r="S423" s="2" t="str">
        <f t="shared" si="122"/>
        <v/>
      </c>
      <c r="T423" s="2" t="str">
        <f t="shared" si="123"/>
        <v/>
      </c>
    </row>
    <row r="424" spans="2:20" ht="11.45" customHeight="1" x14ac:dyDescent="0.25">
      <c r="B424" s="86" t="str">
        <f t="shared" si="124"/>
        <v/>
      </c>
      <c r="C424" s="88"/>
      <c r="D424" s="87" t="str">
        <f t="shared" si="125"/>
        <v/>
      </c>
      <c r="E424" s="157" t="str">
        <f t="shared" si="111"/>
        <v/>
      </c>
      <c r="F424" s="156" t="str">
        <f t="shared" si="112"/>
        <v/>
      </c>
      <c r="G424" s="78" t="str">
        <f t="shared" si="113"/>
        <v/>
      </c>
      <c r="H424" s="44" t="str">
        <f t="shared" si="109"/>
        <v/>
      </c>
      <c r="I424" s="44" t="str">
        <f t="shared" si="114"/>
        <v/>
      </c>
      <c r="J424" s="44" t="str">
        <f t="shared" si="115"/>
        <v/>
      </c>
      <c r="K424" s="46" t="str">
        <f t="shared" si="110"/>
        <v/>
      </c>
      <c r="L424" s="46" t="str">
        <f t="shared" si="116"/>
        <v/>
      </c>
      <c r="M424" s="26" t="str">
        <f t="shared" si="117"/>
        <v/>
      </c>
      <c r="N424" s="2" t="str">
        <f t="shared" si="118"/>
        <v/>
      </c>
      <c r="P424" s="2" t="str">
        <f t="shared" si="119"/>
        <v/>
      </c>
      <c r="Q424" s="2" t="str">
        <f t="shared" si="120"/>
        <v/>
      </c>
      <c r="R424" s="2" t="str">
        <f t="shared" si="121"/>
        <v/>
      </c>
      <c r="S424" s="2" t="str">
        <f t="shared" si="122"/>
        <v/>
      </c>
      <c r="T424" s="2" t="str">
        <f t="shared" si="123"/>
        <v/>
      </c>
    </row>
    <row r="425" spans="2:20" ht="11.45" customHeight="1" x14ac:dyDescent="0.25">
      <c r="B425" s="86" t="str">
        <f t="shared" si="124"/>
        <v/>
      </c>
      <c r="C425" s="88"/>
      <c r="D425" s="87" t="str">
        <f t="shared" si="125"/>
        <v/>
      </c>
      <c r="E425" s="157" t="str">
        <f t="shared" si="111"/>
        <v/>
      </c>
      <c r="F425" s="156" t="str">
        <f t="shared" si="112"/>
        <v/>
      </c>
      <c r="G425" s="78" t="str">
        <f t="shared" si="113"/>
        <v/>
      </c>
      <c r="H425" s="44" t="str">
        <f t="shared" si="109"/>
        <v/>
      </c>
      <c r="I425" s="44" t="str">
        <f t="shared" si="114"/>
        <v/>
      </c>
      <c r="J425" s="44" t="str">
        <f t="shared" si="115"/>
        <v/>
      </c>
      <c r="K425" s="46" t="str">
        <f t="shared" si="110"/>
        <v/>
      </c>
      <c r="L425" s="46" t="str">
        <f t="shared" si="116"/>
        <v/>
      </c>
      <c r="M425" s="26" t="str">
        <f t="shared" si="117"/>
        <v/>
      </c>
      <c r="N425" s="2" t="str">
        <f t="shared" si="118"/>
        <v/>
      </c>
      <c r="P425" s="2" t="str">
        <f t="shared" si="119"/>
        <v/>
      </c>
      <c r="Q425" s="2" t="str">
        <f t="shared" si="120"/>
        <v/>
      </c>
      <c r="R425" s="2" t="str">
        <f t="shared" si="121"/>
        <v/>
      </c>
      <c r="S425" s="2" t="str">
        <f t="shared" si="122"/>
        <v/>
      </c>
      <c r="T425" s="2" t="str">
        <f t="shared" si="123"/>
        <v/>
      </c>
    </row>
    <row r="426" spans="2:20" ht="11.45" customHeight="1" x14ac:dyDescent="0.25">
      <c r="B426" s="86" t="str">
        <f t="shared" si="124"/>
        <v/>
      </c>
      <c r="C426" s="88"/>
      <c r="D426" s="87" t="str">
        <f t="shared" si="125"/>
        <v/>
      </c>
      <c r="E426" s="157" t="str">
        <f t="shared" si="111"/>
        <v/>
      </c>
      <c r="F426" s="156" t="str">
        <f t="shared" si="112"/>
        <v/>
      </c>
      <c r="G426" s="78" t="str">
        <f t="shared" si="113"/>
        <v/>
      </c>
      <c r="H426" s="44" t="str">
        <f t="shared" si="109"/>
        <v/>
      </c>
      <c r="I426" s="44" t="str">
        <f t="shared" si="114"/>
        <v/>
      </c>
      <c r="J426" s="44" t="str">
        <f t="shared" si="115"/>
        <v/>
      </c>
      <c r="K426" s="46" t="str">
        <f t="shared" si="110"/>
        <v/>
      </c>
      <c r="L426" s="46" t="str">
        <f t="shared" si="116"/>
        <v/>
      </c>
      <c r="M426" s="26" t="str">
        <f t="shared" si="117"/>
        <v/>
      </c>
      <c r="N426" s="2" t="str">
        <f t="shared" si="118"/>
        <v/>
      </c>
      <c r="P426" s="2" t="str">
        <f t="shared" si="119"/>
        <v/>
      </c>
      <c r="Q426" s="2" t="str">
        <f t="shared" si="120"/>
        <v/>
      </c>
      <c r="R426" s="2" t="str">
        <f t="shared" si="121"/>
        <v/>
      </c>
      <c r="S426" s="2" t="str">
        <f t="shared" si="122"/>
        <v/>
      </c>
      <c r="T426" s="2" t="str">
        <f t="shared" si="123"/>
        <v/>
      </c>
    </row>
    <row r="427" spans="2:20" ht="11.45" customHeight="1" x14ac:dyDescent="0.25">
      <c r="B427" s="86" t="str">
        <f t="shared" si="124"/>
        <v/>
      </c>
      <c r="C427" s="88"/>
      <c r="D427" s="87" t="str">
        <f t="shared" si="125"/>
        <v/>
      </c>
      <c r="E427" s="157" t="str">
        <f t="shared" si="111"/>
        <v/>
      </c>
      <c r="F427" s="156" t="str">
        <f t="shared" si="112"/>
        <v/>
      </c>
      <c r="G427" s="78" t="str">
        <f t="shared" si="113"/>
        <v/>
      </c>
      <c r="H427" s="44" t="str">
        <f t="shared" si="109"/>
        <v/>
      </c>
      <c r="I427" s="44" t="str">
        <f t="shared" si="114"/>
        <v/>
      </c>
      <c r="J427" s="44" t="str">
        <f t="shared" si="115"/>
        <v/>
      </c>
      <c r="K427" s="46" t="str">
        <f t="shared" si="110"/>
        <v/>
      </c>
      <c r="L427" s="46" t="str">
        <f t="shared" si="116"/>
        <v/>
      </c>
      <c r="M427" s="26" t="str">
        <f t="shared" si="117"/>
        <v/>
      </c>
      <c r="N427" s="2" t="str">
        <f t="shared" si="118"/>
        <v/>
      </c>
      <c r="P427" s="2" t="str">
        <f t="shared" si="119"/>
        <v/>
      </c>
      <c r="Q427" s="2" t="str">
        <f t="shared" si="120"/>
        <v/>
      </c>
      <c r="R427" s="2" t="str">
        <f t="shared" si="121"/>
        <v/>
      </c>
      <c r="S427" s="2" t="str">
        <f t="shared" si="122"/>
        <v/>
      </c>
      <c r="T427" s="2" t="str">
        <f t="shared" si="123"/>
        <v/>
      </c>
    </row>
    <row r="428" spans="2:20" ht="11.45" customHeight="1" x14ac:dyDescent="0.25">
      <c r="B428" s="86" t="str">
        <f t="shared" si="124"/>
        <v/>
      </c>
      <c r="C428" s="88"/>
      <c r="D428" s="87" t="str">
        <f t="shared" si="125"/>
        <v/>
      </c>
      <c r="E428" s="157" t="str">
        <f t="shared" si="111"/>
        <v/>
      </c>
      <c r="F428" s="156" t="str">
        <f t="shared" si="112"/>
        <v/>
      </c>
      <c r="G428" s="78" t="str">
        <f t="shared" si="113"/>
        <v/>
      </c>
      <c r="H428" s="44" t="str">
        <f t="shared" si="109"/>
        <v/>
      </c>
      <c r="I428" s="44" t="str">
        <f t="shared" si="114"/>
        <v/>
      </c>
      <c r="J428" s="44" t="str">
        <f t="shared" si="115"/>
        <v/>
      </c>
      <c r="K428" s="46" t="str">
        <f t="shared" si="110"/>
        <v/>
      </c>
      <c r="L428" s="46" t="str">
        <f t="shared" si="116"/>
        <v/>
      </c>
      <c r="M428" s="26" t="str">
        <f t="shared" si="117"/>
        <v/>
      </c>
      <c r="N428" s="2" t="str">
        <f t="shared" si="118"/>
        <v/>
      </c>
      <c r="P428" s="2" t="str">
        <f t="shared" si="119"/>
        <v/>
      </c>
      <c r="Q428" s="2" t="str">
        <f t="shared" si="120"/>
        <v/>
      </c>
      <c r="R428" s="2" t="str">
        <f t="shared" si="121"/>
        <v/>
      </c>
      <c r="S428" s="2" t="str">
        <f t="shared" si="122"/>
        <v/>
      </c>
      <c r="T428" s="2" t="str">
        <f t="shared" si="123"/>
        <v/>
      </c>
    </row>
    <row r="429" spans="2:20" ht="11.45" customHeight="1" x14ac:dyDescent="0.25">
      <c r="B429" s="86" t="str">
        <f t="shared" si="124"/>
        <v/>
      </c>
      <c r="C429" s="88"/>
      <c r="D429" s="87" t="str">
        <f t="shared" si="125"/>
        <v/>
      </c>
      <c r="E429" s="157" t="str">
        <f t="shared" si="111"/>
        <v/>
      </c>
      <c r="F429" s="156" t="str">
        <f t="shared" si="112"/>
        <v/>
      </c>
      <c r="G429" s="78" t="str">
        <f t="shared" si="113"/>
        <v/>
      </c>
      <c r="H429" s="44" t="str">
        <f t="shared" si="109"/>
        <v/>
      </c>
      <c r="I429" s="44" t="str">
        <f t="shared" si="114"/>
        <v/>
      </c>
      <c r="J429" s="44" t="str">
        <f t="shared" si="115"/>
        <v/>
      </c>
      <c r="K429" s="46" t="str">
        <f t="shared" si="110"/>
        <v/>
      </c>
      <c r="L429" s="46" t="str">
        <f t="shared" si="116"/>
        <v/>
      </c>
      <c r="M429" s="26" t="str">
        <f t="shared" si="117"/>
        <v/>
      </c>
      <c r="N429" s="2" t="str">
        <f t="shared" si="118"/>
        <v/>
      </c>
      <c r="P429" s="2" t="str">
        <f t="shared" si="119"/>
        <v/>
      </c>
      <c r="Q429" s="2" t="str">
        <f t="shared" si="120"/>
        <v/>
      </c>
      <c r="R429" s="2" t="str">
        <f t="shared" si="121"/>
        <v/>
      </c>
      <c r="S429" s="2" t="str">
        <f t="shared" si="122"/>
        <v/>
      </c>
      <c r="T429" s="2" t="str">
        <f t="shared" si="123"/>
        <v/>
      </c>
    </row>
    <row r="430" spans="2:20" ht="11.45" customHeight="1" x14ac:dyDescent="0.25">
      <c r="B430" s="86" t="str">
        <f t="shared" si="124"/>
        <v/>
      </c>
      <c r="C430" s="88"/>
      <c r="D430" s="87" t="str">
        <f t="shared" si="125"/>
        <v/>
      </c>
      <c r="E430" s="157" t="str">
        <f t="shared" si="111"/>
        <v/>
      </c>
      <c r="F430" s="156" t="str">
        <f t="shared" si="112"/>
        <v/>
      </c>
      <c r="G430" s="78" t="str">
        <f t="shared" si="113"/>
        <v/>
      </c>
      <c r="H430" s="44" t="str">
        <f t="shared" si="109"/>
        <v/>
      </c>
      <c r="I430" s="44" t="str">
        <f t="shared" si="114"/>
        <v/>
      </c>
      <c r="J430" s="44" t="str">
        <f t="shared" si="115"/>
        <v/>
      </c>
      <c r="K430" s="46" t="str">
        <f t="shared" si="110"/>
        <v/>
      </c>
      <c r="L430" s="46" t="str">
        <f t="shared" si="116"/>
        <v/>
      </c>
      <c r="M430" s="26" t="str">
        <f t="shared" si="117"/>
        <v/>
      </c>
      <c r="N430" s="2" t="str">
        <f t="shared" si="118"/>
        <v/>
      </c>
      <c r="P430" s="2" t="str">
        <f t="shared" si="119"/>
        <v/>
      </c>
      <c r="Q430" s="2" t="str">
        <f t="shared" si="120"/>
        <v/>
      </c>
      <c r="R430" s="2" t="str">
        <f t="shared" si="121"/>
        <v/>
      </c>
      <c r="S430" s="2" t="str">
        <f t="shared" si="122"/>
        <v/>
      </c>
      <c r="T430" s="2" t="str">
        <f t="shared" si="123"/>
        <v/>
      </c>
    </row>
    <row r="431" spans="2:20" ht="11.45" customHeight="1" x14ac:dyDescent="0.25">
      <c r="B431" s="86" t="str">
        <f t="shared" si="124"/>
        <v/>
      </c>
      <c r="C431" s="88"/>
      <c r="D431" s="87" t="str">
        <f t="shared" si="125"/>
        <v/>
      </c>
      <c r="E431" s="157" t="str">
        <f t="shared" si="111"/>
        <v/>
      </c>
      <c r="F431" s="156" t="str">
        <f t="shared" si="112"/>
        <v/>
      </c>
      <c r="G431" s="78" t="str">
        <f t="shared" si="113"/>
        <v/>
      </c>
      <c r="H431" s="44" t="str">
        <f t="shared" si="109"/>
        <v/>
      </c>
      <c r="I431" s="44" t="str">
        <f t="shared" si="114"/>
        <v/>
      </c>
      <c r="J431" s="44" t="str">
        <f t="shared" si="115"/>
        <v/>
      </c>
      <c r="K431" s="46" t="str">
        <f t="shared" si="110"/>
        <v/>
      </c>
      <c r="L431" s="46" t="str">
        <f t="shared" si="116"/>
        <v/>
      </c>
      <c r="M431" s="26" t="str">
        <f t="shared" si="117"/>
        <v/>
      </c>
      <c r="N431" s="2" t="str">
        <f t="shared" si="118"/>
        <v/>
      </c>
      <c r="P431" s="2" t="str">
        <f t="shared" si="119"/>
        <v/>
      </c>
      <c r="Q431" s="2" t="str">
        <f t="shared" si="120"/>
        <v/>
      </c>
      <c r="R431" s="2" t="str">
        <f t="shared" si="121"/>
        <v/>
      </c>
      <c r="S431" s="2" t="str">
        <f t="shared" si="122"/>
        <v/>
      </c>
      <c r="T431" s="2" t="str">
        <f t="shared" si="123"/>
        <v/>
      </c>
    </row>
    <row r="432" spans="2:20" ht="11.45" customHeight="1" x14ac:dyDescent="0.25">
      <c r="B432" s="86" t="str">
        <f t="shared" si="124"/>
        <v/>
      </c>
      <c r="C432" s="88"/>
      <c r="D432" s="87" t="str">
        <f t="shared" si="125"/>
        <v/>
      </c>
      <c r="E432" s="157" t="str">
        <f t="shared" si="111"/>
        <v/>
      </c>
      <c r="F432" s="156" t="str">
        <f t="shared" si="112"/>
        <v/>
      </c>
      <c r="G432" s="78" t="str">
        <f t="shared" si="113"/>
        <v/>
      </c>
      <c r="H432" s="44" t="str">
        <f t="shared" si="109"/>
        <v/>
      </c>
      <c r="I432" s="44" t="str">
        <f t="shared" si="114"/>
        <v/>
      </c>
      <c r="J432" s="44" t="str">
        <f t="shared" si="115"/>
        <v/>
      </c>
      <c r="K432" s="46" t="str">
        <f t="shared" si="110"/>
        <v/>
      </c>
      <c r="L432" s="46" t="str">
        <f t="shared" si="116"/>
        <v/>
      </c>
      <c r="M432" s="26" t="str">
        <f t="shared" si="117"/>
        <v/>
      </c>
      <c r="N432" s="2" t="str">
        <f t="shared" si="118"/>
        <v/>
      </c>
      <c r="P432" s="2" t="str">
        <f t="shared" si="119"/>
        <v/>
      </c>
      <c r="Q432" s="2" t="str">
        <f t="shared" si="120"/>
        <v/>
      </c>
      <c r="R432" s="2" t="str">
        <f t="shared" si="121"/>
        <v/>
      </c>
      <c r="S432" s="2" t="str">
        <f t="shared" si="122"/>
        <v/>
      </c>
      <c r="T432" s="2" t="str">
        <f t="shared" si="123"/>
        <v/>
      </c>
    </row>
    <row r="433" spans="2:20" ht="11.45" customHeight="1" x14ac:dyDescent="0.25">
      <c r="B433" s="86" t="str">
        <f t="shared" si="124"/>
        <v/>
      </c>
      <c r="C433" s="88"/>
      <c r="D433" s="87" t="str">
        <f t="shared" si="125"/>
        <v/>
      </c>
      <c r="E433" s="157" t="str">
        <f t="shared" si="111"/>
        <v/>
      </c>
      <c r="F433" s="156" t="str">
        <f t="shared" si="112"/>
        <v/>
      </c>
      <c r="G433" s="78" t="str">
        <f t="shared" si="113"/>
        <v/>
      </c>
      <c r="H433" s="44" t="str">
        <f t="shared" si="109"/>
        <v/>
      </c>
      <c r="I433" s="44" t="str">
        <f t="shared" si="114"/>
        <v/>
      </c>
      <c r="J433" s="44" t="str">
        <f t="shared" si="115"/>
        <v/>
      </c>
      <c r="K433" s="46" t="str">
        <f t="shared" si="110"/>
        <v/>
      </c>
      <c r="L433" s="46" t="str">
        <f t="shared" si="116"/>
        <v/>
      </c>
      <c r="M433" s="26" t="str">
        <f t="shared" si="117"/>
        <v/>
      </c>
      <c r="N433" s="2" t="str">
        <f t="shared" si="118"/>
        <v/>
      </c>
      <c r="P433" s="2" t="str">
        <f t="shared" si="119"/>
        <v/>
      </c>
      <c r="Q433" s="2" t="str">
        <f t="shared" si="120"/>
        <v/>
      </c>
      <c r="R433" s="2" t="str">
        <f t="shared" si="121"/>
        <v/>
      </c>
      <c r="S433" s="2" t="str">
        <f t="shared" si="122"/>
        <v/>
      </c>
      <c r="T433" s="2" t="str">
        <f t="shared" si="123"/>
        <v/>
      </c>
    </row>
    <row r="434" spans="2:20" ht="11.45" customHeight="1" x14ac:dyDescent="0.25">
      <c r="B434" s="86" t="str">
        <f t="shared" si="124"/>
        <v/>
      </c>
      <c r="C434" s="88"/>
      <c r="D434" s="87" t="str">
        <f t="shared" si="125"/>
        <v/>
      </c>
      <c r="E434" s="157" t="str">
        <f t="shared" si="111"/>
        <v/>
      </c>
      <c r="F434" s="156" t="str">
        <f t="shared" si="112"/>
        <v/>
      </c>
      <c r="G434" s="78" t="str">
        <f t="shared" si="113"/>
        <v/>
      </c>
      <c r="H434" s="44" t="str">
        <f t="shared" si="109"/>
        <v/>
      </c>
      <c r="I434" s="44" t="str">
        <f t="shared" si="114"/>
        <v/>
      </c>
      <c r="J434" s="44" t="str">
        <f t="shared" si="115"/>
        <v/>
      </c>
      <c r="K434" s="46" t="str">
        <f t="shared" si="110"/>
        <v/>
      </c>
      <c r="L434" s="46" t="str">
        <f t="shared" si="116"/>
        <v/>
      </c>
      <c r="M434" s="26" t="str">
        <f t="shared" si="117"/>
        <v/>
      </c>
      <c r="N434" s="2" t="str">
        <f t="shared" si="118"/>
        <v/>
      </c>
      <c r="P434" s="2" t="str">
        <f t="shared" si="119"/>
        <v/>
      </c>
      <c r="Q434" s="2" t="str">
        <f t="shared" si="120"/>
        <v/>
      </c>
      <c r="R434" s="2" t="str">
        <f t="shared" si="121"/>
        <v/>
      </c>
      <c r="S434" s="2" t="str">
        <f t="shared" si="122"/>
        <v/>
      </c>
      <c r="T434" s="2" t="str">
        <f t="shared" si="123"/>
        <v/>
      </c>
    </row>
    <row r="435" spans="2:20" ht="11.45" customHeight="1" x14ac:dyDescent="0.25">
      <c r="B435" s="86" t="str">
        <f t="shared" si="124"/>
        <v/>
      </c>
      <c r="C435" s="88"/>
      <c r="D435" s="87" t="str">
        <f t="shared" si="125"/>
        <v/>
      </c>
      <c r="E435" s="157" t="str">
        <f t="shared" si="111"/>
        <v/>
      </c>
      <c r="F435" s="156" t="str">
        <f t="shared" si="112"/>
        <v/>
      </c>
      <c r="G435" s="78" t="str">
        <f t="shared" si="113"/>
        <v/>
      </c>
      <c r="H435" s="44" t="str">
        <f t="shared" si="109"/>
        <v/>
      </c>
      <c r="I435" s="44" t="str">
        <f t="shared" si="114"/>
        <v/>
      </c>
      <c r="J435" s="44" t="str">
        <f t="shared" si="115"/>
        <v/>
      </c>
      <c r="K435" s="46" t="str">
        <f t="shared" si="110"/>
        <v/>
      </c>
      <c r="L435" s="46" t="str">
        <f t="shared" si="116"/>
        <v/>
      </c>
      <c r="M435" s="26" t="str">
        <f t="shared" si="117"/>
        <v/>
      </c>
      <c r="N435" s="2" t="str">
        <f t="shared" si="118"/>
        <v/>
      </c>
      <c r="P435" s="2" t="str">
        <f t="shared" si="119"/>
        <v/>
      </c>
      <c r="Q435" s="2" t="str">
        <f t="shared" si="120"/>
        <v/>
      </c>
      <c r="R435" s="2" t="str">
        <f t="shared" si="121"/>
        <v/>
      </c>
      <c r="S435" s="2" t="str">
        <f t="shared" si="122"/>
        <v/>
      </c>
      <c r="T435" s="2" t="str">
        <f t="shared" si="123"/>
        <v/>
      </c>
    </row>
    <row r="436" spans="2:20" ht="11.45" customHeight="1" x14ac:dyDescent="0.25">
      <c r="B436" s="86" t="str">
        <f t="shared" si="124"/>
        <v/>
      </c>
      <c r="C436" s="88"/>
      <c r="D436" s="87" t="str">
        <f t="shared" si="125"/>
        <v/>
      </c>
      <c r="E436" s="157" t="str">
        <f t="shared" si="111"/>
        <v/>
      </c>
      <c r="F436" s="156" t="str">
        <f t="shared" si="112"/>
        <v/>
      </c>
      <c r="G436" s="78" t="str">
        <f t="shared" si="113"/>
        <v/>
      </c>
      <c r="H436" s="44" t="str">
        <f t="shared" si="109"/>
        <v/>
      </c>
      <c r="I436" s="44" t="str">
        <f t="shared" si="114"/>
        <v/>
      </c>
      <c r="J436" s="44" t="str">
        <f t="shared" si="115"/>
        <v/>
      </c>
      <c r="K436" s="46" t="str">
        <f t="shared" si="110"/>
        <v/>
      </c>
      <c r="L436" s="46" t="str">
        <f t="shared" si="116"/>
        <v/>
      </c>
      <c r="M436" s="26" t="str">
        <f t="shared" si="117"/>
        <v/>
      </c>
      <c r="N436" s="2" t="str">
        <f t="shared" si="118"/>
        <v/>
      </c>
      <c r="P436" s="2" t="str">
        <f t="shared" si="119"/>
        <v/>
      </c>
      <c r="Q436" s="2" t="str">
        <f t="shared" si="120"/>
        <v/>
      </c>
      <c r="R436" s="2" t="str">
        <f t="shared" si="121"/>
        <v/>
      </c>
      <c r="S436" s="2" t="str">
        <f t="shared" si="122"/>
        <v/>
      </c>
      <c r="T436" s="2" t="str">
        <f t="shared" si="123"/>
        <v/>
      </c>
    </row>
    <row r="437" spans="2:20" ht="11.45" customHeight="1" x14ac:dyDescent="0.25">
      <c r="B437" s="86" t="str">
        <f t="shared" si="124"/>
        <v/>
      </c>
      <c r="C437" s="88"/>
      <c r="D437" s="87" t="str">
        <f t="shared" si="125"/>
        <v/>
      </c>
      <c r="E437" s="157" t="str">
        <f t="shared" si="111"/>
        <v/>
      </c>
      <c r="F437" s="156" t="str">
        <f t="shared" si="112"/>
        <v/>
      </c>
      <c r="G437" s="78" t="str">
        <f t="shared" si="113"/>
        <v/>
      </c>
      <c r="H437" s="44" t="str">
        <f t="shared" si="109"/>
        <v/>
      </c>
      <c r="I437" s="44" t="str">
        <f t="shared" si="114"/>
        <v/>
      </c>
      <c r="J437" s="44" t="str">
        <f t="shared" si="115"/>
        <v/>
      </c>
      <c r="K437" s="46" t="str">
        <f t="shared" si="110"/>
        <v/>
      </c>
      <c r="L437" s="46" t="str">
        <f t="shared" si="116"/>
        <v/>
      </c>
      <c r="M437" s="26" t="str">
        <f t="shared" si="117"/>
        <v/>
      </c>
      <c r="N437" s="2" t="str">
        <f t="shared" si="118"/>
        <v/>
      </c>
      <c r="P437" s="2" t="str">
        <f t="shared" si="119"/>
        <v/>
      </c>
      <c r="Q437" s="2" t="str">
        <f t="shared" si="120"/>
        <v/>
      </c>
      <c r="R437" s="2" t="str">
        <f t="shared" si="121"/>
        <v/>
      </c>
      <c r="S437" s="2" t="str">
        <f t="shared" si="122"/>
        <v/>
      </c>
      <c r="T437" s="2" t="str">
        <f t="shared" si="123"/>
        <v/>
      </c>
    </row>
    <row r="438" spans="2:20" ht="11.45" customHeight="1" x14ac:dyDescent="0.25">
      <c r="B438" s="86" t="str">
        <f t="shared" si="124"/>
        <v/>
      </c>
      <c r="C438" s="88"/>
      <c r="D438" s="87" t="str">
        <f t="shared" si="125"/>
        <v/>
      </c>
      <c r="E438" s="157" t="str">
        <f t="shared" si="111"/>
        <v/>
      </c>
      <c r="F438" s="156" t="str">
        <f t="shared" si="112"/>
        <v/>
      </c>
      <c r="G438" s="78" t="str">
        <f t="shared" si="113"/>
        <v/>
      </c>
      <c r="H438" s="44" t="str">
        <f t="shared" si="109"/>
        <v/>
      </c>
      <c r="I438" s="44" t="str">
        <f t="shared" si="114"/>
        <v/>
      </c>
      <c r="J438" s="44" t="str">
        <f t="shared" si="115"/>
        <v/>
      </c>
      <c r="K438" s="46" t="str">
        <f t="shared" si="110"/>
        <v/>
      </c>
      <c r="L438" s="46" t="str">
        <f t="shared" si="116"/>
        <v/>
      </c>
      <c r="M438" s="26" t="str">
        <f t="shared" si="117"/>
        <v/>
      </c>
      <c r="N438" s="2" t="str">
        <f t="shared" si="118"/>
        <v/>
      </c>
      <c r="P438" s="2" t="str">
        <f t="shared" si="119"/>
        <v/>
      </c>
      <c r="Q438" s="2" t="str">
        <f t="shared" si="120"/>
        <v/>
      </c>
      <c r="R438" s="2" t="str">
        <f t="shared" si="121"/>
        <v/>
      </c>
      <c r="S438" s="2" t="str">
        <f t="shared" si="122"/>
        <v/>
      </c>
      <c r="T438" s="2" t="str">
        <f t="shared" si="123"/>
        <v/>
      </c>
    </row>
    <row r="439" spans="2:20" ht="11.45" customHeight="1" x14ac:dyDescent="0.25">
      <c r="B439" s="86" t="str">
        <f t="shared" si="124"/>
        <v/>
      </c>
      <c r="C439" s="88"/>
      <c r="D439" s="87" t="str">
        <f t="shared" si="125"/>
        <v/>
      </c>
      <c r="E439" s="157" t="str">
        <f t="shared" si="111"/>
        <v/>
      </c>
      <c r="F439" s="156" t="str">
        <f t="shared" si="112"/>
        <v/>
      </c>
      <c r="G439" s="78" t="str">
        <f t="shared" si="113"/>
        <v/>
      </c>
      <c r="H439" s="44" t="str">
        <f t="shared" si="109"/>
        <v/>
      </c>
      <c r="I439" s="44" t="str">
        <f t="shared" si="114"/>
        <v/>
      </c>
      <c r="J439" s="44" t="str">
        <f t="shared" si="115"/>
        <v/>
      </c>
      <c r="K439" s="46" t="str">
        <f t="shared" si="110"/>
        <v/>
      </c>
      <c r="L439" s="46" t="str">
        <f t="shared" si="116"/>
        <v/>
      </c>
      <c r="M439" s="26" t="str">
        <f t="shared" si="117"/>
        <v/>
      </c>
      <c r="N439" s="2" t="str">
        <f t="shared" si="118"/>
        <v/>
      </c>
      <c r="P439" s="2" t="str">
        <f t="shared" si="119"/>
        <v/>
      </c>
      <c r="Q439" s="2" t="str">
        <f t="shared" si="120"/>
        <v/>
      </c>
      <c r="R439" s="2" t="str">
        <f t="shared" si="121"/>
        <v/>
      </c>
      <c r="S439" s="2" t="str">
        <f t="shared" si="122"/>
        <v/>
      </c>
      <c r="T439" s="2" t="str">
        <f t="shared" si="123"/>
        <v/>
      </c>
    </row>
    <row r="440" spans="2:20" ht="11.45" customHeight="1" x14ac:dyDescent="0.25">
      <c r="B440" s="86" t="str">
        <f t="shared" si="124"/>
        <v/>
      </c>
      <c r="C440" s="88"/>
      <c r="D440" s="87" t="str">
        <f t="shared" si="125"/>
        <v/>
      </c>
      <c r="E440" s="157" t="str">
        <f t="shared" si="111"/>
        <v/>
      </c>
      <c r="F440" s="156" t="str">
        <f t="shared" si="112"/>
        <v/>
      </c>
      <c r="G440" s="78" t="str">
        <f t="shared" si="113"/>
        <v/>
      </c>
      <c r="H440" s="44" t="str">
        <f t="shared" si="109"/>
        <v/>
      </c>
      <c r="I440" s="44" t="str">
        <f t="shared" si="114"/>
        <v/>
      </c>
      <c r="J440" s="44" t="str">
        <f t="shared" si="115"/>
        <v/>
      </c>
      <c r="K440" s="46" t="str">
        <f t="shared" si="110"/>
        <v/>
      </c>
      <c r="L440" s="46" t="str">
        <f t="shared" si="116"/>
        <v/>
      </c>
      <c r="M440" s="26" t="str">
        <f t="shared" si="117"/>
        <v/>
      </c>
      <c r="N440" s="2" t="str">
        <f t="shared" si="118"/>
        <v/>
      </c>
      <c r="P440" s="2" t="str">
        <f t="shared" si="119"/>
        <v/>
      </c>
      <c r="Q440" s="2" t="str">
        <f t="shared" si="120"/>
        <v/>
      </c>
      <c r="R440" s="2" t="str">
        <f t="shared" si="121"/>
        <v/>
      </c>
      <c r="S440" s="2" t="str">
        <f t="shared" si="122"/>
        <v/>
      </c>
      <c r="T440" s="2" t="str">
        <f t="shared" si="123"/>
        <v/>
      </c>
    </row>
    <row r="441" spans="2:20" ht="11.45" customHeight="1" x14ac:dyDescent="0.25">
      <c r="B441" s="86" t="str">
        <f t="shared" si="124"/>
        <v/>
      </c>
      <c r="C441" s="88"/>
      <c r="D441" s="87" t="str">
        <f t="shared" si="125"/>
        <v/>
      </c>
      <c r="E441" s="157" t="str">
        <f t="shared" si="111"/>
        <v/>
      </c>
      <c r="F441" s="156" t="str">
        <f t="shared" si="112"/>
        <v/>
      </c>
      <c r="G441" s="78" t="str">
        <f t="shared" si="113"/>
        <v/>
      </c>
      <c r="H441" s="44" t="str">
        <f t="shared" si="109"/>
        <v/>
      </c>
      <c r="I441" s="44" t="str">
        <f t="shared" si="114"/>
        <v/>
      </c>
      <c r="J441" s="44" t="str">
        <f t="shared" si="115"/>
        <v/>
      </c>
      <c r="K441" s="46" t="str">
        <f t="shared" si="110"/>
        <v/>
      </c>
      <c r="L441" s="46" t="str">
        <f t="shared" si="116"/>
        <v/>
      </c>
      <c r="M441" s="26" t="str">
        <f t="shared" si="117"/>
        <v/>
      </c>
      <c r="N441" s="2" t="str">
        <f t="shared" si="118"/>
        <v/>
      </c>
      <c r="P441" s="2" t="str">
        <f t="shared" si="119"/>
        <v/>
      </c>
      <c r="Q441" s="2" t="str">
        <f t="shared" si="120"/>
        <v/>
      </c>
      <c r="R441" s="2" t="str">
        <f t="shared" si="121"/>
        <v/>
      </c>
      <c r="S441" s="2" t="str">
        <f t="shared" si="122"/>
        <v/>
      </c>
      <c r="T441" s="2" t="str">
        <f t="shared" si="123"/>
        <v/>
      </c>
    </row>
    <row r="442" spans="2:20" ht="11.45" customHeight="1" x14ac:dyDescent="0.25">
      <c r="B442" s="86" t="str">
        <f t="shared" si="124"/>
        <v/>
      </c>
      <c r="C442" s="88"/>
      <c r="D442" s="87" t="str">
        <f t="shared" si="125"/>
        <v/>
      </c>
      <c r="E442" s="157" t="str">
        <f t="shared" si="111"/>
        <v/>
      </c>
      <c r="F442" s="156" t="str">
        <f t="shared" si="112"/>
        <v/>
      </c>
      <c r="G442" s="78" t="str">
        <f t="shared" si="113"/>
        <v/>
      </c>
      <c r="H442" s="44" t="str">
        <f t="shared" si="109"/>
        <v/>
      </c>
      <c r="I442" s="44" t="str">
        <f t="shared" si="114"/>
        <v/>
      </c>
      <c r="J442" s="44" t="str">
        <f t="shared" si="115"/>
        <v/>
      </c>
      <c r="K442" s="46" t="str">
        <f t="shared" si="110"/>
        <v/>
      </c>
      <c r="L442" s="46" t="str">
        <f t="shared" si="116"/>
        <v/>
      </c>
      <c r="M442" s="26" t="str">
        <f t="shared" si="117"/>
        <v/>
      </c>
      <c r="N442" s="2" t="str">
        <f t="shared" si="118"/>
        <v/>
      </c>
      <c r="P442" s="2" t="str">
        <f t="shared" si="119"/>
        <v/>
      </c>
      <c r="Q442" s="2" t="str">
        <f t="shared" si="120"/>
        <v/>
      </c>
      <c r="R442" s="2" t="str">
        <f t="shared" si="121"/>
        <v/>
      </c>
      <c r="S442" s="2" t="str">
        <f t="shared" si="122"/>
        <v/>
      </c>
      <c r="T442" s="2" t="str">
        <f t="shared" si="123"/>
        <v/>
      </c>
    </row>
    <row r="443" spans="2:20" ht="11.45" customHeight="1" x14ac:dyDescent="0.25">
      <c r="B443" s="86" t="str">
        <f t="shared" si="124"/>
        <v/>
      </c>
      <c r="C443" s="88"/>
      <c r="D443" s="87" t="str">
        <f t="shared" si="125"/>
        <v/>
      </c>
      <c r="E443" s="157" t="str">
        <f t="shared" si="111"/>
        <v/>
      </c>
      <c r="F443" s="156" t="str">
        <f t="shared" si="112"/>
        <v/>
      </c>
      <c r="G443" s="78" t="str">
        <f t="shared" si="113"/>
        <v/>
      </c>
      <c r="H443" s="44" t="str">
        <f t="shared" si="109"/>
        <v/>
      </c>
      <c r="I443" s="44" t="str">
        <f t="shared" si="114"/>
        <v/>
      </c>
      <c r="J443" s="44" t="str">
        <f t="shared" si="115"/>
        <v/>
      </c>
      <c r="K443" s="46" t="str">
        <f t="shared" si="110"/>
        <v/>
      </c>
      <c r="L443" s="46" t="str">
        <f t="shared" si="116"/>
        <v/>
      </c>
      <c r="M443" s="26" t="str">
        <f t="shared" si="117"/>
        <v/>
      </c>
      <c r="N443" s="2" t="str">
        <f t="shared" si="118"/>
        <v/>
      </c>
      <c r="P443" s="2" t="str">
        <f t="shared" si="119"/>
        <v/>
      </c>
      <c r="Q443" s="2" t="str">
        <f t="shared" si="120"/>
        <v/>
      </c>
      <c r="R443" s="2" t="str">
        <f t="shared" si="121"/>
        <v/>
      </c>
      <c r="S443" s="2" t="str">
        <f t="shared" si="122"/>
        <v/>
      </c>
      <c r="T443" s="2" t="str">
        <f t="shared" si="123"/>
        <v/>
      </c>
    </row>
    <row r="444" spans="2:20" ht="11.45" customHeight="1" x14ac:dyDescent="0.25">
      <c r="B444" s="86" t="str">
        <f t="shared" si="124"/>
        <v/>
      </c>
      <c r="C444" s="88"/>
      <c r="D444" s="87" t="str">
        <f t="shared" si="125"/>
        <v/>
      </c>
      <c r="E444" s="157" t="str">
        <f t="shared" si="111"/>
        <v/>
      </c>
      <c r="F444" s="156" t="str">
        <f t="shared" si="112"/>
        <v/>
      </c>
      <c r="G444" s="78" t="str">
        <f t="shared" si="113"/>
        <v/>
      </c>
      <c r="H444" s="44" t="str">
        <f t="shared" si="109"/>
        <v/>
      </c>
      <c r="I444" s="44" t="str">
        <f t="shared" si="114"/>
        <v/>
      </c>
      <c r="J444" s="44" t="str">
        <f t="shared" si="115"/>
        <v/>
      </c>
      <c r="K444" s="46" t="str">
        <f t="shared" si="110"/>
        <v/>
      </c>
      <c r="L444" s="46" t="str">
        <f t="shared" si="116"/>
        <v/>
      </c>
      <c r="M444" s="26" t="str">
        <f t="shared" si="117"/>
        <v/>
      </c>
      <c r="N444" s="2" t="str">
        <f t="shared" si="118"/>
        <v/>
      </c>
      <c r="P444" s="2" t="str">
        <f t="shared" si="119"/>
        <v/>
      </c>
      <c r="Q444" s="2" t="str">
        <f t="shared" si="120"/>
        <v/>
      </c>
      <c r="R444" s="2" t="str">
        <f t="shared" si="121"/>
        <v/>
      </c>
      <c r="S444" s="2" t="str">
        <f t="shared" si="122"/>
        <v/>
      </c>
      <c r="T444" s="2" t="str">
        <f t="shared" si="123"/>
        <v/>
      </c>
    </row>
    <row r="445" spans="2:20" ht="11.45" customHeight="1" x14ac:dyDescent="0.25">
      <c r="B445" s="86" t="str">
        <f t="shared" si="124"/>
        <v/>
      </c>
      <c r="C445" s="88"/>
      <c r="D445" s="87" t="str">
        <f t="shared" si="125"/>
        <v/>
      </c>
      <c r="E445" s="157" t="str">
        <f t="shared" si="111"/>
        <v/>
      </c>
      <c r="F445" s="156" t="str">
        <f t="shared" si="112"/>
        <v/>
      </c>
      <c r="G445" s="78" t="str">
        <f t="shared" si="113"/>
        <v/>
      </c>
      <c r="H445" s="44" t="str">
        <f t="shared" si="109"/>
        <v/>
      </c>
      <c r="I445" s="44" t="str">
        <f t="shared" si="114"/>
        <v/>
      </c>
      <c r="J445" s="44" t="str">
        <f t="shared" si="115"/>
        <v/>
      </c>
      <c r="K445" s="46" t="str">
        <f t="shared" si="110"/>
        <v/>
      </c>
      <c r="L445" s="46" t="str">
        <f t="shared" si="116"/>
        <v/>
      </c>
      <c r="M445" s="26" t="str">
        <f t="shared" si="117"/>
        <v/>
      </c>
      <c r="N445" s="2" t="str">
        <f t="shared" si="118"/>
        <v/>
      </c>
      <c r="P445" s="2" t="str">
        <f t="shared" si="119"/>
        <v/>
      </c>
      <c r="Q445" s="2" t="str">
        <f t="shared" si="120"/>
        <v/>
      </c>
      <c r="R445" s="2" t="str">
        <f t="shared" si="121"/>
        <v/>
      </c>
      <c r="S445" s="2" t="str">
        <f t="shared" si="122"/>
        <v/>
      </c>
      <c r="T445" s="2" t="str">
        <f t="shared" si="123"/>
        <v/>
      </c>
    </row>
    <row r="446" spans="2:20" ht="11.45" customHeight="1" x14ac:dyDescent="0.25">
      <c r="B446" s="86" t="str">
        <f t="shared" si="124"/>
        <v/>
      </c>
      <c r="C446" s="88"/>
      <c r="D446" s="87" t="str">
        <f t="shared" si="125"/>
        <v/>
      </c>
      <c r="E446" s="157" t="str">
        <f t="shared" si="111"/>
        <v/>
      </c>
      <c r="F446" s="156" t="str">
        <f t="shared" si="112"/>
        <v/>
      </c>
      <c r="G446" s="78" t="str">
        <f t="shared" si="113"/>
        <v/>
      </c>
      <c r="H446" s="44" t="str">
        <f t="shared" si="109"/>
        <v/>
      </c>
      <c r="I446" s="44" t="str">
        <f t="shared" si="114"/>
        <v/>
      </c>
      <c r="J446" s="44" t="str">
        <f t="shared" si="115"/>
        <v/>
      </c>
      <c r="K446" s="46" t="str">
        <f t="shared" si="110"/>
        <v/>
      </c>
      <c r="L446" s="46" t="str">
        <f t="shared" si="116"/>
        <v/>
      </c>
      <c r="M446" s="26" t="str">
        <f t="shared" si="117"/>
        <v/>
      </c>
      <c r="N446" s="2" t="str">
        <f t="shared" si="118"/>
        <v/>
      </c>
      <c r="P446" s="2" t="str">
        <f t="shared" si="119"/>
        <v/>
      </c>
      <c r="Q446" s="2" t="str">
        <f t="shared" si="120"/>
        <v/>
      </c>
      <c r="R446" s="2" t="str">
        <f t="shared" si="121"/>
        <v/>
      </c>
      <c r="S446" s="2" t="str">
        <f t="shared" si="122"/>
        <v/>
      </c>
      <c r="T446" s="2" t="str">
        <f t="shared" si="123"/>
        <v/>
      </c>
    </row>
    <row r="447" spans="2:20" ht="11.45" customHeight="1" x14ac:dyDescent="0.25">
      <c r="B447" s="86" t="str">
        <f t="shared" si="124"/>
        <v/>
      </c>
      <c r="C447" s="88"/>
      <c r="D447" s="87" t="str">
        <f t="shared" si="125"/>
        <v/>
      </c>
      <c r="E447" s="157" t="str">
        <f t="shared" si="111"/>
        <v/>
      </c>
      <c r="F447" s="156" t="str">
        <f t="shared" si="112"/>
        <v/>
      </c>
      <c r="G447" s="78" t="str">
        <f t="shared" si="113"/>
        <v/>
      </c>
      <c r="H447" s="44" t="str">
        <f t="shared" si="109"/>
        <v/>
      </c>
      <c r="I447" s="44" t="str">
        <f t="shared" si="114"/>
        <v/>
      </c>
      <c r="J447" s="44" t="str">
        <f t="shared" si="115"/>
        <v/>
      </c>
      <c r="K447" s="46" t="str">
        <f t="shared" si="110"/>
        <v/>
      </c>
      <c r="L447" s="46" t="str">
        <f t="shared" si="116"/>
        <v/>
      </c>
      <c r="M447" s="26" t="str">
        <f t="shared" si="117"/>
        <v/>
      </c>
      <c r="N447" s="2" t="str">
        <f t="shared" si="118"/>
        <v/>
      </c>
      <c r="P447" s="2" t="str">
        <f t="shared" si="119"/>
        <v/>
      </c>
      <c r="Q447" s="2" t="str">
        <f t="shared" si="120"/>
        <v/>
      </c>
      <c r="R447" s="2" t="str">
        <f t="shared" si="121"/>
        <v/>
      </c>
      <c r="S447" s="2" t="str">
        <f t="shared" si="122"/>
        <v/>
      </c>
      <c r="T447" s="2" t="str">
        <f t="shared" si="123"/>
        <v/>
      </c>
    </row>
    <row r="448" spans="2:20" ht="11.45" customHeight="1" x14ac:dyDescent="0.25">
      <c r="B448" s="86" t="str">
        <f t="shared" si="124"/>
        <v/>
      </c>
      <c r="C448" s="88"/>
      <c r="D448" s="87" t="str">
        <f t="shared" si="125"/>
        <v/>
      </c>
      <c r="E448" s="157" t="str">
        <f t="shared" si="111"/>
        <v/>
      </c>
      <c r="F448" s="156" t="str">
        <f t="shared" si="112"/>
        <v/>
      </c>
      <c r="G448" s="78" t="str">
        <f t="shared" si="113"/>
        <v/>
      </c>
      <c r="H448" s="44" t="str">
        <f t="shared" si="109"/>
        <v/>
      </c>
      <c r="I448" s="44" t="str">
        <f t="shared" si="114"/>
        <v/>
      </c>
      <c r="J448" s="44" t="str">
        <f t="shared" si="115"/>
        <v/>
      </c>
      <c r="K448" s="46" t="str">
        <f t="shared" si="110"/>
        <v/>
      </c>
      <c r="L448" s="46" t="str">
        <f t="shared" si="116"/>
        <v/>
      </c>
      <c r="M448" s="26" t="str">
        <f t="shared" si="117"/>
        <v/>
      </c>
      <c r="N448" s="2" t="str">
        <f t="shared" si="118"/>
        <v/>
      </c>
      <c r="P448" s="2" t="str">
        <f t="shared" si="119"/>
        <v/>
      </c>
      <c r="Q448" s="2" t="str">
        <f t="shared" si="120"/>
        <v/>
      </c>
      <c r="R448" s="2" t="str">
        <f t="shared" si="121"/>
        <v/>
      </c>
      <c r="S448" s="2" t="str">
        <f t="shared" si="122"/>
        <v/>
      </c>
      <c r="T448" s="2" t="str">
        <f t="shared" si="123"/>
        <v/>
      </c>
    </row>
    <row r="449" spans="2:20" ht="11.45" customHeight="1" x14ac:dyDescent="0.25">
      <c r="B449" s="86" t="str">
        <f t="shared" si="124"/>
        <v/>
      </c>
      <c r="C449" s="88"/>
      <c r="D449" s="87" t="str">
        <f t="shared" si="125"/>
        <v/>
      </c>
      <c r="E449" s="157" t="str">
        <f t="shared" si="111"/>
        <v/>
      </c>
      <c r="F449" s="156" t="str">
        <f t="shared" si="112"/>
        <v/>
      </c>
      <c r="G449" s="78" t="str">
        <f t="shared" si="113"/>
        <v/>
      </c>
      <c r="H449" s="44" t="str">
        <f t="shared" si="109"/>
        <v/>
      </c>
      <c r="I449" s="44" t="str">
        <f t="shared" si="114"/>
        <v/>
      </c>
      <c r="J449" s="44" t="str">
        <f t="shared" si="115"/>
        <v/>
      </c>
      <c r="K449" s="46" t="str">
        <f t="shared" si="110"/>
        <v/>
      </c>
      <c r="L449" s="46" t="str">
        <f t="shared" si="116"/>
        <v/>
      </c>
      <c r="M449" s="26" t="str">
        <f t="shared" si="117"/>
        <v/>
      </c>
      <c r="N449" s="2" t="str">
        <f t="shared" si="118"/>
        <v/>
      </c>
      <c r="P449" s="2" t="str">
        <f t="shared" si="119"/>
        <v/>
      </c>
      <c r="Q449" s="2" t="str">
        <f t="shared" si="120"/>
        <v/>
      </c>
      <c r="R449" s="2" t="str">
        <f t="shared" si="121"/>
        <v/>
      </c>
      <c r="S449" s="2" t="str">
        <f t="shared" si="122"/>
        <v/>
      </c>
      <c r="T449" s="2" t="str">
        <f t="shared" si="123"/>
        <v/>
      </c>
    </row>
    <row r="450" spans="2:20" ht="11.45" customHeight="1" x14ac:dyDescent="0.25">
      <c r="B450" s="86" t="str">
        <f t="shared" si="124"/>
        <v/>
      </c>
      <c r="C450" s="88"/>
      <c r="D450" s="87" t="str">
        <f t="shared" si="125"/>
        <v/>
      </c>
      <c r="E450" s="157" t="str">
        <f t="shared" si="111"/>
        <v/>
      </c>
      <c r="F450" s="156" t="str">
        <f t="shared" si="112"/>
        <v/>
      </c>
      <c r="G450" s="78" t="str">
        <f t="shared" si="113"/>
        <v/>
      </c>
      <c r="H450" s="44" t="str">
        <f t="shared" si="109"/>
        <v/>
      </c>
      <c r="I450" s="44" t="str">
        <f t="shared" si="114"/>
        <v/>
      </c>
      <c r="J450" s="44" t="str">
        <f t="shared" si="115"/>
        <v/>
      </c>
      <c r="K450" s="46" t="str">
        <f t="shared" si="110"/>
        <v/>
      </c>
      <c r="L450" s="46" t="str">
        <f t="shared" si="116"/>
        <v/>
      </c>
      <c r="M450" s="26" t="str">
        <f t="shared" si="117"/>
        <v/>
      </c>
      <c r="N450" s="2" t="str">
        <f t="shared" si="118"/>
        <v/>
      </c>
      <c r="P450" s="2" t="str">
        <f t="shared" si="119"/>
        <v/>
      </c>
      <c r="Q450" s="2" t="str">
        <f t="shared" si="120"/>
        <v/>
      </c>
      <c r="R450" s="2" t="str">
        <f t="shared" si="121"/>
        <v/>
      </c>
      <c r="S450" s="2" t="str">
        <f t="shared" si="122"/>
        <v/>
      </c>
      <c r="T450" s="2" t="str">
        <f t="shared" si="123"/>
        <v/>
      </c>
    </row>
    <row r="451" spans="2:20" ht="11.45" customHeight="1" x14ac:dyDescent="0.25">
      <c r="B451" s="86" t="str">
        <f t="shared" si="124"/>
        <v/>
      </c>
      <c r="C451" s="88"/>
      <c r="D451" s="87" t="str">
        <f t="shared" si="125"/>
        <v/>
      </c>
      <c r="E451" s="157" t="str">
        <f t="shared" si="111"/>
        <v/>
      </c>
      <c r="F451" s="156" t="str">
        <f t="shared" si="112"/>
        <v/>
      </c>
      <c r="G451" s="78" t="str">
        <f t="shared" si="113"/>
        <v/>
      </c>
      <c r="H451" s="44" t="str">
        <f t="shared" si="109"/>
        <v/>
      </c>
      <c r="I451" s="44" t="str">
        <f t="shared" si="114"/>
        <v/>
      </c>
      <c r="J451" s="44" t="str">
        <f t="shared" si="115"/>
        <v/>
      </c>
      <c r="K451" s="46" t="str">
        <f t="shared" si="110"/>
        <v/>
      </c>
      <c r="L451" s="46" t="str">
        <f t="shared" si="116"/>
        <v/>
      </c>
      <c r="M451" s="26" t="str">
        <f t="shared" si="117"/>
        <v/>
      </c>
      <c r="N451" s="2" t="str">
        <f t="shared" si="118"/>
        <v/>
      </c>
      <c r="P451" s="2" t="str">
        <f t="shared" si="119"/>
        <v/>
      </c>
      <c r="Q451" s="2" t="str">
        <f t="shared" si="120"/>
        <v/>
      </c>
      <c r="R451" s="2" t="str">
        <f t="shared" si="121"/>
        <v/>
      </c>
      <c r="S451" s="2" t="str">
        <f t="shared" si="122"/>
        <v/>
      </c>
      <c r="T451" s="2" t="str">
        <f t="shared" si="123"/>
        <v/>
      </c>
    </row>
    <row r="452" spans="2:20" ht="11.45" customHeight="1" x14ac:dyDescent="0.25">
      <c r="B452" s="86" t="str">
        <f t="shared" si="124"/>
        <v/>
      </c>
      <c r="C452" s="88"/>
      <c r="D452" s="87" t="str">
        <f t="shared" si="125"/>
        <v/>
      </c>
      <c r="E452" s="157" t="str">
        <f t="shared" si="111"/>
        <v/>
      </c>
      <c r="F452" s="156" t="str">
        <f t="shared" si="112"/>
        <v/>
      </c>
      <c r="G452" s="78" t="str">
        <f t="shared" si="113"/>
        <v/>
      </c>
      <c r="H452" s="44" t="str">
        <f t="shared" si="109"/>
        <v/>
      </c>
      <c r="I452" s="44" t="str">
        <f t="shared" si="114"/>
        <v/>
      </c>
      <c r="J452" s="44" t="str">
        <f t="shared" si="115"/>
        <v/>
      </c>
      <c r="K452" s="46" t="str">
        <f t="shared" si="110"/>
        <v/>
      </c>
      <c r="L452" s="46" t="str">
        <f t="shared" si="116"/>
        <v/>
      </c>
      <c r="M452" s="26" t="str">
        <f t="shared" si="117"/>
        <v/>
      </c>
      <c r="N452" s="2" t="str">
        <f t="shared" si="118"/>
        <v/>
      </c>
      <c r="P452" s="2" t="str">
        <f t="shared" si="119"/>
        <v/>
      </c>
      <c r="Q452" s="2" t="str">
        <f t="shared" si="120"/>
        <v/>
      </c>
      <c r="R452" s="2" t="str">
        <f t="shared" si="121"/>
        <v/>
      </c>
      <c r="S452" s="2" t="str">
        <f t="shared" si="122"/>
        <v/>
      </c>
      <c r="T452" s="2" t="str">
        <f t="shared" si="123"/>
        <v/>
      </c>
    </row>
    <row r="453" spans="2:20" ht="11.45" customHeight="1" x14ac:dyDescent="0.25">
      <c r="B453" s="86" t="str">
        <f t="shared" si="124"/>
        <v/>
      </c>
      <c r="C453" s="88"/>
      <c r="D453" s="87" t="str">
        <f t="shared" si="125"/>
        <v/>
      </c>
      <c r="E453" s="157" t="str">
        <f t="shared" si="111"/>
        <v/>
      </c>
      <c r="F453" s="156" t="str">
        <f t="shared" si="112"/>
        <v/>
      </c>
      <c r="G453" s="78" t="str">
        <f t="shared" si="113"/>
        <v/>
      </c>
      <c r="H453" s="44" t="str">
        <f t="shared" si="109"/>
        <v/>
      </c>
      <c r="I453" s="44" t="str">
        <f t="shared" si="114"/>
        <v/>
      </c>
      <c r="J453" s="44" t="str">
        <f t="shared" si="115"/>
        <v/>
      </c>
      <c r="K453" s="46" t="str">
        <f t="shared" si="110"/>
        <v/>
      </c>
      <c r="L453" s="46" t="str">
        <f t="shared" si="116"/>
        <v/>
      </c>
      <c r="M453" s="26" t="str">
        <f t="shared" si="117"/>
        <v/>
      </c>
      <c r="N453" s="2" t="str">
        <f t="shared" si="118"/>
        <v/>
      </c>
      <c r="P453" s="2" t="str">
        <f t="shared" si="119"/>
        <v/>
      </c>
      <c r="Q453" s="2" t="str">
        <f t="shared" si="120"/>
        <v/>
      </c>
      <c r="R453" s="2" t="str">
        <f t="shared" si="121"/>
        <v/>
      </c>
      <c r="S453" s="2" t="str">
        <f t="shared" si="122"/>
        <v/>
      </c>
      <c r="T453" s="2" t="str">
        <f t="shared" si="123"/>
        <v/>
      </c>
    </row>
    <row r="454" spans="2:20" ht="11.45" customHeight="1" x14ac:dyDescent="0.25">
      <c r="B454" s="86" t="str">
        <f t="shared" si="124"/>
        <v/>
      </c>
      <c r="C454" s="88"/>
      <c r="D454" s="87" t="str">
        <f t="shared" si="125"/>
        <v/>
      </c>
      <c r="E454" s="157" t="str">
        <f t="shared" si="111"/>
        <v/>
      </c>
      <c r="F454" s="156" t="str">
        <f t="shared" si="112"/>
        <v/>
      </c>
      <c r="G454" s="78" t="str">
        <f t="shared" si="113"/>
        <v/>
      </c>
      <c r="H454" s="44" t="str">
        <f t="shared" si="109"/>
        <v/>
      </c>
      <c r="I454" s="44" t="str">
        <f t="shared" si="114"/>
        <v/>
      </c>
      <c r="J454" s="44" t="str">
        <f t="shared" si="115"/>
        <v/>
      </c>
      <c r="K454" s="46" t="str">
        <f t="shared" si="110"/>
        <v/>
      </c>
      <c r="L454" s="46" t="str">
        <f t="shared" si="116"/>
        <v/>
      </c>
      <c r="M454" s="26" t="str">
        <f t="shared" si="117"/>
        <v/>
      </c>
      <c r="N454" s="2" t="str">
        <f t="shared" si="118"/>
        <v/>
      </c>
      <c r="P454" s="2" t="str">
        <f t="shared" si="119"/>
        <v/>
      </c>
      <c r="Q454" s="2" t="str">
        <f t="shared" si="120"/>
        <v/>
      </c>
      <c r="R454" s="2" t="str">
        <f t="shared" si="121"/>
        <v/>
      </c>
      <c r="S454" s="2" t="str">
        <f t="shared" si="122"/>
        <v/>
      </c>
      <c r="T454" s="2" t="str">
        <f t="shared" si="123"/>
        <v/>
      </c>
    </row>
    <row r="455" spans="2:20" ht="11.45" customHeight="1" x14ac:dyDescent="0.25">
      <c r="B455" s="86" t="str">
        <f t="shared" si="124"/>
        <v/>
      </c>
      <c r="C455" s="88"/>
      <c r="D455" s="87" t="str">
        <f t="shared" si="125"/>
        <v/>
      </c>
      <c r="E455" s="157" t="str">
        <f t="shared" si="111"/>
        <v/>
      </c>
      <c r="F455" s="156" t="str">
        <f t="shared" si="112"/>
        <v/>
      </c>
      <c r="G455" s="78" t="str">
        <f t="shared" si="113"/>
        <v/>
      </c>
      <c r="H455" s="44" t="str">
        <f t="shared" si="109"/>
        <v/>
      </c>
      <c r="I455" s="44" t="str">
        <f t="shared" si="114"/>
        <v/>
      </c>
      <c r="J455" s="44" t="str">
        <f t="shared" si="115"/>
        <v/>
      </c>
      <c r="K455" s="46" t="str">
        <f t="shared" si="110"/>
        <v/>
      </c>
      <c r="L455" s="46" t="str">
        <f t="shared" si="116"/>
        <v/>
      </c>
      <c r="M455" s="26" t="str">
        <f t="shared" si="117"/>
        <v/>
      </c>
      <c r="N455" s="2" t="str">
        <f t="shared" si="118"/>
        <v/>
      </c>
      <c r="P455" s="2" t="str">
        <f t="shared" si="119"/>
        <v/>
      </c>
      <c r="Q455" s="2" t="str">
        <f t="shared" si="120"/>
        <v/>
      </c>
      <c r="R455" s="2" t="str">
        <f t="shared" si="121"/>
        <v/>
      </c>
      <c r="S455" s="2" t="str">
        <f t="shared" si="122"/>
        <v/>
      </c>
      <c r="T455" s="2" t="str">
        <f t="shared" si="123"/>
        <v/>
      </c>
    </row>
    <row r="456" spans="2:20" ht="11.45" customHeight="1" x14ac:dyDescent="0.25">
      <c r="B456" s="86" t="str">
        <f t="shared" si="124"/>
        <v/>
      </c>
      <c r="C456" s="88"/>
      <c r="D456" s="87" t="str">
        <f t="shared" si="125"/>
        <v/>
      </c>
      <c r="E456" s="157" t="str">
        <f t="shared" si="111"/>
        <v/>
      </c>
      <c r="F456" s="156" t="str">
        <f t="shared" si="112"/>
        <v/>
      </c>
      <c r="G456" s="78" t="str">
        <f t="shared" si="113"/>
        <v/>
      </c>
      <c r="H456" s="44" t="str">
        <f t="shared" si="109"/>
        <v/>
      </c>
      <c r="I456" s="44" t="str">
        <f t="shared" si="114"/>
        <v/>
      </c>
      <c r="J456" s="44" t="str">
        <f t="shared" si="115"/>
        <v/>
      </c>
      <c r="K456" s="46" t="str">
        <f t="shared" si="110"/>
        <v/>
      </c>
      <c r="L456" s="46" t="str">
        <f t="shared" si="116"/>
        <v/>
      </c>
      <c r="M456" s="26" t="str">
        <f t="shared" si="117"/>
        <v/>
      </c>
      <c r="N456" s="2" t="str">
        <f t="shared" si="118"/>
        <v/>
      </c>
      <c r="P456" s="2" t="str">
        <f t="shared" si="119"/>
        <v/>
      </c>
      <c r="Q456" s="2" t="str">
        <f t="shared" si="120"/>
        <v/>
      </c>
      <c r="R456" s="2" t="str">
        <f t="shared" si="121"/>
        <v/>
      </c>
      <c r="S456" s="2" t="str">
        <f t="shared" si="122"/>
        <v/>
      </c>
      <c r="T456" s="2" t="str">
        <f t="shared" si="123"/>
        <v/>
      </c>
    </row>
    <row r="457" spans="2:20" ht="11.45" customHeight="1" x14ac:dyDescent="0.25">
      <c r="B457" s="86" t="str">
        <f t="shared" si="124"/>
        <v/>
      </c>
      <c r="C457" s="88"/>
      <c r="D457" s="87" t="str">
        <f t="shared" si="125"/>
        <v/>
      </c>
      <c r="E457" s="157" t="str">
        <f t="shared" si="111"/>
        <v/>
      </c>
      <c r="F457" s="156" t="str">
        <f t="shared" si="112"/>
        <v/>
      </c>
      <c r="G457" s="78" t="str">
        <f t="shared" si="113"/>
        <v/>
      </c>
      <c r="H457" s="44" t="str">
        <f t="shared" si="109"/>
        <v/>
      </c>
      <c r="I457" s="44" t="str">
        <f t="shared" si="114"/>
        <v/>
      </c>
      <c r="J457" s="44" t="str">
        <f t="shared" si="115"/>
        <v/>
      </c>
      <c r="K457" s="46" t="str">
        <f t="shared" si="110"/>
        <v/>
      </c>
      <c r="L457" s="46" t="str">
        <f t="shared" si="116"/>
        <v/>
      </c>
      <c r="M457" s="26" t="str">
        <f t="shared" si="117"/>
        <v/>
      </c>
      <c r="N457" s="2" t="str">
        <f t="shared" si="118"/>
        <v/>
      </c>
      <c r="P457" s="2" t="str">
        <f t="shared" si="119"/>
        <v/>
      </c>
      <c r="Q457" s="2" t="str">
        <f t="shared" si="120"/>
        <v/>
      </c>
      <c r="R457" s="2" t="str">
        <f t="shared" si="121"/>
        <v/>
      </c>
      <c r="S457" s="2" t="str">
        <f t="shared" si="122"/>
        <v/>
      </c>
      <c r="T457" s="2" t="str">
        <f t="shared" si="123"/>
        <v/>
      </c>
    </row>
    <row r="458" spans="2:20" ht="11.45" customHeight="1" x14ac:dyDescent="0.25">
      <c r="B458" s="86" t="str">
        <f t="shared" si="124"/>
        <v/>
      </c>
      <c r="C458" s="88"/>
      <c r="D458" s="87" t="str">
        <f t="shared" si="125"/>
        <v/>
      </c>
      <c r="E458" s="157" t="str">
        <f t="shared" si="111"/>
        <v/>
      </c>
      <c r="F458" s="156" t="str">
        <f t="shared" si="112"/>
        <v/>
      </c>
      <c r="G458" s="78" t="str">
        <f t="shared" si="113"/>
        <v/>
      </c>
      <c r="H458" s="44" t="str">
        <f t="shared" si="109"/>
        <v/>
      </c>
      <c r="I458" s="44" t="str">
        <f t="shared" si="114"/>
        <v/>
      </c>
      <c r="J458" s="44" t="str">
        <f t="shared" si="115"/>
        <v/>
      </c>
      <c r="K458" s="46" t="str">
        <f t="shared" si="110"/>
        <v/>
      </c>
      <c r="L458" s="46" t="str">
        <f t="shared" si="116"/>
        <v/>
      </c>
      <c r="M458" s="26" t="str">
        <f t="shared" si="117"/>
        <v/>
      </c>
      <c r="N458" s="2" t="str">
        <f t="shared" si="118"/>
        <v/>
      </c>
      <c r="P458" s="2" t="str">
        <f t="shared" si="119"/>
        <v/>
      </c>
      <c r="Q458" s="2" t="str">
        <f t="shared" si="120"/>
        <v/>
      </c>
      <c r="R458" s="2" t="str">
        <f t="shared" si="121"/>
        <v/>
      </c>
      <c r="S458" s="2" t="str">
        <f t="shared" si="122"/>
        <v/>
      </c>
      <c r="T458" s="2" t="str">
        <f t="shared" si="123"/>
        <v/>
      </c>
    </row>
    <row r="459" spans="2:20" ht="11.45" customHeight="1" x14ac:dyDescent="0.25">
      <c r="B459" s="86" t="str">
        <f t="shared" si="124"/>
        <v/>
      </c>
      <c r="C459" s="88"/>
      <c r="D459" s="87" t="str">
        <f t="shared" si="125"/>
        <v/>
      </c>
      <c r="E459" s="157" t="str">
        <f t="shared" si="111"/>
        <v/>
      </c>
      <c r="F459" s="156" t="str">
        <f t="shared" si="112"/>
        <v/>
      </c>
      <c r="G459" s="78" t="str">
        <f t="shared" si="113"/>
        <v/>
      </c>
      <c r="H459" s="44" t="str">
        <f t="shared" si="109"/>
        <v/>
      </c>
      <c r="I459" s="44" t="str">
        <f t="shared" si="114"/>
        <v/>
      </c>
      <c r="J459" s="44" t="str">
        <f t="shared" si="115"/>
        <v/>
      </c>
      <c r="K459" s="46" t="str">
        <f t="shared" si="110"/>
        <v/>
      </c>
      <c r="L459" s="46" t="str">
        <f t="shared" si="116"/>
        <v/>
      </c>
      <c r="M459" s="26" t="str">
        <f t="shared" si="117"/>
        <v/>
      </c>
      <c r="N459" s="2" t="str">
        <f t="shared" si="118"/>
        <v/>
      </c>
      <c r="P459" s="2" t="str">
        <f t="shared" si="119"/>
        <v/>
      </c>
      <c r="Q459" s="2" t="str">
        <f t="shared" si="120"/>
        <v/>
      </c>
      <c r="R459" s="2" t="str">
        <f t="shared" si="121"/>
        <v/>
      </c>
      <c r="S459" s="2" t="str">
        <f t="shared" si="122"/>
        <v/>
      </c>
      <c r="T459" s="2" t="str">
        <f t="shared" si="123"/>
        <v/>
      </c>
    </row>
    <row r="460" spans="2:20" ht="11.45" customHeight="1" x14ac:dyDescent="0.25">
      <c r="B460" s="86" t="str">
        <f t="shared" si="124"/>
        <v/>
      </c>
      <c r="C460" s="88"/>
      <c r="D460" s="87" t="str">
        <f t="shared" si="125"/>
        <v/>
      </c>
      <c r="E460" s="157" t="str">
        <f t="shared" si="111"/>
        <v/>
      </c>
      <c r="F460" s="156" t="str">
        <f t="shared" si="112"/>
        <v/>
      </c>
      <c r="G460" s="78" t="str">
        <f t="shared" si="113"/>
        <v/>
      </c>
      <c r="H460" s="44" t="str">
        <f t="shared" si="109"/>
        <v/>
      </c>
      <c r="I460" s="44" t="str">
        <f t="shared" si="114"/>
        <v/>
      </c>
      <c r="J460" s="44" t="str">
        <f t="shared" si="115"/>
        <v/>
      </c>
      <c r="K460" s="46" t="str">
        <f t="shared" si="110"/>
        <v/>
      </c>
      <c r="L460" s="46" t="str">
        <f t="shared" si="116"/>
        <v/>
      </c>
      <c r="M460" s="26" t="str">
        <f t="shared" si="117"/>
        <v/>
      </c>
      <c r="N460" s="2" t="str">
        <f t="shared" si="118"/>
        <v/>
      </c>
      <c r="P460" s="2" t="str">
        <f t="shared" si="119"/>
        <v/>
      </c>
      <c r="Q460" s="2" t="str">
        <f t="shared" si="120"/>
        <v/>
      </c>
      <c r="R460" s="2" t="str">
        <f t="shared" si="121"/>
        <v/>
      </c>
      <c r="S460" s="2" t="str">
        <f t="shared" si="122"/>
        <v/>
      </c>
      <c r="T460" s="2" t="str">
        <f t="shared" si="123"/>
        <v/>
      </c>
    </row>
    <row r="461" spans="2:20" ht="11.45" customHeight="1" x14ac:dyDescent="0.25">
      <c r="B461" s="86" t="str">
        <f t="shared" si="124"/>
        <v/>
      </c>
      <c r="C461" s="88"/>
      <c r="D461" s="87" t="str">
        <f t="shared" si="125"/>
        <v/>
      </c>
      <c r="E461" s="157" t="str">
        <f t="shared" si="111"/>
        <v/>
      </c>
      <c r="F461" s="156" t="str">
        <f t="shared" si="112"/>
        <v/>
      </c>
      <c r="G461" s="78" t="str">
        <f t="shared" si="113"/>
        <v/>
      </c>
      <c r="H461" s="44" t="str">
        <f t="shared" si="109"/>
        <v/>
      </c>
      <c r="I461" s="44" t="str">
        <f t="shared" si="114"/>
        <v/>
      </c>
      <c r="J461" s="44" t="str">
        <f t="shared" si="115"/>
        <v/>
      </c>
      <c r="K461" s="46" t="str">
        <f t="shared" si="110"/>
        <v/>
      </c>
      <c r="L461" s="46" t="str">
        <f t="shared" si="116"/>
        <v/>
      </c>
      <c r="M461" s="26" t="str">
        <f t="shared" si="117"/>
        <v/>
      </c>
      <c r="N461" s="2" t="str">
        <f t="shared" si="118"/>
        <v/>
      </c>
      <c r="P461" s="2" t="str">
        <f t="shared" si="119"/>
        <v/>
      </c>
      <c r="Q461" s="2" t="str">
        <f t="shared" si="120"/>
        <v/>
      </c>
      <c r="R461" s="2" t="str">
        <f t="shared" si="121"/>
        <v/>
      </c>
      <c r="S461" s="2" t="str">
        <f t="shared" si="122"/>
        <v/>
      </c>
      <c r="T461" s="2" t="str">
        <f t="shared" si="123"/>
        <v/>
      </c>
    </row>
    <row r="462" spans="2:20" ht="11.45" customHeight="1" x14ac:dyDescent="0.25">
      <c r="B462" s="86" t="str">
        <f t="shared" si="124"/>
        <v/>
      </c>
      <c r="C462" s="88"/>
      <c r="D462" s="87" t="str">
        <f t="shared" si="125"/>
        <v/>
      </c>
      <c r="E462" s="157" t="str">
        <f t="shared" si="111"/>
        <v/>
      </c>
      <c r="F462" s="156" t="str">
        <f t="shared" si="112"/>
        <v/>
      </c>
      <c r="G462" s="78" t="str">
        <f t="shared" si="113"/>
        <v/>
      </c>
      <c r="H462" s="44" t="str">
        <f t="shared" si="109"/>
        <v/>
      </c>
      <c r="I462" s="44" t="str">
        <f t="shared" si="114"/>
        <v/>
      </c>
      <c r="J462" s="44" t="str">
        <f t="shared" si="115"/>
        <v/>
      </c>
      <c r="K462" s="46" t="str">
        <f t="shared" si="110"/>
        <v/>
      </c>
      <c r="L462" s="46" t="str">
        <f t="shared" si="116"/>
        <v/>
      </c>
      <c r="M462" s="26" t="str">
        <f t="shared" si="117"/>
        <v/>
      </c>
      <c r="N462" s="2" t="str">
        <f t="shared" si="118"/>
        <v/>
      </c>
      <c r="P462" s="2" t="str">
        <f t="shared" si="119"/>
        <v/>
      </c>
      <c r="Q462" s="2" t="str">
        <f t="shared" si="120"/>
        <v/>
      </c>
      <c r="R462" s="2" t="str">
        <f t="shared" si="121"/>
        <v/>
      </c>
      <c r="S462" s="2" t="str">
        <f t="shared" si="122"/>
        <v/>
      </c>
      <c r="T462" s="2" t="str">
        <f t="shared" si="123"/>
        <v/>
      </c>
    </row>
    <row r="463" spans="2:20" ht="11.45" customHeight="1" x14ac:dyDescent="0.25">
      <c r="B463" s="86" t="str">
        <f t="shared" si="124"/>
        <v/>
      </c>
      <c r="C463" s="88"/>
      <c r="D463" s="87" t="str">
        <f t="shared" si="125"/>
        <v/>
      </c>
      <c r="E463" s="157" t="str">
        <f t="shared" si="111"/>
        <v/>
      </c>
      <c r="F463" s="156" t="str">
        <f t="shared" si="112"/>
        <v/>
      </c>
      <c r="G463" s="78" t="str">
        <f t="shared" si="113"/>
        <v/>
      </c>
      <c r="H463" s="44" t="str">
        <f t="shared" si="109"/>
        <v/>
      </c>
      <c r="I463" s="44" t="str">
        <f t="shared" si="114"/>
        <v/>
      </c>
      <c r="J463" s="44" t="str">
        <f t="shared" si="115"/>
        <v/>
      </c>
      <c r="K463" s="46" t="str">
        <f t="shared" si="110"/>
        <v/>
      </c>
      <c r="L463" s="46" t="str">
        <f t="shared" si="116"/>
        <v/>
      </c>
      <c r="M463" s="26" t="str">
        <f t="shared" si="117"/>
        <v/>
      </c>
      <c r="N463" s="2" t="str">
        <f t="shared" si="118"/>
        <v/>
      </c>
      <c r="P463" s="2" t="str">
        <f t="shared" si="119"/>
        <v/>
      </c>
      <c r="Q463" s="2" t="str">
        <f t="shared" si="120"/>
        <v/>
      </c>
      <c r="R463" s="2" t="str">
        <f t="shared" si="121"/>
        <v/>
      </c>
      <c r="S463" s="2" t="str">
        <f t="shared" si="122"/>
        <v/>
      </c>
      <c r="T463" s="2" t="str">
        <f t="shared" si="123"/>
        <v/>
      </c>
    </row>
    <row r="464" spans="2:20" ht="11.45" customHeight="1" x14ac:dyDescent="0.25">
      <c r="B464" s="86" t="str">
        <f t="shared" si="124"/>
        <v/>
      </c>
      <c r="C464" s="88"/>
      <c r="D464" s="87" t="str">
        <f t="shared" si="125"/>
        <v/>
      </c>
      <c r="E464" s="157" t="str">
        <f t="shared" si="111"/>
        <v/>
      </c>
      <c r="F464" s="156" t="str">
        <f t="shared" si="112"/>
        <v/>
      </c>
      <c r="G464" s="78" t="str">
        <f t="shared" si="113"/>
        <v/>
      </c>
      <c r="H464" s="44" t="str">
        <f t="shared" si="109"/>
        <v/>
      </c>
      <c r="I464" s="44" t="str">
        <f t="shared" si="114"/>
        <v/>
      </c>
      <c r="J464" s="44" t="str">
        <f t="shared" si="115"/>
        <v/>
      </c>
      <c r="K464" s="46" t="str">
        <f t="shared" si="110"/>
        <v/>
      </c>
      <c r="L464" s="46" t="str">
        <f t="shared" si="116"/>
        <v/>
      </c>
      <c r="M464" s="26" t="str">
        <f t="shared" si="117"/>
        <v/>
      </c>
      <c r="N464" s="2" t="str">
        <f t="shared" si="118"/>
        <v/>
      </c>
      <c r="P464" s="2" t="str">
        <f t="shared" si="119"/>
        <v/>
      </c>
      <c r="Q464" s="2" t="str">
        <f t="shared" si="120"/>
        <v/>
      </c>
      <c r="R464" s="2" t="str">
        <f t="shared" si="121"/>
        <v/>
      </c>
      <c r="S464" s="2" t="str">
        <f t="shared" si="122"/>
        <v/>
      </c>
      <c r="T464" s="2" t="str">
        <f t="shared" si="123"/>
        <v/>
      </c>
    </row>
    <row r="465" spans="2:20" ht="11.45" customHeight="1" x14ac:dyDescent="0.25">
      <c r="B465" s="86" t="str">
        <f t="shared" si="124"/>
        <v/>
      </c>
      <c r="C465" s="88"/>
      <c r="D465" s="87" t="str">
        <f t="shared" si="125"/>
        <v/>
      </c>
      <c r="E465" s="157" t="str">
        <f t="shared" si="111"/>
        <v/>
      </c>
      <c r="F465" s="156" t="str">
        <f t="shared" si="112"/>
        <v/>
      </c>
      <c r="G465" s="78" t="str">
        <f t="shared" si="113"/>
        <v/>
      </c>
      <c r="H465" s="44" t="str">
        <f t="shared" si="109"/>
        <v/>
      </c>
      <c r="I465" s="44" t="str">
        <f t="shared" si="114"/>
        <v/>
      </c>
      <c r="J465" s="44" t="str">
        <f t="shared" si="115"/>
        <v/>
      </c>
      <c r="K465" s="46" t="str">
        <f t="shared" si="110"/>
        <v/>
      </c>
      <c r="L465" s="46" t="str">
        <f t="shared" si="116"/>
        <v/>
      </c>
      <c r="M465" s="26" t="str">
        <f t="shared" si="117"/>
        <v/>
      </c>
      <c r="N465" s="2" t="str">
        <f t="shared" si="118"/>
        <v/>
      </c>
      <c r="P465" s="2" t="str">
        <f t="shared" si="119"/>
        <v/>
      </c>
      <c r="Q465" s="2" t="str">
        <f t="shared" si="120"/>
        <v/>
      </c>
      <c r="R465" s="2" t="str">
        <f t="shared" si="121"/>
        <v/>
      </c>
      <c r="S465" s="2" t="str">
        <f t="shared" si="122"/>
        <v/>
      </c>
      <c r="T465" s="2" t="str">
        <f t="shared" si="123"/>
        <v/>
      </c>
    </row>
    <row r="466" spans="2:20" ht="11.45" customHeight="1" x14ac:dyDescent="0.25">
      <c r="B466" s="86" t="str">
        <f t="shared" si="124"/>
        <v/>
      </c>
      <c r="C466" s="88"/>
      <c r="D466" s="87" t="str">
        <f t="shared" si="125"/>
        <v/>
      </c>
      <c r="E466" s="157" t="str">
        <f t="shared" si="111"/>
        <v/>
      </c>
      <c r="F466" s="156" t="str">
        <f t="shared" si="112"/>
        <v/>
      </c>
      <c r="G466" s="78" t="str">
        <f t="shared" si="113"/>
        <v/>
      </c>
      <c r="H466" s="44" t="str">
        <f t="shared" si="109"/>
        <v/>
      </c>
      <c r="I466" s="44" t="str">
        <f t="shared" si="114"/>
        <v/>
      </c>
      <c r="J466" s="44" t="str">
        <f t="shared" si="115"/>
        <v/>
      </c>
      <c r="K466" s="46" t="str">
        <f t="shared" si="110"/>
        <v/>
      </c>
      <c r="L466" s="46" t="str">
        <f t="shared" si="116"/>
        <v/>
      </c>
      <c r="M466" s="26" t="str">
        <f t="shared" si="117"/>
        <v/>
      </c>
      <c r="N466" s="2" t="str">
        <f t="shared" si="118"/>
        <v/>
      </c>
      <c r="P466" s="2" t="str">
        <f t="shared" si="119"/>
        <v/>
      </c>
      <c r="Q466" s="2" t="str">
        <f t="shared" si="120"/>
        <v/>
      </c>
      <c r="R466" s="2" t="str">
        <f t="shared" si="121"/>
        <v/>
      </c>
      <c r="S466" s="2" t="str">
        <f t="shared" si="122"/>
        <v/>
      </c>
      <c r="T466" s="2" t="str">
        <f t="shared" si="123"/>
        <v/>
      </c>
    </row>
    <row r="467" spans="2:20" ht="11.45" customHeight="1" x14ac:dyDescent="0.25">
      <c r="B467" s="86" t="str">
        <f t="shared" si="124"/>
        <v/>
      </c>
      <c r="C467" s="88"/>
      <c r="D467" s="87" t="str">
        <f t="shared" si="125"/>
        <v/>
      </c>
      <c r="E467" s="157" t="str">
        <f t="shared" si="111"/>
        <v/>
      </c>
      <c r="F467" s="156" t="str">
        <f t="shared" si="112"/>
        <v/>
      </c>
      <c r="G467" s="78" t="str">
        <f t="shared" si="113"/>
        <v/>
      </c>
      <c r="H467" s="44" t="str">
        <f t="shared" si="109"/>
        <v/>
      </c>
      <c r="I467" s="44" t="str">
        <f t="shared" si="114"/>
        <v/>
      </c>
      <c r="J467" s="44" t="str">
        <f t="shared" si="115"/>
        <v/>
      </c>
      <c r="K467" s="46" t="str">
        <f t="shared" si="110"/>
        <v/>
      </c>
      <c r="L467" s="46" t="str">
        <f t="shared" si="116"/>
        <v/>
      </c>
      <c r="M467" s="26" t="str">
        <f t="shared" si="117"/>
        <v/>
      </c>
      <c r="N467" s="2" t="str">
        <f t="shared" si="118"/>
        <v/>
      </c>
      <c r="P467" s="2" t="str">
        <f t="shared" si="119"/>
        <v/>
      </c>
      <c r="Q467" s="2" t="str">
        <f t="shared" si="120"/>
        <v/>
      </c>
      <c r="R467" s="2" t="str">
        <f t="shared" si="121"/>
        <v/>
      </c>
      <c r="S467" s="2" t="str">
        <f t="shared" si="122"/>
        <v/>
      </c>
      <c r="T467" s="2" t="str">
        <f t="shared" si="123"/>
        <v/>
      </c>
    </row>
    <row r="468" spans="2:20" ht="11.45" customHeight="1" x14ac:dyDescent="0.25">
      <c r="B468" s="86" t="str">
        <f t="shared" si="124"/>
        <v/>
      </c>
      <c r="C468" s="88"/>
      <c r="D468" s="87" t="str">
        <f t="shared" si="125"/>
        <v/>
      </c>
      <c r="E468" s="157" t="str">
        <f t="shared" si="111"/>
        <v/>
      </c>
      <c r="F468" s="156" t="str">
        <f t="shared" si="112"/>
        <v/>
      </c>
      <c r="G468" s="78" t="str">
        <f t="shared" si="113"/>
        <v/>
      </c>
      <c r="H468" s="44" t="str">
        <f t="shared" si="109"/>
        <v/>
      </c>
      <c r="I468" s="44" t="str">
        <f t="shared" si="114"/>
        <v/>
      </c>
      <c r="J468" s="44" t="str">
        <f t="shared" si="115"/>
        <v/>
      </c>
      <c r="K468" s="46" t="str">
        <f t="shared" si="110"/>
        <v/>
      </c>
      <c r="L468" s="46" t="str">
        <f t="shared" si="116"/>
        <v/>
      </c>
      <c r="M468" s="26" t="str">
        <f t="shared" si="117"/>
        <v/>
      </c>
      <c r="N468" s="2" t="str">
        <f t="shared" si="118"/>
        <v/>
      </c>
      <c r="P468" s="2" t="str">
        <f t="shared" si="119"/>
        <v/>
      </c>
      <c r="Q468" s="2" t="str">
        <f t="shared" si="120"/>
        <v/>
      </c>
      <c r="R468" s="2" t="str">
        <f t="shared" si="121"/>
        <v/>
      </c>
      <c r="S468" s="2" t="str">
        <f t="shared" si="122"/>
        <v/>
      </c>
      <c r="T468" s="2" t="str">
        <f t="shared" si="123"/>
        <v/>
      </c>
    </row>
    <row r="469" spans="2:20" ht="11.45" customHeight="1" x14ac:dyDescent="0.25">
      <c r="B469" s="86" t="str">
        <f t="shared" si="124"/>
        <v/>
      </c>
      <c r="C469" s="88"/>
      <c r="D469" s="87" t="str">
        <f t="shared" si="125"/>
        <v/>
      </c>
      <c r="E469" s="157" t="str">
        <f t="shared" si="111"/>
        <v/>
      </c>
      <c r="F469" s="156" t="str">
        <f t="shared" si="112"/>
        <v/>
      </c>
      <c r="G469" s="78" t="str">
        <f t="shared" si="113"/>
        <v/>
      </c>
      <c r="H469" s="44" t="str">
        <f t="shared" si="109"/>
        <v/>
      </c>
      <c r="I469" s="44" t="str">
        <f t="shared" si="114"/>
        <v/>
      </c>
      <c r="J469" s="44" t="str">
        <f t="shared" si="115"/>
        <v/>
      </c>
      <c r="K469" s="46" t="str">
        <f t="shared" si="110"/>
        <v/>
      </c>
      <c r="L469" s="46" t="str">
        <f t="shared" si="116"/>
        <v/>
      </c>
      <c r="M469" s="26" t="str">
        <f t="shared" si="117"/>
        <v/>
      </c>
      <c r="N469" s="2" t="str">
        <f t="shared" si="118"/>
        <v/>
      </c>
      <c r="P469" s="2" t="str">
        <f t="shared" si="119"/>
        <v/>
      </c>
      <c r="Q469" s="2" t="str">
        <f t="shared" si="120"/>
        <v/>
      </c>
      <c r="R469" s="2" t="str">
        <f t="shared" si="121"/>
        <v/>
      </c>
      <c r="S469" s="2" t="str">
        <f t="shared" si="122"/>
        <v/>
      </c>
      <c r="T469" s="2" t="str">
        <f t="shared" si="123"/>
        <v/>
      </c>
    </row>
    <row r="470" spans="2:20" ht="11.45" customHeight="1" x14ac:dyDescent="0.25">
      <c r="B470" s="86" t="str">
        <f t="shared" si="124"/>
        <v/>
      </c>
      <c r="C470" s="88"/>
      <c r="D470" s="87" t="str">
        <f t="shared" si="125"/>
        <v/>
      </c>
      <c r="E470" s="157" t="str">
        <f t="shared" si="111"/>
        <v/>
      </c>
      <c r="F470" s="156" t="str">
        <f t="shared" si="112"/>
        <v/>
      </c>
      <c r="G470" s="78" t="str">
        <f t="shared" si="113"/>
        <v/>
      </c>
      <c r="H470" s="44" t="str">
        <f t="shared" si="109"/>
        <v/>
      </c>
      <c r="I470" s="44" t="str">
        <f t="shared" si="114"/>
        <v/>
      </c>
      <c r="J470" s="44" t="str">
        <f t="shared" si="115"/>
        <v/>
      </c>
      <c r="K470" s="46" t="str">
        <f t="shared" si="110"/>
        <v/>
      </c>
      <c r="L470" s="46" t="str">
        <f t="shared" si="116"/>
        <v/>
      </c>
      <c r="M470" s="26" t="str">
        <f t="shared" si="117"/>
        <v/>
      </c>
      <c r="N470" s="2" t="str">
        <f t="shared" si="118"/>
        <v/>
      </c>
      <c r="P470" s="2" t="str">
        <f t="shared" si="119"/>
        <v/>
      </c>
      <c r="Q470" s="2" t="str">
        <f t="shared" si="120"/>
        <v/>
      </c>
      <c r="R470" s="2" t="str">
        <f t="shared" si="121"/>
        <v/>
      </c>
      <c r="S470" s="2" t="str">
        <f t="shared" si="122"/>
        <v/>
      </c>
      <c r="T470" s="2" t="str">
        <f t="shared" si="123"/>
        <v/>
      </c>
    </row>
    <row r="471" spans="2:20" ht="11.45" customHeight="1" x14ac:dyDescent="0.25">
      <c r="B471" s="86" t="str">
        <f t="shared" si="124"/>
        <v/>
      </c>
      <c r="C471" s="88"/>
      <c r="D471" s="87" t="str">
        <f t="shared" si="125"/>
        <v/>
      </c>
      <c r="E471" s="157" t="str">
        <f t="shared" si="111"/>
        <v/>
      </c>
      <c r="F471" s="156" t="str">
        <f t="shared" si="112"/>
        <v/>
      </c>
      <c r="G471" s="78" t="str">
        <f t="shared" si="113"/>
        <v/>
      </c>
      <c r="H471" s="44" t="str">
        <f t="shared" si="109"/>
        <v/>
      </c>
      <c r="I471" s="44" t="str">
        <f t="shared" si="114"/>
        <v/>
      </c>
      <c r="J471" s="44" t="str">
        <f t="shared" si="115"/>
        <v/>
      </c>
      <c r="K471" s="46" t="str">
        <f t="shared" si="110"/>
        <v/>
      </c>
      <c r="L471" s="46" t="str">
        <f t="shared" si="116"/>
        <v/>
      </c>
      <c r="M471" s="26" t="str">
        <f t="shared" si="117"/>
        <v/>
      </c>
      <c r="N471" s="2" t="str">
        <f t="shared" si="118"/>
        <v/>
      </c>
      <c r="P471" s="2" t="str">
        <f t="shared" si="119"/>
        <v/>
      </c>
      <c r="Q471" s="2" t="str">
        <f t="shared" si="120"/>
        <v/>
      </c>
      <c r="R471" s="2" t="str">
        <f t="shared" si="121"/>
        <v/>
      </c>
      <c r="S471" s="2" t="str">
        <f t="shared" si="122"/>
        <v/>
      </c>
      <c r="T471" s="2" t="str">
        <f t="shared" si="123"/>
        <v/>
      </c>
    </row>
    <row r="472" spans="2:20" ht="11.45" customHeight="1" x14ac:dyDescent="0.25">
      <c r="B472" s="86" t="str">
        <f t="shared" si="124"/>
        <v/>
      </c>
      <c r="C472" s="88"/>
      <c r="D472" s="87" t="str">
        <f t="shared" si="125"/>
        <v/>
      </c>
      <c r="E472" s="157" t="str">
        <f t="shared" si="111"/>
        <v/>
      </c>
      <c r="F472" s="156" t="str">
        <f t="shared" si="112"/>
        <v/>
      </c>
      <c r="G472" s="78" t="str">
        <f t="shared" si="113"/>
        <v/>
      </c>
      <c r="H472" s="44" t="str">
        <f t="shared" ref="H472:H499" si="126">IF(B472="","",IF($C$13=$P$22,P472,IF($C$13=$Q$22,Q472,IF($C$13=$R$22,R472,IF($C$13=$S$22,S472,"")))))</f>
        <v/>
      </c>
      <c r="I472" s="44" t="str">
        <f t="shared" si="114"/>
        <v/>
      </c>
      <c r="J472" s="44" t="str">
        <f t="shared" si="115"/>
        <v/>
      </c>
      <c r="K472" s="46" t="str">
        <f t="shared" ref="K472:K499" si="127">IF(B472="","",$F$9-B472)</f>
        <v/>
      </c>
      <c r="L472" s="46" t="str">
        <f t="shared" si="116"/>
        <v/>
      </c>
      <c r="M472" s="26" t="str">
        <f t="shared" si="117"/>
        <v/>
      </c>
      <c r="N472" s="2" t="str">
        <f t="shared" si="118"/>
        <v/>
      </c>
      <c r="P472" s="2" t="str">
        <f t="shared" si="119"/>
        <v/>
      </c>
      <c r="Q472" s="2" t="str">
        <f t="shared" si="120"/>
        <v/>
      </c>
      <c r="R472" s="2" t="str">
        <f t="shared" si="121"/>
        <v/>
      </c>
      <c r="S472" s="2" t="str">
        <f t="shared" si="122"/>
        <v/>
      </c>
      <c r="T472" s="2" t="str">
        <f t="shared" si="123"/>
        <v/>
      </c>
    </row>
    <row r="473" spans="2:20" ht="11.45" customHeight="1" x14ac:dyDescent="0.25">
      <c r="B473" s="86" t="str">
        <f t="shared" si="124"/>
        <v/>
      </c>
      <c r="C473" s="88"/>
      <c r="D473" s="87" t="str">
        <f t="shared" si="125"/>
        <v/>
      </c>
      <c r="E473" s="157" t="str">
        <f t="shared" ref="E473:E499" si="128">IF(B473="","",J472)</f>
        <v/>
      </c>
      <c r="F473" s="156" t="str">
        <f t="shared" ref="F473:F499" si="129">IF(B473="","",$C$14)</f>
        <v/>
      </c>
      <c r="G473" s="78" t="str">
        <f t="shared" ref="G473:G499" si="130">IF(B473&lt;$F$9,I473-H473,IF(B473=$F$9,J472,""))</f>
        <v/>
      </c>
      <c r="H473" s="44" t="str">
        <f t="shared" si="126"/>
        <v/>
      </c>
      <c r="I473" s="44" t="str">
        <f t="shared" ref="I473:I499" si="131">IF(B473="","",IF(OR(B473&lt;$F$11,B473=$F$11),H473,IF(B473=$F$9,J472+H473,IF($F$12="Monthly",-1*PMT($C$14/12,$F$10,$C$8),IF($F$12="Quarterly",-1*PMT($C$14/4,$F$10,$C$8),IF($F$12="Semi-Annually",-1*PMT($C$14/2,$F$10,$C$8),IF($F$12="Annually",-1*PMT($C$14,$F$10,$C$8))))))))</f>
        <v/>
      </c>
      <c r="J473" s="44" t="str">
        <f t="shared" ref="J473:J499" si="132">IF(B473="","",IF(B473=$F$9,0,J472-G473))</f>
        <v/>
      </c>
      <c r="K473" s="46" t="str">
        <f t="shared" si="127"/>
        <v/>
      </c>
      <c r="L473" s="46" t="str">
        <f t="shared" ref="L473:L499" si="133">IF(B473="","",IF(G473=0,L472,IF(G473&gt;0,L472-1,$F$139-B473)))</f>
        <v/>
      </c>
      <c r="M473" s="26" t="str">
        <f t="shared" ref="M473:M499" si="134">IF($F$9="","",IF(OR(B474&gt;$F$9,B474=""),"",DATE(YEAR(C473),MONTH(C473),DAY(C473))-DATE(YEAR(C473)-1,MONTH(C473),DAY(C473))))</f>
        <v/>
      </c>
      <c r="N473" s="2" t="str">
        <f t="shared" ref="N473:N499" si="135">IF($F$9="","",IF(OR(B474&gt;$F$9,B474=""),"",F473/M473))</f>
        <v/>
      </c>
      <c r="P473" s="2" t="str">
        <f t="shared" ref="P473:P499" si="136">IF(B473="","",IF($F$12="Monthly",F472*(D472/360)*J472,IF($F$12="Quarterly",F472*(D472/360)*3*J472,IF($F$12="Semi-Annually",F472*(D472/360)*6*J472,IF($F$12="Annually",F472*(D472/360)*12*J472)))))</f>
        <v/>
      </c>
      <c r="Q473" s="2" t="str">
        <f t="shared" ref="Q473:Q499" si="137">IF(B473="","",IF($F$12="Monthly",F473*(30/360)*J472,IF($F$12="Quarterly",F473*(30/360)*3*J472,IF($F$12="Semi-Annually",F473*(30/360)*6*J472,IF($F$12="Annually",F473*(30/360)*12*J472)))))</f>
        <v/>
      </c>
      <c r="R473" s="2" t="str">
        <f t="shared" ref="R473:R499" si="138">IF(B473="","",IF($F$12="Monthly",F473*(D473/365)*J472,IF($F$12="Quarterly",F473*(D473/365)*J472,IF($F$12="Semi-Annually",F473*(D473/365)*J472,IF($F$12="Annually",F473*(D473/365)*J472)))))</f>
        <v/>
      </c>
      <c r="S473" s="2" t="str">
        <f t="shared" ref="S473:S499" si="139">IF(B468="","",IF($F$12="Monthly",F473*(D473/360)*J472,IF($F$12="Quarterly",F473*(D473/360)*J472,IF($F$12="Semi-Annually",F473*(D473/360)*J472,IF($F$12="Annually",F473*(D473/360)*J472)))))</f>
        <v/>
      </c>
      <c r="T473" s="2" t="str">
        <f t="shared" ref="T473:T499" si="140">IF(B473="","",IF($F$12="Monthly",F473*(D473/M473)*J472,IF($F$12="Quarterly",F473*(D473/M473)*J472,IF($F$12="Semi-Annually",F473*(D473/M473)*J472,IF($F$12="Annually",F473*(D473/M473)*J472)))))</f>
        <v/>
      </c>
    </row>
    <row r="474" spans="2:20" ht="11.45" customHeight="1" x14ac:dyDescent="0.25">
      <c r="B474" s="86" t="str">
        <f t="shared" ref="B474:B499" si="141">IF(OR(B473=$F$9,B473&gt;$F$9),"",B473+1)</f>
        <v/>
      </c>
      <c r="C474" s="88"/>
      <c r="D474" s="87" t="str">
        <f>IF(B474="","",C474-C473)</f>
        <v/>
      </c>
      <c r="E474" s="157" t="str">
        <f t="shared" si="128"/>
        <v/>
      </c>
      <c r="F474" s="156" t="str">
        <f t="shared" si="129"/>
        <v/>
      </c>
      <c r="G474" s="78" t="str">
        <f t="shared" si="130"/>
        <v/>
      </c>
      <c r="H474" s="44" t="str">
        <f t="shared" si="126"/>
        <v/>
      </c>
      <c r="I474" s="44" t="str">
        <f t="shared" si="131"/>
        <v/>
      </c>
      <c r="J474" s="44" t="str">
        <f t="shared" si="132"/>
        <v/>
      </c>
      <c r="K474" s="46" t="str">
        <f t="shared" si="127"/>
        <v/>
      </c>
      <c r="L474" s="46" t="str">
        <f t="shared" si="133"/>
        <v/>
      </c>
      <c r="M474" s="26" t="str">
        <f t="shared" si="134"/>
        <v/>
      </c>
      <c r="N474" s="2" t="str">
        <f t="shared" si="135"/>
        <v/>
      </c>
      <c r="P474" s="2" t="str">
        <f t="shared" si="136"/>
        <v/>
      </c>
      <c r="Q474" s="2" t="str">
        <f t="shared" si="137"/>
        <v/>
      </c>
      <c r="R474" s="2" t="str">
        <f t="shared" si="138"/>
        <v/>
      </c>
      <c r="S474" s="2" t="str">
        <f t="shared" si="139"/>
        <v/>
      </c>
      <c r="T474" s="2" t="str">
        <f t="shared" si="140"/>
        <v/>
      </c>
    </row>
    <row r="475" spans="2:20" ht="11.45" customHeight="1" x14ac:dyDescent="0.25">
      <c r="B475" s="86" t="str">
        <f t="shared" si="141"/>
        <v/>
      </c>
      <c r="C475" s="88"/>
      <c r="D475" s="87" t="str">
        <f t="shared" ref="D475:D499" si="142">IF(B475="","",C475-C474)</f>
        <v/>
      </c>
      <c r="E475" s="157" t="str">
        <f t="shared" si="128"/>
        <v/>
      </c>
      <c r="F475" s="156" t="str">
        <f t="shared" si="129"/>
        <v/>
      </c>
      <c r="G475" s="78" t="str">
        <f t="shared" si="130"/>
        <v/>
      </c>
      <c r="H475" s="44" t="str">
        <f t="shared" si="126"/>
        <v/>
      </c>
      <c r="I475" s="44" t="str">
        <f t="shared" si="131"/>
        <v/>
      </c>
      <c r="J475" s="44" t="str">
        <f t="shared" si="132"/>
        <v/>
      </c>
      <c r="K475" s="46" t="str">
        <f t="shared" si="127"/>
        <v/>
      </c>
      <c r="L475" s="46" t="str">
        <f t="shared" si="133"/>
        <v/>
      </c>
      <c r="M475" s="26" t="str">
        <f t="shared" si="134"/>
        <v/>
      </c>
      <c r="N475" s="2" t="str">
        <f t="shared" si="135"/>
        <v/>
      </c>
      <c r="P475" s="2" t="str">
        <f t="shared" si="136"/>
        <v/>
      </c>
      <c r="Q475" s="2" t="str">
        <f t="shared" si="137"/>
        <v/>
      </c>
      <c r="R475" s="2" t="str">
        <f t="shared" si="138"/>
        <v/>
      </c>
      <c r="S475" s="2" t="str">
        <f t="shared" si="139"/>
        <v/>
      </c>
      <c r="T475" s="2" t="str">
        <f t="shared" si="140"/>
        <v/>
      </c>
    </row>
    <row r="476" spans="2:20" ht="11.45" customHeight="1" x14ac:dyDescent="0.25">
      <c r="B476" s="86" t="str">
        <f t="shared" si="141"/>
        <v/>
      </c>
      <c r="C476" s="88"/>
      <c r="D476" s="87" t="str">
        <f t="shared" si="142"/>
        <v/>
      </c>
      <c r="E476" s="157" t="str">
        <f t="shared" si="128"/>
        <v/>
      </c>
      <c r="F476" s="156" t="str">
        <f t="shared" si="129"/>
        <v/>
      </c>
      <c r="G476" s="78" t="str">
        <f t="shared" si="130"/>
        <v/>
      </c>
      <c r="H476" s="44" t="str">
        <f t="shared" si="126"/>
        <v/>
      </c>
      <c r="I476" s="44" t="str">
        <f t="shared" si="131"/>
        <v/>
      </c>
      <c r="J476" s="44" t="str">
        <f t="shared" si="132"/>
        <v/>
      </c>
      <c r="K476" s="46" t="str">
        <f t="shared" si="127"/>
        <v/>
      </c>
      <c r="L476" s="46" t="str">
        <f t="shared" si="133"/>
        <v/>
      </c>
      <c r="M476" s="26" t="str">
        <f t="shared" si="134"/>
        <v/>
      </c>
      <c r="N476" s="2" t="str">
        <f t="shared" si="135"/>
        <v/>
      </c>
      <c r="P476" s="2" t="str">
        <f t="shared" si="136"/>
        <v/>
      </c>
      <c r="Q476" s="2" t="str">
        <f t="shared" si="137"/>
        <v/>
      </c>
      <c r="R476" s="2" t="str">
        <f t="shared" si="138"/>
        <v/>
      </c>
      <c r="S476" s="2" t="str">
        <f t="shared" si="139"/>
        <v/>
      </c>
      <c r="T476" s="2" t="str">
        <f t="shared" si="140"/>
        <v/>
      </c>
    </row>
    <row r="477" spans="2:20" ht="11.45" customHeight="1" x14ac:dyDescent="0.25">
      <c r="B477" s="86" t="str">
        <f t="shared" si="141"/>
        <v/>
      </c>
      <c r="C477" s="88"/>
      <c r="D477" s="87" t="str">
        <f t="shared" si="142"/>
        <v/>
      </c>
      <c r="E477" s="157" t="str">
        <f t="shared" si="128"/>
        <v/>
      </c>
      <c r="F477" s="156" t="str">
        <f t="shared" si="129"/>
        <v/>
      </c>
      <c r="G477" s="78" t="str">
        <f t="shared" si="130"/>
        <v/>
      </c>
      <c r="H477" s="44" t="str">
        <f t="shared" si="126"/>
        <v/>
      </c>
      <c r="I477" s="44" t="str">
        <f t="shared" si="131"/>
        <v/>
      </c>
      <c r="J477" s="44" t="str">
        <f t="shared" si="132"/>
        <v/>
      </c>
      <c r="K477" s="46" t="str">
        <f t="shared" si="127"/>
        <v/>
      </c>
      <c r="L477" s="46" t="str">
        <f t="shared" si="133"/>
        <v/>
      </c>
      <c r="M477" s="26" t="str">
        <f t="shared" si="134"/>
        <v/>
      </c>
      <c r="N477" s="2" t="str">
        <f t="shared" si="135"/>
        <v/>
      </c>
      <c r="P477" s="2" t="str">
        <f t="shared" si="136"/>
        <v/>
      </c>
      <c r="Q477" s="2" t="str">
        <f t="shared" si="137"/>
        <v/>
      </c>
      <c r="R477" s="2" t="str">
        <f t="shared" si="138"/>
        <v/>
      </c>
      <c r="S477" s="2" t="str">
        <f t="shared" si="139"/>
        <v/>
      </c>
      <c r="T477" s="2" t="str">
        <f t="shared" si="140"/>
        <v/>
      </c>
    </row>
    <row r="478" spans="2:20" ht="11.45" customHeight="1" x14ac:dyDescent="0.25">
      <c r="B478" s="86" t="str">
        <f t="shared" si="141"/>
        <v/>
      </c>
      <c r="C478" s="88"/>
      <c r="D478" s="87" t="str">
        <f t="shared" si="142"/>
        <v/>
      </c>
      <c r="E478" s="157" t="str">
        <f t="shared" si="128"/>
        <v/>
      </c>
      <c r="F478" s="156" t="str">
        <f t="shared" si="129"/>
        <v/>
      </c>
      <c r="G478" s="78" t="str">
        <f t="shared" si="130"/>
        <v/>
      </c>
      <c r="H478" s="44" t="str">
        <f t="shared" si="126"/>
        <v/>
      </c>
      <c r="I478" s="44" t="str">
        <f t="shared" si="131"/>
        <v/>
      </c>
      <c r="J478" s="44" t="str">
        <f t="shared" si="132"/>
        <v/>
      </c>
      <c r="K478" s="46" t="str">
        <f t="shared" si="127"/>
        <v/>
      </c>
      <c r="L478" s="46" t="str">
        <f t="shared" si="133"/>
        <v/>
      </c>
      <c r="M478" s="26" t="str">
        <f t="shared" si="134"/>
        <v/>
      </c>
      <c r="N478" s="2" t="str">
        <f t="shared" si="135"/>
        <v/>
      </c>
      <c r="P478" s="2" t="str">
        <f t="shared" si="136"/>
        <v/>
      </c>
      <c r="Q478" s="2" t="str">
        <f t="shared" si="137"/>
        <v/>
      </c>
      <c r="R478" s="2" t="str">
        <f t="shared" si="138"/>
        <v/>
      </c>
      <c r="S478" s="2" t="str">
        <f t="shared" si="139"/>
        <v/>
      </c>
      <c r="T478" s="2" t="str">
        <f t="shared" si="140"/>
        <v/>
      </c>
    </row>
    <row r="479" spans="2:20" ht="11.45" customHeight="1" x14ac:dyDescent="0.25">
      <c r="B479" s="86" t="str">
        <f t="shared" si="141"/>
        <v/>
      </c>
      <c r="C479" s="88"/>
      <c r="D479" s="87" t="str">
        <f t="shared" si="142"/>
        <v/>
      </c>
      <c r="E479" s="157" t="str">
        <f t="shared" si="128"/>
        <v/>
      </c>
      <c r="F479" s="156" t="str">
        <f t="shared" si="129"/>
        <v/>
      </c>
      <c r="G479" s="78" t="str">
        <f t="shared" si="130"/>
        <v/>
      </c>
      <c r="H479" s="44" t="str">
        <f t="shared" si="126"/>
        <v/>
      </c>
      <c r="I479" s="44" t="str">
        <f t="shared" si="131"/>
        <v/>
      </c>
      <c r="J479" s="44" t="str">
        <f t="shared" si="132"/>
        <v/>
      </c>
      <c r="K479" s="46" t="str">
        <f t="shared" si="127"/>
        <v/>
      </c>
      <c r="L479" s="46" t="str">
        <f t="shared" si="133"/>
        <v/>
      </c>
      <c r="M479" s="26" t="str">
        <f t="shared" si="134"/>
        <v/>
      </c>
      <c r="N479" s="2" t="str">
        <f t="shared" si="135"/>
        <v/>
      </c>
      <c r="P479" s="2" t="str">
        <f t="shared" si="136"/>
        <v/>
      </c>
      <c r="Q479" s="2" t="str">
        <f t="shared" si="137"/>
        <v/>
      </c>
      <c r="R479" s="2" t="str">
        <f t="shared" si="138"/>
        <v/>
      </c>
      <c r="S479" s="2" t="str">
        <f t="shared" si="139"/>
        <v/>
      </c>
      <c r="T479" s="2" t="str">
        <f t="shared" si="140"/>
        <v/>
      </c>
    </row>
    <row r="480" spans="2:20" ht="11.45" customHeight="1" x14ac:dyDescent="0.25">
      <c r="B480" s="86" t="str">
        <f t="shared" si="141"/>
        <v/>
      </c>
      <c r="C480" s="88"/>
      <c r="D480" s="87" t="str">
        <f t="shared" si="142"/>
        <v/>
      </c>
      <c r="E480" s="157" t="str">
        <f t="shared" si="128"/>
        <v/>
      </c>
      <c r="F480" s="156" t="str">
        <f t="shared" si="129"/>
        <v/>
      </c>
      <c r="G480" s="78" t="str">
        <f t="shared" si="130"/>
        <v/>
      </c>
      <c r="H480" s="44" t="str">
        <f t="shared" si="126"/>
        <v/>
      </c>
      <c r="I480" s="44" t="str">
        <f t="shared" si="131"/>
        <v/>
      </c>
      <c r="J480" s="44" t="str">
        <f t="shared" si="132"/>
        <v/>
      </c>
      <c r="K480" s="46" t="str">
        <f t="shared" si="127"/>
        <v/>
      </c>
      <c r="L480" s="46" t="str">
        <f t="shared" si="133"/>
        <v/>
      </c>
      <c r="M480" s="26" t="str">
        <f t="shared" si="134"/>
        <v/>
      </c>
      <c r="N480" s="2" t="str">
        <f t="shared" si="135"/>
        <v/>
      </c>
      <c r="P480" s="2" t="str">
        <f t="shared" si="136"/>
        <v/>
      </c>
      <c r="Q480" s="2" t="str">
        <f t="shared" si="137"/>
        <v/>
      </c>
      <c r="R480" s="2" t="str">
        <f t="shared" si="138"/>
        <v/>
      </c>
      <c r="S480" s="2" t="str">
        <f t="shared" si="139"/>
        <v/>
      </c>
      <c r="T480" s="2" t="str">
        <f t="shared" si="140"/>
        <v/>
      </c>
    </row>
    <row r="481" spans="2:20" ht="11.45" customHeight="1" x14ac:dyDescent="0.25">
      <c r="B481" s="86" t="str">
        <f t="shared" si="141"/>
        <v/>
      </c>
      <c r="C481" s="88"/>
      <c r="D481" s="87" t="str">
        <f t="shared" si="142"/>
        <v/>
      </c>
      <c r="E481" s="157" t="str">
        <f t="shared" si="128"/>
        <v/>
      </c>
      <c r="F481" s="156" t="str">
        <f t="shared" si="129"/>
        <v/>
      </c>
      <c r="G481" s="78" t="str">
        <f t="shared" si="130"/>
        <v/>
      </c>
      <c r="H481" s="44" t="str">
        <f t="shared" si="126"/>
        <v/>
      </c>
      <c r="I481" s="44" t="str">
        <f t="shared" si="131"/>
        <v/>
      </c>
      <c r="J481" s="44" t="str">
        <f t="shared" si="132"/>
        <v/>
      </c>
      <c r="K481" s="46" t="str">
        <f t="shared" si="127"/>
        <v/>
      </c>
      <c r="L481" s="46" t="str">
        <f t="shared" si="133"/>
        <v/>
      </c>
      <c r="M481" s="26" t="str">
        <f t="shared" si="134"/>
        <v/>
      </c>
      <c r="N481" s="2" t="str">
        <f t="shared" si="135"/>
        <v/>
      </c>
      <c r="P481" s="2" t="str">
        <f t="shared" si="136"/>
        <v/>
      </c>
      <c r="Q481" s="2" t="str">
        <f t="shared" si="137"/>
        <v/>
      </c>
      <c r="R481" s="2" t="str">
        <f t="shared" si="138"/>
        <v/>
      </c>
      <c r="S481" s="2" t="str">
        <f t="shared" si="139"/>
        <v/>
      </c>
      <c r="T481" s="2" t="str">
        <f t="shared" si="140"/>
        <v/>
      </c>
    </row>
    <row r="482" spans="2:20" ht="11.45" customHeight="1" x14ac:dyDescent="0.25">
      <c r="B482" s="86" t="str">
        <f t="shared" si="141"/>
        <v/>
      </c>
      <c r="C482" s="88"/>
      <c r="D482" s="87" t="str">
        <f t="shared" si="142"/>
        <v/>
      </c>
      <c r="E482" s="157" t="str">
        <f t="shared" si="128"/>
        <v/>
      </c>
      <c r="F482" s="156" t="str">
        <f t="shared" si="129"/>
        <v/>
      </c>
      <c r="G482" s="78" t="str">
        <f t="shared" si="130"/>
        <v/>
      </c>
      <c r="H482" s="44" t="str">
        <f t="shared" si="126"/>
        <v/>
      </c>
      <c r="I482" s="44" t="str">
        <f t="shared" si="131"/>
        <v/>
      </c>
      <c r="J482" s="44" t="str">
        <f t="shared" si="132"/>
        <v/>
      </c>
      <c r="K482" s="46" t="str">
        <f t="shared" si="127"/>
        <v/>
      </c>
      <c r="L482" s="46" t="str">
        <f t="shared" si="133"/>
        <v/>
      </c>
      <c r="M482" s="26" t="str">
        <f t="shared" si="134"/>
        <v/>
      </c>
      <c r="N482" s="2" t="str">
        <f t="shared" si="135"/>
        <v/>
      </c>
      <c r="P482" s="2" t="str">
        <f t="shared" si="136"/>
        <v/>
      </c>
      <c r="Q482" s="2" t="str">
        <f t="shared" si="137"/>
        <v/>
      </c>
      <c r="R482" s="2" t="str">
        <f t="shared" si="138"/>
        <v/>
      </c>
      <c r="S482" s="2" t="str">
        <f t="shared" si="139"/>
        <v/>
      </c>
      <c r="T482" s="2" t="str">
        <f t="shared" si="140"/>
        <v/>
      </c>
    </row>
    <row r="483" spans="2:20" ht="11.45" customHeight="1" x14ac:dyDescent="0.25">
      <c r="B483" s="86" t="str">
        <f t="shared" si="141"/>
        <v/>
      </c>
      <c r="C483" s="88"/>
      <c r="D483" s="87" t="str">
        <f t="shared" si="142"/>
        <v/>
      </c>
      <c r="E483" s="157" t="str">
        <f t="shared" si="128"/>
        <v/>
      </c>
      <c r="F483" s="156" t="str">
        <f t="shared" si="129"/>
        <v/>
      </c>
      <c r="G483" s="78" t="str">
        <f t="shared" si="130"/>
        <v/>
      </c>
      <c r="H483" s="44" t="str">
        <f t="shared" si="126"/>
        <v/>
      </c>
      <c r="I483" s="44" t="str">
        <f t="shared" si="131"/>
        <v/>
      </c>
      <c r="J483" s="44" t="str">
        <f t="shared" si="132"/>
        <v/>
      </c>
      <c r="K483" s="46" t="str">
        <f t="shared" si="127"/>
        <v/>
      </c>
      <c r="L483" s="46" t="str">
        <f t="shared" si="133"/>
        <v/>
      </c>
      <c r="M483" s="26" t="str">
        <f t="shared" si="134"/>
        <v/>
      </c>
      <c r="N483" s="2" t="str">
        <f t="shared" si="135"/>
        <v/>
      </c>
      <c r="P483" s="2" t="str">
        <f t="shared" si="136"/>
        <v/>
      </c>
      <c r="Q483" s="2" t="str">
        <f t="shared" si="137"/>
        <v/>
      </c>
      <c r="R483" s="2" t="str">
        <f t="shared" si="138"/>
        <v/>
      </c>
      <c r="S483" s="2" t="str">
        <f t="shared" si="139"/>
        <v/>
      </c>
      <c r="T483" s="2" t="str">
        <f t="shared" si="140"/>
        <v/>
      </c>
    </row>
    <row r="484" spans="2:20" ht="11.45" customHeight="1" x14ac:dyDescent="0.25">
      <c r="B484" s="86" t="str">
        <f t="shared" si="141"/>
        <v/>
      </c>
      <c r="C484" s="88"/>
      <c r="D484" s="87" t="str">
        <f t="shared" si="142"/>
        <v/>
      </c>
      <c r="E484" s="157" t="str">
        <f t="shared" si="128"/>
        <v/>
      </c>
      <c r="F484" s="156" t="str">
        <f t="shared" si="129"/>
        <v/>
      </c>
      <c r="G484" s="78" t="str">
        <f t="shared" si="130"/>
        <v/>
      </c>
      <c r="H484" s="44" t="str">
        <f t="shared" si="126"/>
        <v/>
      </c>
      <c r="I484" s="44" t="str">
        <f t="shared" si="131"/>
        <v/>
      </c>
      <c r="J484" s="44" t="str">
        <f t="shared" si="132"/>
        <v/>
      </c>
      <c r="K484" s="46" t="str">
        <f t="shared" si="127"/>
        <v/>
      </c>
      <c r="L484" s="46" t="str">
        <f t="shared" si="133"/>
        <v/>
      </c>
      <c r="M484" s="26" t="str">
        <f t="shared" si="134"/>
        <v/>
      </c>
      <c r="N484" s="2" t="str">
        <f t="shared" si="135"/>
        <v/>
      </c>
      <c r="P484" s="2" t="str">
        <f t="shared" si="136"/>
        <v/>
      </c>
      <c r="Q484" s="2" t="str">
        <f t="shared" si="137"/>
        <v/>
      </c>
      <c r="R484" s="2" t="str">
        <f t="shared" si="138"/>
        <v/>
      </c>
      <c r="S484" s="2" t="str">
        <f t="shared" si="139"/>
        <v/>
      </c>
      <c r="T484" s="2" t="str">
        <f t="shared" si="140"/>
        <v/>
      </c>
    </row>
    <row r="485" spans="2:20" ht="11.45" customHeight="1" x14ac:dyDescent="0.25">
      <c r="B485" s="86" t="str">
        <f t="shared" si="141"/>
        <v/>
      </c>
      <c r="C485" s="88"/>
      <c r="D485" s="87" t="str">
        <f t="shared" si="142"/>
        <v/>
      </c>
      <c r="E485" s="157" t="str">
        <f t="shared" si="128"/>
        <v/>
      </c>
      <c r="F485" s="156" t="str">
        <f t="shared" si="129"/>
        <v/>
      </c>
      <c r="G485" s="78" t="str">
        <f t="shared" si="130"/>
        <v/>
      </c>
      <c r="H485" s="44" t="str">
        <f t="shared" si="126"/>
        <v/>
      </c>
      <c r="I485" s="44" t="str">
        <f t="shared" si="131"/>
        <v/>
      </c>
      <c r="J485" s="44" t="str">
        <f t="shared" si="132"/>
        <v/>
      </c>
      <c r="K485" s="46" t="str">
        <f t="shared" si="127"/>
        <v/>
      </c>
      <c r="L485" s="46" t="str">
        <f t="shared" si="133"/>
        <v/>
      </c>
      <c r="M485" s="26" t="str">
        <f t="shared" si="134"/>
        <v/>
      </c>
      <c r="N485" s="2" t="str">
        <f t="shared" si="135"/>
        <v/>
      </c>
      <c r="P485" s="2" t="str">
        <f t="shared" si="136"/>
        <v/>
      </c>
      <c r="Q485" s="2" t="str">
        <f t="shared" si="137"/>
        <v/>
      </c>
      <c r="R485" s="2" t="str">
        <f t="shared" si="138"/>
        <v/>
      </c>
      <c r="S485" s="2" t="str">
        <f t="shared" si="139"/>
        <v/>
      </c>
      <c r="T485" s="2" t="str">
        <f t="shared" si="140"/>
        <v/>
      </c>
    </row>
    <row r="486" spans="2:20" ht="11.45" customHeight="1" x14ac:dyDescent="0.25">
      <c r="B486" s="86" t="str">
        <f t="shared" si="141"/>
        <v/>
      </c>
      <c r="C486" s="88"/>
      <c r="D486" s="87" t="str">
        <f t="shared" si="142"/>
        <v/>
      </c>
      <c r="E486" s="157" t="str">
        <f t="shared" si="128"/>
        <v/>
      </c>
      <c r="F486" s="156" t="str">
        <f t="shared" si="129"/>
        <v/>
      </c>
      <c r="G486" s="78" t="str">
        <f t="shared" si="130"/>
        <v/>
      </c>
      <c r="H486" s="44" t="str">
        <f t="shared" si="126"/>
        <v/>
      </c>
      <c r="I486" s="44" t="str">
        <f t="shared" si="131"/>
        <v/>
      </c>
      <c r="J486" s="44" t="str">
        <f t="shared" si="132"/>
        <v/>
      </c>
      <c r="K486" s="46" t="str">
        <f t="shared" si="127"/>
        <v/>
      </c>
      <c r="L486" s="46" t="str">
        <f t="shared" si="133"/>
        <v/>
      </c>
      <c r="M486" s="26" t="str">
        <f t="shared" si="134"/>
        <v/>
      </c>
      <c r="N486" s="2" t="str">
        <f t="shared" si="135"/>
        <v/>
      </c>
      <c r="P486" s="2" t="str">
        <f t="shared" si="136"/>
        <v/>
      </c>
      <c r="Q486" s="2" t="str">
        <f t="shared" si="137"/>
        <v/>
      </c>
      <c r="R486" s="2" t="str">
        <f t="shared" si="138"/>
        <v/>
      </c>
      <c r="S486" s="2" t="str">
        <f t="shared" si="139"/>
        <v/>
      </c>
      <c r="T486" s="2" t="str">
        <f t="shared" si="140"/>
        <v/>
      </c>
    </row>
    <row r="487" spans="2:20" ht="11.45" customHeight="1" x14ac:dyDescent="0.25">
      <c r="B487" s="86" t="str">
        <f t="shared" si="141"/>
        <v/>
      </c>
      <c r="C487" s="88"/>
      <c r="D487" s="87" t="str">
        <f t="shared" si="142"/>
        <v/>
      </c>
      <c r="E487" s="157" t="str">
        <f t="shared" si="128"/>
        <v/>
      </c>
      <c r="F487" s="156" t="str">
        <f t="shared" si="129"/>
        <v/>
      </c>
      <c r="G487" s="78" t="str">
        <f t="shared" si="130"/>
        <v/>
      </c>
      <c r="H487" s="44" t="str">
        <f t="shared" si="126"/>
        <v/>
      </c>
      <c r="I487" s="44" t="str">
        <f t="shared" si="131"/>
        <v/>
      </c>
      <c r="J487" s="44" t="str">
        <f t="shared" si="132"/>
        <v/>
      </c>
      <c r="K487" s="46" t="str">
        <f t="shared" si="127"/>
        <v/>
      </c>
      <c r="L487" s="46" t="str">
        <f t="shared" si="133"/>
        <v/>
      </c>
      <c r="M487" s="26" t="str">
        <f t="shared" si="134"/>
        <v/>
      </c>
      <c r="N487" s="2" t="str">
        <f t="shared" si="135"/>
        <v/>
      </c>
      <c r="P487" s="2" t="str">
        <f t="shared" si="136"/>
        <v/>
      </c>
      <c r="Q487" s="2" t="str">
        <f t="shared" si="137"/>
        <v/>
      </c>
      <c r="R487" s="2" t="str">
        <f t="shared" si="138"/>
        <v/>
      </c>
      <c r="S487" s="2" t="str">
        <f t="shared" si="139"/>
        <v/>
      </c>
      <c r="T487" s="2" t="str">
        <f t="shared" si="140"/>
        <v/>
      </c>
    </row>
    <row r="488" spans="2:20" ht="11.45" customHeight="1" x14ac:dyDescent="0.25">
      <c r="B488" s="86" t="str">
        <f t="shared" si="141"/>
        <v/>
      </c>
      <c r="C488" s="88"/>
      <c r="D488" s="87" t="str">
        <f t="shared" si="142"/>
        <v/>
      </c>
      <c r="E488" s="157" t="str">
        <f t="shared" si="128"/>
        <v/>
      </c>
      <c r="F488" s="156" t="str">
        <f t="shared" si="129"/>
        <v/>
      </c>
      <c r="G488" s="78" t="str">
        <f t="shared" si="130"/>
        <v/>
      </c>
      <c r="H488" s="44" t="str">
        <f t="shared" si="126"/>
        <v/>
      </c>
      <c r="I488" s="44" t="str">
        <f t="shared" si="131"/>
        <v/>
      </c>
      <c r="J488" s="44" t="str">
        <f t="shared" si="132"/>
        <v/>
      </c>
      <c r="K488" s="46" t="str">
        <f t="shared" si="127"/>
        <v/>
      </c>
      <c r="L488" s="46" t="str">
        <f t="shared" si="133"/>
        <v/>
      </c>
      <c r="M488" s="26" t="str">
        <f t="shared" si="134"/>
        <v/>
      </c>
      <c r="N488" s="2" t="str">
        <f t="shared" si="135"/>
        <v/>
      </c>
      <c r="P488" s="2" t="str">
        <f t="shared" si="136"/>
        <v/>
      </c>
      <c r="Q488" s="2" t="str">
        <f t="shared" si="137"/>
        <v/>
      </c>
      <c r="R488" s="2" t="str">
        <f t="shared" si="138"/>
        <v/>
      </c>
      <c r="S488" s="2" t="str">
        <f t="shared" si="139"/>
        <v/>
      </c>
      <c r="T488" s="2" t="str">
        <f t="shared" si="140"/>
        <v/>
      </c>
    </row>
    <row r="489" spans="2:20" ht="11.45" customHeight="1" x14ac:dyDescent="0.25">
      <c r="B489" s="86" t="str">
        <f t="shared" si="141"/>
        <v/>
      </c>
      <c r="C489" s="88"/>
      <c r="D489" s="87" t="str">
        <f t="shared" si="142"/>
        <v/>
      </c>
      <c r="E489" s="157" t="str">
        <f t="shared" si="128"/>
        <v/>
      </c>
      <c r="F489" s="156" t="str">
        <f t="shared" si="129"/>
        <v/>
      </c>
      <c r="G489" s="78" t="str">
        <f t="shared" si="130"/>
        <v/>
      </c>
      <c r="H489" s="44" t="str">
        <f t="shared" si="126"/>
        <v/>
      </c>
      <c r="I489" s="44" t="str">
        <f t="shared" si="131"/>
        <v/>
      </c>
      <c r="J489" s="44" t="str">
        <f t="shared" si="132"/>
        <v/>
      </c>
      <c r="K489" s="46" t="str">
        <f t="shared" si="127"/>
        <v/>
      </c>
      <c r="L489" s="46" t="str">
        <f t="shared" si="133"/>
        <v/>
      </c>
      <c r="M489" s="26" t="str">
        <f t="shared" si="134"/>
        <v/>
      </c>
      <c r="N489" s="2" t="str">
        <f t="shared" si="135"/>
        <v/>
      </c>
      <c r="P489" s="2" t="str">
        <f t="shared" si="136"/>
        <v/>
      </c>
      <c r="Q489" s="2" t="str">
        <f t="shared" si="137"/>
        <v/>
      </c>
      <c r="R489" s="2" t="str">
        <f t="shared" si="138"/>
        <v/>
      </c>
      <c r="S489" s="2" t="str">
        <f t="shared" si="139"/>
        <v/>
      </c>
      <c r="T489" s="2" t="str">
        <f t="shared" si="140"/>
        <v/>
      </c>
    </row>
    <row r="490" spans="2:20" ht="11.45" customHeight="1" x14ac:dyDescent="0.25">
      <c r="B490" s="86" t="str">
        <f t="shared" si="141"/>
        <v/>
      </c>
      <c r="C490" s="88"/>
      <c r="D490" s="87" t="str">
        <f t="shared" si="142"/>
        <v/>
      </c>
      <c r="E490" s="157" t="str">
        <f t="shared" si="128"/>
        <v/>
      </c>
      <c r="F490" s="156" t="str">
        <f t="shared" si="129"/>
        <v/>
      </c>
      <c r="G490" s="78" t="str">
        <f t="shared" si="130"/>
        <v/>
      </c>
      <c r="H490" s="44" t="str">
        <f t="shared" si="126"/>
        <v/>
      </c>
      <c r="I490" s="44" t="str">
        <f t="shared" si="131"/>
        <v/>
      </c>
      <c r="J490" s="44" t="str">
        <f t="shared" si="132"/>
        <v/>
      </c>
      <c r="K490" s="46" t="str">
        <f t="shared" si="127"/>
        <v/>
      </c>
      <c r="L490" s="46" t="str">
        <f t="shared" si="133"/>
        <v/>
      </c>
      <c r="M490" s="26" t="str">
        <f t="shared" si="134"/>
        <v/>
      </c>
      <c r="N490" s="2" t="str">
        <f t="shared" si="135"/>
        <v/>
      </c>
      <c r="P490" s="2" t="str">
        <f t="shared" si="136"/>
        <v/>
      </c>
      <c r="Q490" s="2" t="str">
        <f t="shared" si="137"/>
        <v/>
      </c>
      <c r="R490" s="2" t="str">
        <f t="shared" si="138"/>
        <v/>
      </c>
      <c r="S490" s="2" t="str">
        <f t="shared" si="139"/>
        <v/>
      </c>
      <c r="T490" s="2" t="str">
        <f t="shared" si="140"/>
        <v/>
      </c>
    </row>
    <row r="491" spans="2:20" ht="11.45" customHeight="1" x14ac:dyDescent="0.25">
      <c r="B491" s="86" t="str">
        <f t="shared" si="141"/>
        <v/>
      </c>
      <c r="C491" s="88"/>
      <c r="D491" s="87" t="str">
        <f t="shared" si="142"/>
        <v/>
      </c>
      <c r="E491" s="157" t="str">
        <f t="shared" si="128"/>
        <v/>
      </c>
      <c r="F491" s="156" t="str">
        <f t="shared" si="129"/>
        <v/>
      </c>
      <c r="G491" s="78" t="str">
        <f t="shared" si="130"/>
        <v/>
      </c>
      <c r="H491" s="44" t="str">
        <f t="shared" si="126"/>
        <v/>
      </c>
      <c r="I491" s="44" t="str">
        <f t="shared" si="131"/>
        <v/>
      </c>
      <c r="J491" s="44" t="str">
        <f t="shared" si="132"/>
        <v/>
      </c>
      <c r="K491" s="46" t="str">
        <f t="shared" si="127"/>
        <v/>
      </c>
      <c r="L491" s="46" t="str">
        <f t="shared" si="133"/>
        <v/>
      </c>
      <c r="M491" s="26" t="str">
        <f t="shared" si="134"/>
        <v/>
      </c>
      <c r="N491" s="2" t="str">
        <f t="shared" si="135"/>
        <v/>
      </c>
      <c r="P491" s="2" t="str">
        <f t="shared" si="136"/>
        <v/>
      </c>
      <c r="Q491" s="2" t="str">
        <f t="shared" si="137"/>
        <v/>
      </c>
      <c r="R491" s="2" t="str">
        <f t="shared" si="138"/>
        <v/>
      </c>
      <c r="S491" s="2" t="str">
        <f t="shared" si="139"/>
        <v/>
      </c>
      <c r="T491" s="2" t="str">
        <f t="shared" si="140"/>
        <v/>
      </c>
    </row>
    <row r="492" spans="2:20" ht="11.45" customHeight="1" x14ac:dyDescent="0.25">
      <c r="B492" s="86" t="str">
        <f t="shared" si="141"/>
        <v/>
      </c>
      <c r="C492" s="88"/>
      <c r="D492" s="87" t="str">
        <f t="shared" si="142"/>
        <v/>
      </c>
      <c r="E492" s="157" t="str">
        <f t="shared" si="128"/>
        <v/>
      </c>
      <c r="F492" s="156" t="str">
        <f t="shared" si="129"/>
        <v/>
      </c>
      <c r="G492" s="78" t="str">
        <f t="shared" si="130"/>
        <v/>
      </c>
      <c r="H492" s="44" t="str">
        <f t="shared" si="126"/>
        <v/>
      </c>
      <c r="I492" s="44" t="str">
        <f t="shared" si="131"/>
        <v/>
      </c>
      <c r="J492" s="44" t="str">
        <f t="shared" si="132"/>
        <v/>
      </c>
      <c r="K492" s="46" t="str">
        <f t="shared" si="127"/>
        <v/>
      </c>
      <c r="L492" s="46" t="str">
        <f t="shared" si="133"/>
        <v/>
      </c>
      <c r="M492" s="26" t="str">
        <f t="shared" si="134"/>
        <v/>
      </c>
      <c r="N492" s="2" t="str">
        <f t="shared" si="135"/>
        <v/>
      </c>
      <c r="P492" s="2" t="str">
        <f t="shared" si="136"/>
        <v/>
      </c>
      <c r="Q492" s="2" t="str">
        <f t="shared" si="137"/>
        <v/>
      </c>
      <c r="R492" s="2" t="str">
        <f t="shared" si="138"/>
        <v/>
      </c>
      <c r="S492" s="2" t="str">
        <f t="shared" si="139"/>
        <v/>
      </c>
      <c r="T492" s="2" t="str">
        <f t="shared" si="140"/>
        <v/>
      </c>
    </row>
    <row r="493" spans="2:20" ht="11.45" customHeight="1" x14ac:dyDescent="0.25">
      <c r="B493" s="86" t="str">
        <f t="shared" si="141"/>
        <v/>
      </c>
      <c r="C493" s="88"/>
      <c r="D493" s="87" t="str">
        <f t="shared" si="142"/>
        <v/>
      </c>
      <c r="E493" s="157" t="str">
        <f t="shared" si="128"/>
        <v/>
      </c>
      <c r="F493" s="156" t="str">
        <f t="shared" si="129"/>
        <v/>
      </c>
      <c r="G493" s="78" t="str">
        <f t="shared" si="130"/>
        <v/>
      </c>
      <c r="H493" s="44" t="str">
        <f t="shared" si="126"/>
        <v/>
      </c>
      <c r="I493" s="44" t="str">
        <f t="shared" si="131"/>
        <v/>
      </c>
      <c r="J493" s="44" t="str">
        <f t="shared" si="132"/>
        <v/>
      </c>
      <c r="K493" s="46" t="str">
        <f t="shared" si="127"/>
        <v/>
      </c>
      <c r="L493" s="46" t="str">
        <f t="shared" si="133"/>
        <v/>
      </c>
      <c r="M493" s="26" t="str">
        <f t="shared" si="134"/>
        <v/>
      </c>
      <c r="N493" s="2" t="str">
        <f t="shared" si="135"/>
        <v/>
      </c>
      <c r="P493" s="2" t="str">
        <f t="shared" si="136"/>
        <v/>
      </c>
      <c r="Q493" s="2" t="str">
        <f t="shared" si="137"/>
        <v/>
      </c>
      <c r="R493" s="2" t="str">
        <f t="shared" si="138"/>
        <v/>
      </c>
      <c r="S493" s="2" t="str">
        <f t="shared" si="139"/>
        <v/>
      </c>
      <c r="T493" s="2" t="str">
        <f t="shared" si="140"/>
        <v/>
      </c>
    </row>
    <row r="494" spans="2:20" ht="11.45" customHeight="1" x14ac:dyDescent="0.25">
      <c r="B494" s="86" t="str">
        <f t="shared" si="141"/>
        <v/>
      </c>
      <c r="C494" s="88"/>
      <c r="D494" s="87" t="str">
        <f t="shared" si="142"/>
        <v/>
      </c>
      <c r="E494" s="157" t="str">
        <f t="shared" si="128"/>
        <v/>
      </c>
      <c r="F494" s="156" t="str">
        <f t="shared" si="129"/>
        <v/>
      </c>
      <c r="G494" s="78" t="str">
        <f t="shared" si="130"/>
        <v/>
      </c>
      <c r="H494" s="44" t="str">
        <f t="shared" si="126"/>
        <v/>
      </c>
      <c r="I494" s="44" t="str">
        <f t="shared" si="131"/>
        <v/>
      </c>
      <c r="J494" s="44" t="str">
        <f t="shared" si="132"/>
        <v/>
      </c>
      <c r="K494" s="46" t="str">
        <f t="shared" si="127"/>
        <v/>
      </c>
      <c r="L494" s="46" t="str">
        <f t="shared" si="133"/>
        <v/>
      </c>
      <c r="M494" s="26" t="str">
        <f t="shared" si="134"/>
        <v/>
      </c>
      <c r="N494" s="2" t="str">
        <f t="shared" si="135"/>
        <v/>
      </c>
      <c r="P494" s="2" t="str">
        <f t="shared" si="136"/>
        <v/>
      </c>
      <c r="Q494" s="2" t="str">
        <f t="shared" si="137"/>
        <v/>
      </c>
      <c r="R494" s="2" t="str">
        <f t="shared" si="138"/>
        <v/>
      </c>
      <c r="S494" s="2" t="str">
        <f t="shared" si="139"/>
        <v/>
      </c>
      <c r="T494" s="2" t="str">
        <f t="shared" si="140"/>
        <v/>
      </c>
    </row>
    <row r="495" spans="2:20" ht="11.45" customHeight="1" x14ac:dyDescent="0.25">
      <c r="B495" s="86" t="str">
        <f t="shared" si="141"/>
        <v/>
      </c>
      <c r="C495" s="88"/>
      <c r="D495" s="87" t="str">
        <f t="shared" si="142"/>
        <v/>
      </c>
      <c r="E495" s="157" t="str">
        <f t="shared" si="128"/>
        <v/>
      </c>
      <c r="F495" s="156" t="str">
        <f t="shared" si="129"/>
        <v/>
      </c>
      <c r="G495" s="78" t="str">
        <f t="shared" si="130"/>
        <v/>
      </c>
      <c r="H495" s="44" t="str">
        <f t="shared" si="126"/>
        <v/>
      </c>
      <c r="I495" s="44" t="str">
        <f t="shared" si="131"/>
        <v/>
      </c>
      <c r="J495" s="44" t="str">
        <f t="shared" si="132"/>
        <v/>
      </c>
      <c r="K495" s="46" t="str">
        <f t="shared" si="127"/>
        <v/>
      </c>
      <c r="L495" s="46" t="str">
        <f t="shared" si="133"/>
        <v/>
      </c>
      <c r="M495" s="26" t="str">
        <f t="shared" si="134"/>
        <v/>
      </c>
      <c r="N495" s="2" t="str">
        <f t="shared" si="135"/>
        <v/>
      </c>
      <c r="P495" s="2" t="str">
        <f t="shared" si="136"/>
        <v/>
      </c>
      <c r="Q495" s="2" t="str">
        <f t="shared" si="137"/>
        <v/>
      </c>
      <c r="R495" s="2" t="str">
        <f t="shared" si="138"/>
        <v/>
      </c>
      <c r="S495" s="2" t="str">
        <f t="shared" si="139"/>
        <v/>
      </c>
      <c r="T495" s="2" t="str">
        <f t="shared" si="140"/>
        <v/>
      </c>
    </row>
    <row r="496" spans="2:20" ht="11.45" customHeight="1" x14ac:dyDescent="0.25">
      <c r="B496" s="86" t="str">
        <f t="shared" si="141"/>
        <v/>
      </c>
      <c r="C496" s="88"/>
      <c r="D496" s="87" t="str">
        <f t="shared" si="142"/>
        <v/>
      </c>
      <c r="E496" s="157" t="str">
        <f t="shared" si="128"/>
        <v/>
      </c>
      <c r="F496" s="156" t="str">
        <f t="shared" si="129"/>
        <v/>
      </c>
      <c r="G496" s="78" t="str">
        <f t="shared" si="130"/>
        <v/>
      </c>
      <c r="H496" s="44" t="str">
        <f t="shared" si="126"/>
        <v/>
      </c>
      <c r="I496" s="44" t="str">
        <f t="shared" si="131"/>
        <v/>
      </c>
      <c r="J496" s="44" t="str">
        <f t="shared" si="132"/>
        <v/>
      </c>
      <c r="K496" s="46" t="str">
        <f t="shared" si="127"/>
        <v/>
      </c>
      <c r="L496" s="46" t="str">
        <f t="shared" si="133"/>
        <v/>
      </c>
      <c r="M496" s="26" t="str">
        <f t="shared" si="134"/>
        <v/>
      </c>
      <c r="N496" s="2" t="str">
        <f t="shared" si="135"/>
        <v/>
      </c>
      <c r="P496" s="2" t="str">
        <f t="shared" si="136"/>
        <v/>
      </c>
      <c r="Q496" s="2" t="str">
        <f t="shared" si="137"/>
        <v/>
      </c>
      <c r="R496" s="2" t="str">
        <f t="shared" si="138"/>
        <v/>
      </c>
      <c r="S496" s="2" t="str">
        <f t="shared" si="139"/>
        <v/>
      </c>
      <c r="T496" s="2" t="str">
        <f t="shared" si="140"/>
        <v/>
      </c>
    </row>
    <row r="497" spans="2:20" ht="11.45" customHeight="1" x14ac:dyDescent="0.25">
      <c r="B497" s="86" t="str">
        <f t="shared" si="141"/>
        <v/>
      </c>
      <c r="C497" s="88"/>
      <c r="D497" s="87" t="str">
        <f t="shared" si="142"/>
        <v/>
      </c>
      <c r="E497" s="157" t="str">
        <f t="shared" si="128"/>
        <v/>
      </c>
      <c r="F497" s="156" t="str">
        <f t="shared" si="129"/>
        <v/>
      </c>
      <c r="G497" s="78" t="str">
        <f t="shared" si="130"/>
        <v/>
      </c>
      <c r="H497" s="44" t="str">
        <f t="shared" si="126"/>
        <v/>
      </c>
      <c r="I497" s="44" t="str">
        <f t="shared" si="131"/>
        <v/>
      </c>
      <c r="J497" s="44" t="str">
        <f t="shared" si="132"/>
        <v/>
      </c>
      <c r="K497" s="46" t="str">
        <f t="shared" si="127"/>
        <v/>
      </c>
      <c r="L497" s="46" t="str">
        <f t="shared" si="133"/>
        <v/>
      </c>
      <c r="M497" s="26" t="str">
        <f t="shared" si="134"/>
        <v/>
      </c>
      <c r="N497" s="2" t="str">
        <f t="shared" si="135"/>
        <v/>
      </c>
      <c r="P497" s="2" t="str">
        <f t="shared" si="136"/>
        <v/>
      </c>
      <c r="Q497" s="2" t="str">
        <f t="shared" si="137"/>
        <v/>
      </c>
      <c r="R497" s="2" t="str">
        <f t="shared" si="138"/>
        <v/>
      </c>
      <c r="S497" s="2" t="str">
        <f t="shared" si="139"/>
        <v/>
      </c>
      <c r="T497" s="2" t="str">
        <f t="shared" si="140"/>
        <v/>
      </c>
    </row>
    <row r="498" spans="2:20" ht="11.45" customHeight="1" x14ac:dyDescent="0.25">
      <c r="B498" s="86" t="str">
        <f t="shared" si="141"/>
        <v/>
      </c>
      <c r="C498" s="88"/>
      <c r="D498" s="87" t="str">
        <f t="shared" si="142"/>
        <v/>
      </c>
      <c r="E498" s="157" t="str">
        <f t="shared" si="128"/>
        <v/>
      </c>
      <c r="F498" s="156" t="str">
        <f t="shared" si="129"/>
        <v/>
      </c>
      <c r="G498" s="78" t="str">
        <f t="shared" si="130"/>
        <v/>
      </c>
      <c r="H498" s="44" t="str">
        <f t="shared" si="126"/>
        <v/>
      </c>
      <c r="I498" s="44" t="str">
        <f t="shared" si="131"/>
        <v/>
      </c>
      <c r="J498" s="44" t="str">
        <f t="shared" si="132"/>
        <v/>
      </c>
      <c r="K498" s="46" t="str">
        <f t="shared" si="127"/>
        <v/>
      </c>
      <c r="L498" s="46" t="str">
        <f t="shared" si="133"/>
        <v/>
      </c>
      <c r="M498" s="26" t="str">
        <f t="shared" si="134"/>
        <v/>
      </c>
      <c r="N498" s="2" t="str">
        <f t="shared" si="135"/>
        <v/>
      </c>
      <c r="P498" s="2" t="str">
        <f t="shared" si="136"/>
        <v/>
      </c>
      <c r="Q498" s="2" t="str">
        <f t="shared" si="137"/>
        <v/>
      </c>
      <c r="R498" s="2" t="str">
        <f t="shared" si="138"/>
        <v/>
      </c>
      <c r="S498" s="2" t="str">
        <f t="shared" si="139"/>
        <v/>
      </c>
      <c r="T498" s="2" t="str">
        <f t="shared" si="140"/>
        <v/>
      </c>
    </row>
    <row r="499" spans="2:20" ht="11.45" customHeight="1" x14ac:dyDescent="0.25">
      <c r="B499" s="86" t="str">
        <f t="shared" si="141"/>
        <v/>
      </c>
      <c r="C499" s="88"/>
      <c r="D499" s="87" t="str">
        <f t="shared" si="142"/>
        <v/>
      </c>
      <c r="E499" s="157" t="str">
        <f t="shared" si="128"/>
        <v/>
      </c>
      <c r="F499" s="156" t="str">
        <f t="shared" si="129"/>
        <v/>
      </c>
      <c r="G499" s="78" t="str">
        <f t="shared" si="130"/>
        <v/>
      </c>
      <c r="H499" s="44" t="str">
        <f t="shared" si="126"/>
        <v/>
      </c>
      <c r="I499" s="44" t="str">
        <f t="shared" si="131"/>
        <v/>
      </c>
      <c r="J499" s="44" t="str">
        <f t="shared" si="132"/>
        <v/>
      </c>
      <c r="K499" s="46" t="str">
        <f t="shared" si="127"/>
        <v/>
      </c>
      <c r="L499" s="46" t="str">
        <f t="shared" si="133"/>
        <v/>
      </c>
      <c r="M499" s="26" t="str">
        <f t="shared" si="134"/>
        <v/>
      </c>
      <c r="N499" s="2" t="str">
        <f t="shared" si="135"/>
        <v/>
      </c>
      <c r="P499" s="2" t="str">
        <f t="shared" si="136"/>
        <v/>
      </c>
      <c r="Q499" s="2" t="str">
        <f t="shared" si="137"/>
        <v/>
      </c>
      <c r="R499" s="2" t="str">
        <f t="shared" si="138"/>
        <v/>
      </c>
      <c r="S499" s="2" t="str">
        <f t="shared" si="139"/>
        <v/>
      </c>
      <c r="T499" s="2" t="str">
        <f t="shared" si="140"/>
        <v/>
      </c>
    </row>
  </sheetData>
  <mergeCells count="19">
    <mergeCell ref="B17:C17"/>
    <mergeCell ref="E5:G5"/>
    <mergeCell ref="F11:G11"/>
    <mergeCell ref="F10:G10"/>
    <mergeCell ref="I5:L5"/>
    <mergeCell ref="B5:C5"/>
    <mergeCell ref="B11:C11"/>
    <mergeCell ref="F6:G6"/>
    <mergeCell ref="F7:G7"/>
    <mergeCell ref="F8:G8"/>
    <mergeCell ref="F9:G9"/>
    <mergeCell ref="F21:G21"/>
    <mergeCell ref="F17:G17"/>
    <mergeCell ref="F16:G16"/>
    <mergeCell ref="F15:G15"/>
    <mergeCell ref="F12:G12"/>
    <mergeCell ref="E19:G19"/>
    <mergeCell ref="E14:G14"/>
    <mergeCell ref="F20:G20"/>
  </mergeCells>
  <dataValidations count="2">
    <dataValidation type="list" allowBlank="1" showInputMessage="1" showErrorMessage="1" sqref="L19" xr:uid="{00000000-0002-0000-0200-000000000000}">
      <formula1>rng_loan_type</formula1>
    </dataValidation>
    <dataValidation type="list" allowBlank="1" showInputMessage="1" showErrorMessage="1" sqref="P22:R22" xr:uid="{00000000-0002-0000-0200-000001000000}">
      <formula1>Accrual_Method</formula1>
    </dataValidation>
  </dataValidations>
  <pageMargins left="0.25" right="0.25" top="0.75" bottom="0.75" header="0.3" footer="0.3"/>
  <pageSetup orientation="portrait" horizontalDpi="300" verticalDpi="300" r:id="rId1"/>
  <ignoredErrors>
    <ignoredError sqref="F16:G17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200-000002000000}">
          <x14:formula1>
            <xm:f>Validation!$M$5:$M$7</xm:f>
          </x14:formula1>
          <xm:sqref>C12</xm:sqref>
        </x14:dataValidation>
        <x14:dataValidation type="list" allowBlank="1" showInputMessage="1" showErrorMessage="1" xr:uid="{00000000-0002-0000-0200-000003000000}">
          <x14:formula1>
            <xm:f>Validation!$G$5:$G$8</xm:f>
          </x14:formula1>
          <xm:sqref>F12:G12</xm:sqref>
        </x14:dataValidation>
        <x14:dataValidation type="list" allowBlank="1" showInputMessage="1" showErrorMessage="1" xr:uid="{00000000-0002-0000-0200-000004000000}">
          <x14:formula1>
            <xm:f>Validation!$E$5:$E$7</xm:f>
          </x14:formula1>
          <xm:sqref>C13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theme="2" tint="-0.499984740745262"/>
  </sheetPr>
  <dimension ref="A1:T500"/>
  <sheetViews>
    <sheetView showGridLines="0" zoomScaleNormal="100" workbookViewId="0"/>
  </sheetViews>
  <sheetFormatPr defaultColWidth="0" defaultRowHeight="11.45" customHeight="1" x14ac:dyDescent="0.2"/>
  <cols>
    <col min="1" max="1" width="2.28515625" style="8" customWidth="1"/>
    <col min="2" max="19" width="15.85546875" style="69" customWidth="1"/>
    <col min="20" max="20" width="2.28515625" style="8" customWidth="1"/>
    <col min="21" max="16384" width="15.85546875" style="8" hidden="1"/>
  </cols>
  <sheetData>
    <row r="1" spans="2:19" ht="11.45" customHeight="1" x14ac:dyDescent="0.2"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</row>
    <row r="2" spans="2:19" ht="11.45" customHeight="1" x14ac:dyDescent="0.2">
      <c r="B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</row>
    <row r="3" spans="2:19" ht="11.45" customHeight="1" x14ac:dyDescent="0.2"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</row>
    <row r="4" spans="2:19" ht="11.45" customHeight="1" x14ac:dyDescent="0.2">
      <c r="B4" s="8"/>
      <c r="C4" s="8"/>
      <c r="D4" s="8"/>
      <c r="E4" s="8"/>
      <c r="F4" s="8"/>
      <c r="G4" s="8"/>
      <c r="H4" s="8"/>
      <c r="I4" s="8"/>
      <c r="J4" s="8"/>
      <c r="K4" s="8"/>
      <c r="L4" s="8"/>
      <c r="M4" s="8"/>
      <c r="N4" s="8"/>
      <c r="O4" s="8"/>
      <c r="P4" s="8"/>
      <c r="Q4" s="8"/>
      <c r="R4" s="8"/>
      <c r="S4" s="8"/>
    </row>
    <row r="5" spans="2:19" ht="11.45" customHeight="1" x14ac:dyDescent="0.2">
      <c r="B5" s="81" t="s">
        <v>46</v>
      </c>
      <c r="C5" s="81" t="s">
        <v>47</v>
      </c>
      <c r="D5" s="81" t="s">
        <v>48</v>
      </c>
      <c r="E5" s="81" t="s">
        <v>49</v>
      </c>
      <c r="F5" s="81" t="s">
        <v>50</v>
      </c>
      <c r="G5" s="81" t="s">
        <v>51</v>
      </c>
      <c r="H5" s="81" t="s">
        <v>52</v>
      </c>
      <c r="I5" s="81" t="s">
        <v>53</v>
      </c>
      <c r="J5" s="81" t="s">
        <v>54</v>
      </c>
      <c r="K5" s="81" t="s">
        <v>55</v>
      </c>
      <c r="L5" s="81" t="s">
        <v>56</v>
      </c>
      <c r="M5" s="81" t="s">
        <v>57</v>
      </c>
      <c r="N5" s="81" t="s">
        <v>385</v>
      </c>
      <c r="O5" s="81" t="s">
        <v>58</v>
      </c>
      <c r="P5" s="81" t="s">
        <v>59</v>
      </c>
      <c r="Q5" s="81" t="s">
        <v>386</v>
      </c>
      <c r="R5" s="81" t="s">
        <v>60</v>
      </c>
      <c r="S5" s="81" t="s">
        <v>387</v>
      </c>
    </row>
    <row r="6" spans="2:19" ht="11.45" customHeight="1" x14ac:dyDescent="0.2">
      <c r="B6" s="82">
        <v>1</v>
      </c>
      <c r="C6" s="73"/>
      <c r="D6" s="73"/>
      <c r="E6" s="73"/>
      <c r="F6" s="73"/>
      <c r="G6" s="73"/>
      <c r="H6" s="73"/>
      <c r="I6" s="73"/>
      <c r="J6" s="73"/>
      <c r="K6" s="83"/>
      <c r="L6" s="73"/>
      <c r="M6" s="73"/>
      <c r="N6" s="73"/>
      <c r="O6" s="73"/>
      <c r="P6" s="73"/>
      <c r="Q6" s="73"/>
      <c r="R6" s="73"/>
      <c r="S6" s="73"/>
    </row>
    <row r="7" spans="2:19" s="9" customFormat="1" ht="11.45" customHeight="1" x14ac:dyDescent="0.2">
      <c r="B7" s="73"/>
      <c r="C7" s="73"/>
      <c r="D7" s="73"/>
      <c r="E7" s="73"/>
      <c r="F7" s="73"/>
      <c r="G7" s="73"/>
      <c r="H7" s="73" t="str">
        <f>IF($C7="","","Field not Supplied")</f>
        <v/>
      </c>
      <c r="I7" s="73"/>
      <c r="J7" s="73" t="str">
        <f>IF($C7="","","Field not Supplied")</f>
        <v/>
      </c>
      <c r="K7" s="83"/>
      <c r="L7" s="73" t="str">
        <f>IF($C7="","","Field not Supplied")</f>
        <v/>
      </c>
      <c r="M7" s="73" t="str">
        <f>IF($C7="","","Field not Supplied")</f>
        <v/>
      </c>
      <c r="N7" s="73"/>
      <c r="O7" s="73" t="str">
        <f>IF($C7="","","Field not Supplied")</f>
        <v/>
      </c>
      <c r="P7" s="73" t="str">
        <f>IF($C7="","","Field not Supplied")</f>
        <v/>
      </c>
      <c r="Q7" s="73" t="str">
        <f>IF($C7="","","Field not Supplied")</f>
        <v/>
      </c>
      <c r="R7" s="73" t="str">
        <f>IF($C7="","","Field not Supplied")</f>
        <v/>
      </c>
      <c r="S7" s="73" t="str">
        <f>IF($C7="","","Field not Supplied")</f>
        <v/>
      </c>
    </row>
    <row r="8" spans="2:19" ht="11.45" customHeight="1" x14ac:dyDescent="0.2">
      <c r="B8" s="73"/>
      <c r="C8" s="73"/>
      <c r="D8" s="73"/>
      <c r="E8" s="73"/>
      <c r="F8" s="73"/>
      <c r="G8" s="73"/>
      <c r="H8" s="73"/>
      <c r="I8" s="73"/>
      <c r="J8" s="73"/>
      <c r="K8" s="83"/>
      <c r="L8" s="73"/>
      <c r="M8" s="73"/>
      <c r="N8" s="73"/>
      <c r="O8" s="73"/>
      <c r="P8" s="73"/>
      <c r="Q8" s="73"/>
      <c r="R8" s="73"/>
      <c r="S8" s="73"/>
    </row>
    <row r="9" spans="2:19" s="9" customFormat="1" ht="11.45" customHeight="1" x14ac:dyDescent="0.2">
      <c r="B9" s="73"/>
      <c r="C9" s="73"/>
      <c r="D9" s="73"/>
      <c r="E9" s="73"/>
      <c r="F9" s="73"/>
      <c r="G9" s="73"/>
      <c r="H9" s="73"/>
      <c r="I9" s="73"/>
      <c r="J9" s="73"/>
      <c r="K9" s="83"/>
      <c r="L9" s="73"/>
      <c r="M9" s="73"/>
      <c r="N9" s="73"/>
      <c r="O9" s="73"/>
      <c r="P9" s="73"/>
      <c r="Q9" s="73"/>
      <c r="R9" s="73"/>
      <c r="S9" s="73"/>
    </row>
    <row r="10" spans="2:19" ht="11.45" customHeight="1" x14ac:dyDescent="0.2">
      <c r="B10" s="73"/>
      <c r="C10" s="73"/>
      <c r="D10" s="73"/>
      <c r="E10" s="73"/>
      <c r="F10" s="73"/>
      <c r="G10" s="73"/>
      <c r="H10" s="73"/>
      <c r="I10" s="73"/>
      <c r="J10" s="73"/>
      <c r="K10" s="83"/>
      <c r="L10" s="73"/>
      <c r="M10" s="73"/>
      <c r="N10" s="73"/>
      <c r="O10" s="73"/>
      <c r="P10" s="73"/>
      <c r="Q10" s="73"/>
      <c r="R10" s="73"/>
      <c r="S10" s="73"/>
    </row>
    <row r="11" spans="2:19" s="9" customFormat="1" ht="11.45" customHeight="1" x14ac:dyDescent="0.2">
      <c r="B11" s="73"/>
      <c r="C11" s="73"/>
      <c r="D11" s="73"/>
      <c r="E11" s="73"/>
      <c r="F11" s="73"/>
      <c r="G11" s="73"/>
      <c r="H11" s="73"/>
      <c r="I11" s="73"/>
      <c r="J11" s="73"/>
      <c r="K11" s="83"/>
      <c r="L11" s="73"/>
      <c r="M11" s="73"/>
      <c r="N11" s="73"/>
      <c r="O11" s="73"/>
      <c r="P11" s="73"/>
      <c r="Q11" s="73"/>
      <c r="R11" s="73"/>
      <c r="S11" s="73"/>
    </row>
    <row r="12" spans="2:19" ht="11.45" customHeight="1" x14ac:dyDescent="0.2">
      <c r="B12" s="73"/>
      <c r="C12" s="73"/>
      <c r="D12" s="73"/>
      <c r="E12" s="73"/>
      <c r="F12" s="73"/>
      <c r="G12" s="73"/>
      <c r="H12" s="73"/>
      <c r="I12" s="73"/>
      <c r="J12" s="73"/>
      <c r="K12" s="83"/>
      <c r="L12" s="73"/>
      <c r="M12" s="73"/>
      <c r="N12" s="73"/>
      <c r="O12" s="73"/>
      <c r="P12" s="73"/>
      <c r="Q12" s="73"/>
      <c r="R12" s="73"/>
      <c r="S12" s="73"/>
    </row>
    <row r="13" spans="2:19" s="9" customFormat="1" ht="11.45" customHeight="1" x14ac:dyDescent="0.2">
      <c r="B13" s="73"/>
      <c r="C13" s="73"/>
      <c r="D13" s="73"/>
      <c r="E13" s="73"/>
      <c r="F13" s="73"/>
      <c r="G13" s="73"/>
      <c r="H13" s="73" t="str">
        <f>IF($C13="","","Field not Supplied")</f>
        <v/>
      </c>
      <c r="I13" s="73"/>
      <c r="J13" s="73" t="str">
        <f>IF($C13="","","Field not Supplied")</f>
        <v/>
      </c>
      <c r="K13" s="83"/>
      <c r="L13" s="73" t="str">
        <f>IF($C13="","","Field not Supplied")</f>
        <v/>
      </c>
      <c r="M13" s="73" t="str">
        <f>IF($C13="","","Field not Supplied")</f>
        <v/>
      </c>
      <c r="N13" s="73"/>
      <c r="O13" s="73" t="str">
        <f>IF($C13="","","Field not Supplied")</f>
        <v/>
      </c>
      <c r="P13" s="73" t="str">
        <f>IF($C13="","","Field not Supplied")</f>
        <v/>
      </c>
      <c r="Q13" s="73" t="str">
        <f>IF($C13="","","Field not Supplied")</f>
        <v/>
      </c>
      <c r="R13" s="73" t="str">
        <f>IF($C13="","","Field not Supplied")</f>
        <v/>
      </c>
      <c r="S13" s="73" t="str">
        <f>IF($C13="","","Field not Supplied")</f>
        <v/>
      </c>
    </row>
    <row r="25" spans="3:6" ht="11.45" customHeight="1" x14ac:dyDescent="0.2">
      <c r="E25" s="69" t="str">
        <f>E26</f>
        <v/>
      </c>
      <c r="F25" s="69" t="str">
        <f>F26</f>
        <v/>
      </c>
    </row>
    <row r="26" spans="3:6" ht="11.45" customHeight="1" x14ac:dyDescent="0.2">
      <c r="C26" s="70"/>
      <c r="D26" s="69" t="str">
        <f>IF(B26="","",C26-EDATE(C26,-1))</f>
        <v/>
      </c>
      <c r="E26" s="69" t="str">
        <f>IF(B26="","",J25)</f>
        <v/>
      </c>
      <c r="F26" s="69" t="str">
        <f>IF(B26="","",$C$15)</f>
        <v/>
      </c>
    </row>
    <row r="27" spans="3:6" ht="11.45" customHeight="1" x14ac:dyDescent="0.2">
      <c r="C27" s="70" t="str">
        <f>IF($F$10="","",IF(B27&gt;$F$10,"",IF($F$13="Monthly",DATE(YEAR(C26),MONTH(C26)+1,DAY(C26)),IF($F$13="Quarterly",DATE(YEAR(C26),MONTH(C26)+3,DAY(C26)),IF($F$13="Semi-Annually",DATE(YEAR(C26),MONTH(C26)+6,DAY(C26)),IF($F$13="Annually",DATE(YEAR(C26)+1,MONTH(C26),DAY(C26))))))))</f>
        <v/>
      </c>
      <c r="D27" s="69" t="str">
        <f>IF(B27="","",C27-C26)</f>
        <v/>
      </c>
      <c r="E27" s="69" t="str">
        <f t="shared" ref="E27:E90" si="0">IF(B27="","",J26)</f>
        <v/>
      </c>
      <c r="F27" s="69" t="str">
        <f t="shared" ref="F27:F90" si="1">IF(B27="","",$C$15)</f>
        <v/>
      </c>
    </row>
    <row r="28" spans="3:6" ht="11.45" customHeight="1" x14ac:dyDescent="0.2">
      <c r="C28" s="70" t="str">
        <f t="shared" ref="C28:C91" si="2">IF($F$10="","",IF(B28&gt;$F$10,"",IF($F$13="Monthly",DATE(YEAR(C27),MONTH(C27)+1,DAY(C27)),IF($F$13="Quarterly",DATE(YEAR(C27),MONTH(C27)+3,DAY(C27)),IF($F$13="Semi-Annually",DATE(YEAR(C27),MONTH(C27)+6,DAY(C27)),IF($F$13="Annually",DATE(YEAR(C27)+1,MONTH(C27),DAY(C27))))))))</f>
        <v/>
      </c>
      <c r="D28" s="69" t="str">
        <f t="shared" ref="D28:D91" si="3">IF(B28="","",C28-C27)</f>
        <v/>
      </c>
      <c r="E28" s="69" t="str">
        <f t="shared" si="0"/>
        <v/>
      </c>
      <c r="F28" s="69" t="str">
        <f t="shared" si="1"/>
        <v/>
      </c>
    </row>
    <row r="29" spans="3:6" ht="11.45" customHeight="1" x14ac:dyDescent="0.2">
      <c r="C29" s="70" t="str">
        <f t="shared" si="2"/>
        <v/>
      </c>
      <c r="D29" s="69" t="str">
        <f t="shared" si="3"/>
        <v/>
      </c>
      <c r="E29" s="69" t="str">
        <f t="shared" si="0"/>
        <v/>
      </c>
      <c r="F29" s="69" t="str">
        <f t="shared" si="1"/>
        <v/>
      </c>
    </row>
    <row r="30" spans="3:6" ht="11.45" customHeight="1" x14ac:dyDescent="0.2">
      <c r="C30" s="70" t="str">
        <f t="shared" si="2"/>
        <v/>
      </c>
      <c r="D30" s="69" t="str">
        <f t="shared" si="3"/>
        <v/>
      </c>
      <c r="E30" s="69" t="str">
        <f t="shared" si="0"/>
        <v/>
      </c>
      <c r="F30" s="69" t="str">
        <f t="shared" si="1"/>
        <v/>
      </c>
    </row>
    <row r="31" spans="3:6" ht="11.45" customHeight="1" x14ac:dyDescent="0.2">
      <c r="C31" s="70" t="str">
        <f t="shared" si="2"/>
        <v/>
      </c>
      <c r="D31" s="69" t="str">
        <f t="shared" si="3"/>
        <v/>
      </c>
      <c r="E31" s="69" t="str">
        <f t="shared" si="0"/>
        <v/>
      </c>
      <c r="F31" s="69" t="str">
        <f t="shared" si="1"/>
        <v/>
      </c>
    </row>
    <row r="32" spans="3:6" ht="11.45" customHeight="1" x14ac:dyDescent="0.2">
      <c r="C32" s="70" t="str">
        <f t="shared" si="2"/>
        <v/>
      </c>
      <c r="D32" s="69" t="str">
        <f t="shared" si="3"/>
        <v/>
      </c>
      <c r="E32" s="69" t="str">
        <f t="shared" si="0"/>
        <v/>
      </c>
      <c r="F32" s="69" t="str">
        <f t="shared" si="1"/>
        <v/>
      </c>
    </row>
    <row r="33" spans="3:6" ht="11.45" customHeight="1" x14ac:dyDescent="0.2">
      <c r="C33" s="70" t="str">
        <f t="shared" si="2"/>
        <v/>
      </c>
      <c r="D33" s="69" t="str">
        <f t="shared" si="3"/>
        <v/>
      </c>
      <c r="E33" s="69" t="str">
        <f t="shared" si="0"/>
        <v/>
      </c>
      <c r="F33" s="69" t="str">
        <f t="shared" si="1"/>
        <v/>
      </c>
    </row>
    <row r="34" spans="3:6" ht="11.45" customHeight="1" x14ac:dyDescent="0.2">
      <c r="C34" s="70" t="str">
        <f t="shared" si="2"/>
        <v/>
      </c>
      <c r="D34" s="69" t="str">
        <f t="shared" si="3"/>
        <v/>
      </c>
      <c r="E34" s="69" t="str">
        <f t="shared" si="0"/>
        <v/>
      </c>
      <c r="F34" s="69" t="str">
        <f t="shared" si="1"/>
        <v/>
      </c>
    </row>
    <row r="35" spans="3:6" ht="11.45" customHeight="1" x14ac:dyDescent="0.2">
      <c r="C35" s="70" t="str">
        <f t="shared" si="2"/>
        <v/>
      </c>
      <c r="D35" s="69" t="str">
        <f t="shared" si="3"/>
        <v/>
      </c>
      <c r="E35" s="69" t="str">
        <f t="shared" si="0"/>
        <v/>
      </c>
      <c r="F35" s="69" t="str">
        <f t="shared" si="1"/>
        <v/>
      </c>
    </row>
    <row r="36" spans="3:6" ht="11.45" customHeight="1" x14ac:dyDescent="0.2">
      <c r="C36" s="70" t="str">
        <f t="shared" si="2"/>
        <v/>
      </c>
      <c r="D36" s="69" t="str">
        <f t="shared" si="3"/>
        <v/>
      </c>
      <c r="E36" s="69" t="str">
        <f t="shared" si="0"/>
        <v/>
      </c>
      <c r="F36" s="69" t="str">
        <f t="shared" si="1"/>
        <v/>
      </c>
    </row>
    <row r="37" spans="3:6" ht="11.45" customHeight="1" x14ac:dyDescent="0.2">
      <c r="C37" s="70" t="str">
        <f t="shared" si="2"/>
        <v/>
      </c>
      <c r="D37" s="69" t="str">
        <f t="shared" si="3"/>
        <v/>
      </c>
      <c r="E37" s="69" t="str">
        <f t="shared" si="0"/>
        <v/>
      </c>
      <c r="F37" s="69" t="str">
        <f t="shared" si="1"/>
        <v/>
      </c>
    </row>
    <row r="38" spans="3:6" ht="11.45" customHeight="1" x14ac:dyDescent="0.2">
      <c r="C38" s="70" t="str">
        <f t="shared" si="2"/>
        <v/>
      </c>
      <c r="D38" s="69" t="str">
        <f t="shared" si="3"/>
        <v/>
      </c>
      <c r="E38" s="69" t="str">
        <f t="shared" si="0"/>
        <v/>
      </c>
      <c r="F38" s="69" t="str">
        <f t="shared" si="1"/>
        <v/>
      </c>
    </row>
    <row r="39" spans="3:6" ht="11.45" customHeight="1" x14ac:dyDescent="0.2">
      <c r="C39" s="70" t="str">
        <f t="shared" si="2"/>
        <v/>
      </c>
      <c r="D39" s="69" t="str">
        <f t="shared" si="3"/>
        <v/>
      </c>
      <c r="E39" s="69" t="str">
        <f t="shared" si="0"/>
        <v/>
      </c>
      <c r="F39" s="69" t="str">
        <f t="shared" si="1"/>
        <v/>
      </c>
    </row>
    <row r="40" spans="3:6" ht="11.45" customHeight="1" x14ac:dyDescent="0.2">
      <c r="C40" s="70" t="str">
        <f t="shared" si="2"/>
        <v/>
      </c>
      <c r="D40" s="69" t="str">
        <f t="shared" si="3"/>
        <v/>
      </c>
      <c r="E40" s="69" t="str">
        <f t="shared" si="0"/>
        <v/>
      </c>
      <c r="F40" s="69" t="str">
        <f t="shared" si="1"/>
        <v/>
      </c>
    </row>
    <row r="41" spans="3:6" ht="11.45" customHeight="1" x14ac:dyDescent="0.2">
      <c r="C41" s="70" t="str">
        <f t="shared" si="2"/>
        <v/>
      </c>
      <c r="D41" s="69" t="str">
        <f t="shared" si="3"/>
        <v/>
      </c>
      <c r="E41" s="69" t="str">
        <f t="shared" si="0"/>
        <v/>
      </c>
      <c r="F41" s="69" t="str">
        <f t="shared" si="1"/>
        <v/>
      </c>
    </row>
    <row r="42" spans="3:6" ht="11.45" customHeight="1" x14ac:dyDescent="0.2">
      <c r="C42" s="70" t="str">
        <f t="shared" si="2"/>
        <v/>
      </c>
      <c r="D42" s="69" t="str">
        <f t="shared" si="3"/>
        <v/>
      </c>
      <c r="E42" s="69" t="str">
        <f t="shared" si="0"/>
        <v/>
      </c>
      <c r="F42" s="69" t="str">
        <f t="shared" si="1"/>
        <v/>
      </c>
    </row>
    <row r="43" spans="3:6" ht="11.45" customHeight="1" x14ac:dyDescent="0.2">
      <c r="C43" s="70" t="str">
        <f t="shared" si="2"/>
        <v/>
      </c>
      <c r="D43" s="69" t="str">
        <f t="shared" si="3"/>
        <v/>
      </c>
      <c r="E43" s="69" t="str">
        <f t="shared" si="0"/>
        <v/>
      </c>
      <c r="F43" s="69" t="str">
        <f t="shared" si="1"/>
        <v/>
      </c>
    </row>
    <row r="44" spans="3:6" ht="11.45" customHeight="1" x14ac:dyDescent="0.2">
      <c r="C44" s="70" t="str">
        <f t="shared" si="2"/>
        <v/>
      </c>
      <c r="D44" s="69" t="str">
        <f t="shared" si="3"/>
        <v/>
      </c>
      <c r="E44" s="69" t="str">
        <f t="shared" si="0"/>
        <v/>
      </c>
      <c r="F44" s="69" t="str">
        <f t="shared" si="1"/>
        <v/>
      </c>
    </row>
    <row r="45" spans="3:6" ht="11.45" customHeight="1" x14ac:dyDescent="0.2">
      <c r="C45" s="70" t="str">
        <f t="shared" si="2"/>
        <v/>
      </c>
      <c r="D45" s="69" t="str">
        <f t="shared" si="3"/>
        <v/>
      </c>
      <c r="E45" s="69" t="str">
        <f t="shared" si="0"/>
        <v/>
      </c>
      <c r="F45" s="69" t="str">
        <f t="shared" si="1"/>
        <v/>
      </c>
    </row>
    <row r="46" spans="3:6" ht="11.45" customHeight="1" x14ac:dyDescent="0.2">
      <c r="C46" s="70" t="str">
        <f t="shared" si="2"/>
        <v/>
      </c>
      <c r="D46" s="69" t="str">
        <f t="shared" si="3"/>
        <v/>
      </c>
      <c r="E46" s="69" t="str">
        <f t="shared" si="0"/>
        <v/>
      </c>
      <c r="F46" s="69" t="str">
        <f t="shared" si="1"/>
        <v/>
      </c>
    </row>
    <row r="47" spans="3:6" ht="11.45" customHeight="1" x14ac:dyDescent="0.2">
      <c r="C47" s="70" t="str">
        <f t="shared" si="2"/>
        <v/>
      </c>
      <c r="D47" s="69" t="str">
        <f t="shared" si="3"/>
        <v/>
      </c>
      <c r="E47" s="69" t="str">
        <f t="shared" si="0"/>
        <v/>
      </c>
      <c r="F47" s="69" t="str">
        <f t="shared" si="1"/>
        <v/>
      </c>
    </row>
    <row r="48" spans="3:6" ht="11.45" customHeight="1" x14ac:dyDescent="0.2">
      <c r="C48" s="70" t="str">
        <f t="shared" si="2"/>
        <v/>
      </c>
      <c r="D48" s="69" t="str">
        <f t="shared" si="3"/>
        <v/>
      </c>
      <c r="E48" s="69" t="str">
        <f t="shared" si="0"/>
        <v/>
      </c>
      <c r="F48" s="69" t="str">
        <f t="shared" si="1"/>
        <v/>
      </c>
    </row>
    <row r="49" spans="3:6" ht="11.45" customHeight="1" x14ac:dyDescent="0.2">
      <c r="C49" s="70" t="str">
        <f t="shared" si="2"/>
        <v/>
      </c>
      <c r="D49" s="69" t="str">
        <f t="shared" si="3"/>
        <v/>
      </c>
      <c r="E49" s="69" t="str">
        <f t="shared" si="0"/>
        <v/>
      </c>
      <c r="F49" s="69" t="str">
        <f t="shared" si="1"/>
        <v/>
      </c>
    </row>
    <row r="50" spans="3:6" ht="11.45" customHeight="1" x14ac:dyDescent="0.2">
      <c r="C50" s="70" t="str">
        <f t="shared" si="2"/>
        <v/>
      </c>
      <c r="D50" s="69" t="str">
        <f t="shared" si="3"/>
        <v/>
      </c>
      <c r="E50" s="69" t="str">
        <f t="shared" si="0"/>
        <v/>
      </c>
      <c r="F50" s="69" t="str">
        <f t="shared" si="1"/>
        <v/>
      </c>
    </row>
    <row r="51" spans="3:6" ht="11.45" customHeight="1" x14ac:dyDescent="0.2">
      <c r="C51" s="70" t="str">
        <f t="shared" si="2"/>
        <v/>
      </c>
      <c r="D51" s="69" t="str">
        <f t="shared" si="3"/>
        <v/>
      </c>
      <c r="E51" s="69" t="str">
        <f t="shared" si="0"/>
        <v/>
      </c>
      <c r="F51" s="69" t="str">
        <f t="shared" si="1"/>
        <v/>
      </c>
    </row>
    <row r="52" spans="3:6" ht="11.45" customHeight="1" x14ac:dyDescent="0.2">
      <c r="C52" s="70" t="str">
        <f t="shared" si="2"/>
        <v/>
      </c>
      <c r="D52" s="69" t="str">
        <f t="shared" si="3"/>
        <v/>
      </c>
      <c r="E52" s="69" t="str">
        <f t="shared" si="0"/>
        <v/>
      </c>
      <c r="F52" s="69" t="str">
        <f t="shared" si="1"/>
        <v/>
      </c>
    </row>
    <row r="53" spans="3:6" ht="11.45" customHeight="1" x14ac:dyDescent="0.2">
      <c r="C53" s="70" t="str">
        <f t="shared" si="2"/>
        <v/>
      </c>
      <c r="D53" s="69" t="str">
        <f t="shared" si="3"/>
        <v/>
      </c>
      <c r="E53" s="69" t="str">
        <f t="shared" si="0"/>
        <v/>
      </c>
      <c r="F53" s="69" t="str">
        <f t="shared" si="1"/>
        <v/>
      </c>
    </row>
    <row r="54" spans="3:6" ht="11.45" customHeight="1" x14ac:dyDescent="0.2">
      <c r="C54" s="70" t="str">
        <f t="shared" si="2"/>
        <v/>
      </c>
      <c r="D54" s="69" t="str">
        <f t="shared" si="3"/>
        <v/>
      </c>
      <c r="E54" s="69" t="str">
        <f t="shared" si="0"/>
        <v/>
      </c>
      <c r="F54" s="69" t="str">
        <f t="shared" si="1"/>
        <v/>
      </c>
    </row>
    <row r="55" spans="3:6" ht="11.45" customHeight="1" x14ac:dyDescent="0.2">
      <c r="C55" s="70" t="str">
        <f t="shared" si="2"/>
        <v/>
      </c>
      <c r="D55" s="69" t="str">
        <f t="shared" si="3"/>
        <v/>
      </c>
      <c r="E55" s="69" t="str">
        <f t="shared" si="0"/>
        <v/>
      </c>
      <c r="F55" s="69" t="str">
        <f t="shared" si="1"/>
        <v/>
      </c>
    </row>
    <row r="56" spans="3:6" ht="11.45" customHeight="1" x14ac:dyDescent="0.2">
      <c r="C56" s="70" t="str">
        <f t="shared" si="2"/>
        <v/>
      </c>
      <c r="D56" s="69" t="str">
        <f t="shared" si="3"/>
        <v/>
      </c>
      <c r="E56" s="69" t="str">
        <f t="shared" si="0"/>
        <v/>
      </c>
      <c r="F56" s="69" t="str">
        <f t="shared" si="1"/>
        <v/>
      </c>
    </row>
    <row r="57" spans="3:6" ht="11.45" customHeight="1" x14ac:dyDescent="0.2">
      <c r="C57" s="70" t="str">
        <f t="shared" si="2"/>
        <v/>
      </c>
      <c r="D57" s="69" t="str">
        <f t="shared" si="3"/>
        <v/>
      </c>
      <c r="E57" s="69" t="str">
        <f t="shared" si="0"/>
        <v/>
      </c>
      <c r="F57" s="69" t="str">
        <f t="shared" si="1"/>
        <v/>
      </c>
    </row>
    <row r="58" spans="3:6" ht="11.45" customHeight="1" x14ac:dyDescent="0.2">
      <c r="C58" s="70" t="str">
        <f t="shared" si="2"/>
        <v/>
      </c>
      <c r="D58" s="69" t="str">
        <f t="shared" si="3"/>
        <v/>
      </c>
      <c r="E58" s="69" t="str">
        <f t="shared" si="0"/>
        <v/>
      </c>
      <c r="F58" s="69" t="str">
        <f t="shared" si="1"/>
        <v/>
      </c>
    </row>
    <row r="59" spans="3:6" ht="11.45" customHeight="1" x14ac:dyDescent="0.2">
      <c r="C59" s="70" t="str">
        <f t="shared" si="2"/>
        <v/>
      </c>
      <c r="D59" s="69" t="str">
        <f t="shared" si="3"/>
        <v/>
      </c>
      <c r="E59" s="69" t="str">
        <f t="shared" si="0"/>
        <v/>
      </c>
      <c r="F59" s="69" t="str">
        <f t="shared" si="1"/>
        <v/>
      </c>
    </row>
    <row r="60" spans="3:6" ht="11.45" customHeight="1" x14ac:dyDescent="0.2">
      <c r="C60" s="70" t="str">
        <f t="shared" si="2"/>
        <v/>
      </c>
      <c r="D60" s="69" t="str">
        <f t="shared" si="3"/>
        <v/>
      </c>
      <c r="E60" s="69" t="str">
        <f t="shared" si="0"/>
        <v/>
      </c>
      <c r="F60" s="69" t="str">
        <f t="shared" si="1"/>
        <v/>
      </c>
    </row>
    <row r="61" spans="3:6" ht="11.45" customHeight="1" x14ac:dyDescent="0.2">
      <c r="C61" s="70" t="str">
        <f t="shared" si="2"/>
        <v/>
      </c>
      <c r="D61" s="69" t="str">
        <f t="shared" si="3"/>
        <v/>
      </c>
      <c r="E61" s="69" t="str">
        <f t="shared" si="0"/>
        <v/>
      </c>
      <c r="F61" s="69" t="str">
        <f t="shared" si="1"/>
        <v/>
      </c>
    </row>
    <row r="62" spans="3:6" ht="11.45" customHeight="1" x14ac:dyDescent="0.2">
      <c r="C62" s="70" t="str">
        <f t="shared" si="2"/>
        <v/>
      </c>
      <c r="D62" s="69" t="str">
        <f t="shared" si="3"/>
        <v/>
      </c>
      <c r="E62" s="69" t="str">
        <f t="shared" si="0"/>
        <v/>
      </c>
      <c r="F62" s="69" t="str">
        <f t="shared" si="1"/>
        <v/>
      </c>
    </row>
    <row r="63" spans="3:6" ht="11.45" customHeight="1" x14ac:dyDescent="0.2">
      <c r="C63" s="70" t="str">
        <f t="shared" si="2"/>
        <v/>
      </c>
      <c r="D63" s="69" t="str">
        <f t="shared" si="3"/>
        <v/>
      </c>
      <c r="E63" s="69" t="str">
        <f t="shared" si="0"/>
        <v/>
      </c>
      <c r="F63" s="69" t="str">
        <f t="shared" si="1"/>
        <v/>
      </c>
    </row>
    <row r="64" spans="3:6" ht="11.45" customHeight="1" x14ac:dyDescent="0.2">
      <c r="C64" s="70" t="str">
        <f t="shared" si="2"/>
        <v/>
      </c>
      <c r="D64" s="69" t="str">
        <f t="shared" si="3"/>
        <v/>
      </c>
      <c r="E64" s="69" t="str">
        <f t="shared" si="0"/>
        <v/>
      </c>
      <c r="F64" s="69" t="str">
        <f t="shared" si="1"/>
        <v/>
      </c>
    </row>
    <row r="65" spans="3:6" ht="11.45" customHeight="1" x14ac:dyDescent="0.2">
      <c r="C65" s="70" t="str">
        <f t="shared" si="2"/>
        <v/>
      </c>
      <c r="D65" s="69" t="str">
        <f t="shared" si="3"/>
        <v/>
      </c>
      <c r="E65" s="69" t="str">
        <f t="shared" si="0"/>
        <v/>
      </c>
      <c r="F65" s="69" t="str">
        <f t="shared" si="1"/>
        <v/>
      </c>
    </row>
    <row r="66" spans="3:6" ht="11.45" customHeight="1" x14ac:dyDescent="0.2">
      <c r="C66" s="70" t="str">
        <f t="shared" si="2"/>
        <v/>
      </c>
      <c r="D66" s="69" t="str">
        <f t="shared" si="3"/>
        <v/>
      </c>
      <c r="E66" s="69" t="str">
        <f t="shared" si="0"/>
        <v/>
      </c>
      <c r="F66" s="69" t="str">
        <f t="shared" si="1"/>
        <v/>
      </c>
    </row>
    <row r="67" spans="3:6" ht="11.45" customHeight="1" x14ac:dyDescent="0.2">
      <c r="C67" s="70" t="str">
        <f t="shared" si="2"/>
        <v/>
      </c>
      <c r="D67" s="69" t="str">
        <f t="shared" si="3"/>
        <v/>
      </c>
      <c r="E67" s="69" t="str">
        <f t="shared" si="0"/>
        <v/>
      </c>
      <c r="F67" s="69" t="str">
        <f t="shared" si="1"/>
        <v/>
      </c>
    </row>
    <row r="68" spans="3:6" ht="11.45" customHeight="1" x14ac:dyDescent="0.2">
      <c r="C68" s="70" t="str">
        <f t="shared" si="2"/>
        <v/>
      </c>
      <c r="D68" s="69" t="str">
        <f t="shared" si="3"/>
        <v/>
      </c>
      <c r="E68" s="69" t="str">
        <f t="shared" si="0"/>
        <v/>
      </c>
      <c r="F68" s="69" t="str">
        <f t="shared" si="1"/>
        <v/>
      </c>
    </row>
    <row r="69" spans="3:6" ht="11.45" customHeight="1" x14ac:dyDescent="0.2">
      <c r="C69" s="70" t="str">
        <f t="shared" si="2"/>
        <v/>
      </c>
      <c r="D69" s="69" t="str">
        <f t="shared" si="3"/>
        <v/>
      </c>
      <c r="E69" s="69" t="str">
        <f t="shared" si="0"/>
        <v/>
      </c>
      <c r="F69" s="69" t="str">
        <f t="shared" si="1"/>
        <v/>
      </c>
    </row>
    <row r="70" spans="3:6" ht="11.45" customHeight="1" x14ac:dyDescent="0.2">
      <c r="C70" s="70" t="str">
        <f t="shared" si="2"/>
        <v/>
      </c>
      <c r="D70" s="69" t="str">
        <f t="shared" si="3"/>
        <v/>
      </c>
      <c r="E70" s="69" t="str">
        <f t="shared" si="0"/>
        <v/>
      </c>
      <c r="F70" s="69" t="str">
        <f t="shared" si="1"/>
        <v/>
      </c>
    </row>
    <row r="71" spans="3:6" ht="11.45" customHeight="1" x14ac:dyDescent="0.2">
      <c r="C71" s="70" t="str">
        <f t="shared" si="2"/>
        <v/>
      </c>
      <c r="D71" s="69" t="str">
        <f t="shared" si="3"/>
        <v/>
      </c>
      <c r="E71" s="69" t="str">
        <f t="shared" si="0"/>
        <v/>
      </c>
      <c r="F71" s="69" t="str">
        <f t="shared" si="1"/>
        <v/>
      </c>
    </row>
    <row r="72" spans="3:6" ht="11.45" customHeight="1" x14ac:dyDescent="0.2">
      <c r="C72" s="70" t="str">
        <f t="shared" si="2"/>
        <v/>
      </c>
      <c r="D72" s="69" t="str">
        <f t="shared" si="3"/>
        <v/>
      </c>
      <c r="E72" s="69" t="str">
        <f t="shared" si="0"/>
        <v/>
      </c>
      <c r="F72" s="69" t="str">
        <f t="shared" si="1"/>
        <v/>
      </c>
    </row>
    <row r="73" spans="3:6" ht="11.45" customHeight="1" x14ac:dyDescent="0.2">
      <c r="C73" s="70" t="str">
        <f t="shared" si="2"/>
        <v/>
      </c>
      <c r="D73" s="69" t="str">
        <f t="shared" si="3"/>
        <v/>
      </c>
      <c r="E73" s="69" t="str">
        <f t="shared" si="0"/>
        <v/>
      </c>
      <c r="F73" s="69" t="str">
        <f t="shared" si="1"/>
        <v/>
      </c>
    </row>
    <row r="74" spans="3:6" ht="11.45" customHeight="1" x14ac:dyDescent="0.2">
      <c r="C74" s="70" t="str">
        <f t="shared" si="2"/>
        <v/>
      </c>
      <c r="D74" s="69" t="str">
        <f t="shared" si="3"/>
        <v/>
      </c>
      <c r="E74" s="69" t="str">
        <f t="shared" si="0"/>
        <v/>
      </c>
      <c r="F74" s="69" t="str">
        <f t="shared" si="1"/>
        <v/>
      </c>
    </row>
    <row r="75" spans="3:6" ht="11.45" customHeight="1" x14ac:dyDescent="0.2">
      <c r="C75" s="70" t="str">
        <f t="shared" si="2"/>
        <v/>
      </c>
      <c r="D75" s="69" t="str">
        <f t="shared" si="3"/>
        <v/>
      </c>
      <c r="E75" s="69" t="str">
        <f t="shared" si="0"/>
        <v/>
      </c>
      <c r="F75" s="69" t="str">
        <f t="shared" si="1"/>
        <v/>
      </c>
    </row>
    <row r="76" spans="3:6" ht="11.45" customHeight="1" x14ac:dyDescent="0.2">
      <c r="C76" s="70" t="str">
        <f t="shared" si="2"/>
        <v/>
      </c>
      <c r="D76" s="69" t="str">
        <f t="shared" si="3"/>
        <v/>
      </c>
      <c r="E76" s="69" t="str">
        <f t="shared" si="0"/>
        <v/>
      </c>
      <c r="F76" s="69" t="str">
        <f t="shared" si="1"/>
        <v/>
      </c>
    </row>
    <row r="77" spans="3:6" ht="11.45" customHeight="1" x14ac:dyDescent="0.2">
      <c r="C77" s="70" t="str">
        <f t="shared" si="2"/>
        <v/>
      </c>
      <c r="D77" s="69" t="str">
        <f t="shared" si="3"/>
        <v/>
      </c>
      <c r="E77" s="69" t="str">
        <f t="shared" si="0"/>
        <v/>
      </c>
      <c r="F77" s="69" t="str">
        <f t="shared" si="1"/>
        <v/>
      </c>
    </row>
    <row r="78" spans="3:6" ht="11.45" customHeight="1" x14ac:dyDescent="0.2">
      <c r="C78" s="70" t="str">
        <f t="shared" si="2"/>
        <v/>
      </c>
      <c r="D78" s="69" t="str">
        <f t="shared" si="3"/>
        <v/>
      </c>
      <c r="E78" s="69" t="str">
        <f t="shared" si="0"/>
        <v/>
      </c>
      <c r="F78" s="69" t="str">
        <f t="shared" si="1"/>
        <v/>
      </c>
    </row>
    <row r="79" spans="3:6" ht="11.45" customHeight="1" x14ac:dyDescent="0.2">
      <c r="C79" s="70" t="str">
        <f t="shared" si="2"/>
        <v/>
      </c>
      <c r="D79" s="69" t="str">
        <f t="shared" si="3"/>
        <v/>
      </c>
      <c r="E79" s="69" t="str">
        <f t="shared" si="0"/>
        <v/>
      </c>
      <c r="F79" s="69" t="str">
        <f t="shared" si="1"/>
        <v/>
      </c>
    </row>
    <row r="80" spans="3:6" ht="11.45" customHeight="1" x14ac:dyDescent="0.2">
      <c r="C80" s="70" t="str">
        <f t="shared" si="2"/>
        <v/>
      </c>
      <c r="D80" s="69" t="str">
        <f t="shared" si="3"/>
        <v/>
      </c>
      <c r="E80" s="69" t="str">
        <f t="shared" si="0"/>
        <v/>
      </c>
      <c r="F80" s="69" t="str">
        <f t="shared" si="1"/>
        <v/>
      </c>
    </row>
    <row r="81" spans="3:6" ht="11.45" customHeight="1" x14ac:dyDescent="0.2">
      <c r="C81" s="70" t="str">
        <f t="shared" si="2"/>
        <v/>
      </c>
      <c r="D81" s="69" t="str">
        <f t="shared" si="3"/>
        <v/>
      </c>
      <c r="E81" s="69" t="str">
        <f t="shared" si="0"/>
        <v/>
      </c>
      <c r="F81" s="69" t="str">
        <f t="shared" si="1"/>
        <v/>
      </c>
    </row>
    <row r="82" spans="3:6" ht="11.45" customHeight="1" x14ac:dyDescent="0.2">
      <c r="C82" s="70" t="str">
        <f t="shared" si="2"/>
        <v/>
      </c>
      <c r="D82" s="69" t="str">
        <f t="shared" si="3"/>
        <v/>
      </c>
      <c r="E82" s="69" t="str">
        <f t="shared" si="0"/>
        <v/>
      </c>
      <c r="F82" s="69" t="str">
        <f t="shared" si="1"/>
        <v/>
      </c>
    </row>
    <row r="83" spans="3:6" ht="11.45" customHeight="1" x14ac:dyDescent="0.2">
      <c r="C83" s="70" t="str">
        <f t="shared" si="2"/>
        <v/>
      </c>
      <c r="D83" s="69" t="str">
        <f t="shared" si="3"/>
        <v/>
      </c>
      <c r="E83" s="69" t="str">
        <f t="shared" si="0"/>
        <v/>
      </c>
      <c r="F83" s="69" t="str">
        <f t="shared" si="1"/>
        <v/>
      </c>
    </row>
    <row r="84" spans="3:6" ht="11.45" customHeight="1" x14ac:dyDescent="0.2">
      <c r="C84" s="70" t="str">
        <f t="shared" si="2"/>
        <v/>
      </c>
      <c r="D84" s="69" t="str">
        <f t="shared" si="3"/>
        <v/>
      </c>
      <c r="E84" s="69" t="str">
        <f t="shared" si="0"/>
        <v/>
      </c>
      <c r="F84" s="69" t="str">
        <f t="shared" si="1"/>
        <v/>
      </c>
    </row>
    <row r="85" spans="3:6" ht="11.45" customHeight="1" x14ac:dyDescent="0.2">
      <c r="C85" s="70" t="str">
        <f t="shared" si="2"/>
        <v/>
      </c>
      <c r="D85" s="69" t="str">
        <f t="shared" si="3"/>
        <v/>
      </c>
      <c r="E85" s="69" t="str">
        <f t="shared" si="0"/>
        <v/>
      </c>
      <c r="F85" s="69" t="str">
        <f t="shared" si="1"/>
        <v/>
      </c>
    </row>
    <row r="86" spans="3:6" ht="11.45" customHeight="1" x14ac:dyDescent="0.2">
      <c r="C86" s="70" t="str">
        <f t="shared" si="2"/>
        <v/>
      </c>
      <c r="D86" s="69" t="str">
        <f t="shared" si="3"/>
        <v/>
      </c>
      <c r="E86" s="69" t="str">
        <f t="shared" si="0"/>
        <v/>
      </c>
      <c r="F86" s="69" t="str">
        <f t="shared" si="1"/>
        <v/>
      </c>
    </row>
    <row r="87" spans="3:6" ht="11.45" customHeight="1" x14ac:dyDescent="0.2">
      <c r="C87" s="70" t="str">
        <f t="shared" si="2"/>
        <v/>
      </c>
      <c r="D87" s="69" t="str">
        <f t="shared" si="3"/>
        <v/>
      </c>
      <c r="E87" s="69" t="str">
        <f t="shared" si="0"/>
        <v/>
      </c>
      <c r="F87" s="69" t="str">
        <f t="shared" si="1"/>
        <v/>
      </c>
    </row>
    <row r="88" spans="3:6" ht="11.45" customHeight="1" x14ac:dyDescent="0.2">
      <c r="C88" s="70" t="str">
        <f t="shared" si="2"/>
        <v/>
      </c>
      <c r="D88" s="69" t="str">
        <f t="shared" si="3"/>
        <v/>
      </c>
      <c r="E88" s="69" t="str">
        <f t="shared" si="0"/>
        <v/>
      </c>
      <c r="F88" s="69" t="str">
        <f t="shared" si="1"/>
        <v/>
      </c>
    </row>
    <row r="89" spans="3:6" ht="11.45" customHeight="1" x14ac:dyDescent="0.2">
      <c r="C89" s="70" t="str">
        <f t="shared" si="2"/>
        <v/>
      </c>
      <c r="D89" s="69" t="str">
        <f t="shared" si="3"/>
        <v/>
      </c>
      <c r="E89" s="69" t="str">
        <f t="shared" si="0"/>
        <v/>
      </c>
      <c r="F89" s="69" t="str">
        <f t="shared" si="1"/>
        <v/>
      </c>
    </row>
    <row r="90" spans="3:6" ht="11.45" customHeight="1" x14ac:dyDescent="0.2">
      <c r="C90" s="70" t="str">
        <f t="shared" si="2"/>
        <v/>
      </c>
      <c r="D90" s="69" t="str">
        <f t="shared" si="3"/>
        <v/>
      </c>
      <c r="E90" s="69" t="str">
        <f t="shared" si="0"/>
        <v/>
      </c>
      <c r="F90" s="69" t="str">
        <f t="shared" si="1"/>
        <v/>
      </c>
    </row>
    <row r="91" spans="3:6" ht="11.45" customHeight="1" x14ac:dyDescent="0.2">
      <c r="C91" s="70" t="str">
        <f t="shared" si="2"/>
        <v/>
      </c>
      <c r="D91" s="69" t="str">
        <f t="shared" si="3"/>
        <v/>
      </c>
      <c r="E91" s="69" t="str">
        <f t="shared" ref="E91:E154" si="4">IF(B91="","",J90)</f>
        <v/>
      </c>
      <c r="F91" s="69" t="str">
        <f t="shared" ref="F91:F154" si="5">IF(B91="","",$C$15)</f>
        <v/>
      </c>
    </row>
    <row r="92" spans="3:6" ht="11.45" customHeight="1" x14ac:dyDescent="0.2">
      <c r="C92" s="70" t="str">
        <f t="shared" ref="C92:C150" si="6">IF($F$10="","",IF(B92&gt;$F$10,"",IF($F$13="Monthly",DATE(YEAR(C91),MONTH(C91)+1,DAY(C91)),IF($F$13="Quarterly",DATE(YEAR(C91),MONTH(C91)+3,DAY(C91)),IF($F$13="Semi-Annually",DATE(YEAR(C91),MONTH(C91)+6,DAY(C91)),IF($F$13="Annually",DATE(YEAR(C91)+1,MONTH(C91),DAY(C91))))))))</f>
        <v/>
      </c>
      <c r="D92" s="69" t="str">
        <f t="shared" ref="D92:D155" si="7">IF(B92="","",C92-C91)</f>
        <v/>
      </c>
      <c r="E92" s="69" t="str">
        <f t="shared" si="4"/>
        <v/>
      </c>
      <c r="F92" s="69" t="str">
        <f t="shared" si="5"/>
        <v/>
      </c>
    </row>
    <row r="93" spans="3:6" ht="11.45" customHeight="1" x14ac:dyDescent="0.2">
      <c r="C93" s="70" t="str">
        <f t="shared" si="6"/>
        <v/>
      </c>
      <c r="D93" s="69" t="str">
        <f t="shared" si="7"/>
        <v/>
      </c>
      <c r="E93" s="69" t="str">
        <f t="shared" si="4"/>
        <v/>
      </c>
      <c r="F93" s="69" t="str">
        <f t="shared" si="5"/>
        <v/>
      </c>
    </row>
    <row r="94" spans="3:6" ht="11.45" customHeight="1" x14ac:dyDescent="0.2">
      <c r="C94" s="70" t="str">
        <f t="shared" si="6"/>
        <v/>
      </c>
      <c r="D94" s="69" t="str">
        <f t="shared" si="7"/>
        <v/>
      </c>
      <c r="E94" s="69" t="str">
        <f t="shared" si="4"/>
        <v/>
      </c>
      <c r="F94" s="69" t="str">
        <f t="shared" si="5"/>
        <v/>
      </c>
    </row>
    <row r="95" spans="3:6" ht="11.45" customHeight="1" x14ac:dyDescent="0.2">
      <c r="C95" s="70" t="str">
        <f t="shared" si="6"/>
        <v/>
      </c>
      <c r="D95" s="69" t="str">
        <f t="shared" si="7"/>
        <v/>
      </c>
      <c r="E95" s="69" t="str">
        <f t="shared" si="4"/>
        <v/>
      </c>
      <c r="F95" s="69" t="str">
        <f t="shared" si="5"/>
        <v/>
      </c>
    </row>
    <row r="96" spans="3:6" ht="11.45" customHeight="1" x14ac:dyDescent="0.2">
      <c r="C96" s="70" t="str">
        <f t="shared" si="6"/>
        <v/>
      </c>
      <c r="D96" s="69" t="str">
        <f t="shared" si="7"/>
        <v/>
      </c>
      <c r="E96" s="69" t="str">
        <f t="shared" si="4"/>
        <v/>
      </c>
      <c r="F96" s="69" t="str">
        <f t="shared" si="5"/>
        <v/>
      </c>
    </row>
    <row r="97" spans="3:6" ht="11.45" customHeight="1" x14ac:dyDescent="0.2">
      <c r="C97" s="70" t="str">
        <f t="shared" si="6"/>
        <v/>
      </c>
      <c r="D97" s="69" t="str">
        <f t="shared" si="7"/>
        <v/>
      </c>
      <c r="E97" s="69" t="str">
        <f t="shared" si="4"/>
        <v/>
      </c>
      <c r="F97" s="69" t="str">
        <f t="shared" si="5"/>
        <v/>
      </c>
    </row>
    <row r="98" spans="3:6" ht="11.45" customHeight="1" x14ac:dyDescent="0.2">
      <c r="C98" s="70" t="str">
        <f t="shared" si="6"/>
        <v/>
      </c>
      <c r="D98" s="69" t="str">
        <f t="shared" si="7"/>
        <v/>
      </c>
      <c r="E98" s="69" t="str">
        <f t="shared" si="4"/>
        <v/>
      </c>
      <c r="F98" s="69" t="str">
        <f t="shared" si="5"/>
        <v/>
      </c>
    </row>
    <row r="99" spans="3:6" ht="11.45" customHeight="1" x14ac:dyDescent="0.2">
      <c r="C99" s="70" t="str">
        <f t="shared" si="6"/>
        <v/>
      </c>
      <c r="D99" s="69" t="str">
        <f t="shared" si="7"/>
        <v/>
      </c>
      <c r="E99" s="69" t="str">
        <f t="shared" si="4"/>
        <v/>
      </c>
      <c r="F99" s="69" t="str">
        <f t="shared" si="5"/>
        <v/>
      </c>
    </row>
    <row r="100" spans="3:6" ht="11.45" customHeight="1" x14ac:dyDescent="0.2">
      <c r="C100" s="70" t="str">
        <f t="shared" si="6"/>
        <v/>
      </c>
      <c r="D100" s="69" t="str">
        <f t="shared" si="7"/>
        <v/>
      </c>
      <c r="E100" s="69" t="str">
        <f t="shared" si="4"/>
        <v/>
      </c>
      <c r="F100" s="69" t="str">
        <f t="shared" si="5"/>
        <v/>
      </c>
    </row>
    <row r="101" spans="3:6" ht="11.45" customHeight="1" x14ac:dyDescent="0.2">
      <c r="C101" s="70" t="str">
        <f t="shared" si="6"/>
        <v/>
      </c>
      <c r="D101" s="69" t="str">
        <f t="shared" si="7"/>
        <v/>
      </c>
      <c r="E101" s="69" t="str">
        <f t="shared" si="4"/>
        <v/>
      </c>
      <c r="F101" s="69" t="str">
        <f t="shared" si="5"/>
        <v/>
      </c>
    </row>
    <row r="102" spans="3:6" ht="11.45" customHeight="1" x14ac:dyDescent="0.2">
      <c r="C102" s="70" t="str">
        <f t="shared" si="6"/>
        <v/>
      </c>
      <c r="D102" s="69" t="str">
        <f t="shared" si="7"/>
        <v/>
      </c>
      <c r="E102" s="69" t="str">
        <f t="shared" si="4"/>
        <v/>
      </c>
      <c r="F102" s="69" t="str">
        <f t="shared" si="5"/>
        <v/>
      </c>
    </row>
    <row r="103" spans="3:6" ht="11.45" customHeight="1" x14ac:dyDescent="0.2">
      <c r="C103" s="70" t="str">
        <f t="shared" si="6"/>
        <v/>
      </c>
      <c r="D103" s="69" t="str">
        <f t="shared" si="7"/>
        <v/>
      </c>
      <c r="E103" s="69" t="str">
        <f t="shared" si="4"/>
        <v/>
      </c>
      <c r="F103" s="69" t="str">
        <f t="shared" si="5"/>
        <v/>
      </c>
    </row>
    <row r="104" spans="3:6" ht="11.45" customHeight="1" x14ac:dyDescent="0.2">
      <c r="C104" s="70" t="str">
        <f t="shared" si="6"/>
        <v/>
      </c>
      <c r="D104" s="69" t="str">
        <f t="shared" si="7"/>
        <v/>
      </c>
      <c r="E104" s="69" t="str">
        <f t="shared" si="4"/>
        <v/>
      </c>
      <c r="F104" s="69" t="str">
        <f t="shared" si="5"/>
        <v/>
      </c>
    </row>
    <row r="105" spans="3:6" ht="11.45" customHeight="1" x14ac:dyDescent="0.2">
      <c r="C105" s="70" t="str">
        <f t="shared" si="6"/>
        <v/>
      </c>
      <c r="D105" s="69" t="str">
        <f t="shared" si="7"/>
        <v/>
      </c>
      <c r="E105" s="69" t="str">
        <f t="shared" si="4"/>
        <v/>
      </c>
      <c r="F105" s="69" t="str">
        <f t="shared" si="5"/>
        <v/>
      </c>
    </row>
    <row r="106" spans="3:6" ht="11.45" customHeight="1" x14ac:dyDescent="0.2">
      <c r="C106" s="70" t="str">
        <f t="shared" si="6"/>
        <v/>
      </c>
      <c r="D106" s="69" t="str">
        <f t="shared" si="7"/>
        <v/>
      </c>
      <c r="E106" s="69" t="str">
        <f t="shared" si="4"/>
        <v/>
      </c>
      <c r="F106" s="69" t="str">
        <f t="shared" si="5"/>
        <v/>
      </c>
    </row>
    <row r="107" spans="3:6" ht="11.45" customHeight="1" x14ac:dyDescent="0.2">
      <c r="C107" s="70" t="str">
        <f t="shared" si="6"/>
        <v/>
      </c>
      <c r="D107" s="69" t="str">
        <f t="shared" si="7"/>
        <v/>
      </c>
      <c r="E107" s="69" t="str">
        <f t="shared" si="4"/>
        <v/>
      </c>
      <c r="F107" s="69" t="str">
        <f t="shared" si="5"/>
        <v/>
      </c>
    </row>
    <row r="108" spans="3:6" ht="11.45" customHeight="1" x14ac:dyDescent="0.2">
      <c r="C108" s="70" t="str">
        <f t="shared" si="6"/>
        <v/>
      </c>
      <c r="D108" s="69" t="str">
        <f t="shared" si="7"/>
        <v/>
      </c>
      <c r="E108" s="69" t="str">
        <f t="shared" si="4"/>
        <v/>
      </c>
      <c r="F108" s="69" t="str">
        <f t="shared" si="5"/>
        <v/>
      </c>
    </row>
    <row r="109" spans="3:6" ht="11.45" customHeight="1" x14ac:dyDescent="0.2">
      <c r="C109" s="70" t="str">
        <f t="shared" si="6"/>
        <v/>
      </c>
      <c r="D109" s="69" t="str">
        <f t="shared" si="7"/>
        <v/>
      </c>
      <c r="E109" s="69" t="str">
        <f t="shared" si="4"/>
        <v/>
      </c>
      <c r="F109" s="69" t="str">
        <f t="shared" si="5"/>
        <v/>
      </c>
    </row>
    <row r="110" spans="3:6" ht="11.45" customHeight="1" x14ac:dyDescent="0.2">
      <c r="C110" s="70" t="str">
        <f t="shared" si="6"/>
        <v/>
      </c>
      <c r="D110" s="69" t="str">
        <f t="shared" si="7"/>
        <v/>
      </c>
      <c r="E110" s="69" t="str">
        <f t="shared" si="4"/>
        <v/>
      </c>
      <c r="F110" s="69" t="str">
        <f t="shared" si="5"/>
        <v/>
      </c>
    </row>
    <row r="111" spans="3:6" ht="11.45" customHeight="1" x14ac:dyDescent="0.2">
      <c r="C111" s="70" t="str">
        <f t="shared" si="6"/>
        <v/>
      </c>
      <c r="D111" s="69" t="str">
        <f t="shared" si="7"/>
        <v/>
      </c>
      <c r="E111" s="69" t="str">
        <f t="shared" si="4"/>
        <v/>
      </c>
      <c r="F111" s="69" t="str">
        <f t="shared" si="5"/>
        <v/>
      </c>
    </row>
    <row r="112" spans="3:6" ht="11.45" customHeight="1" x14ac:dyDescent="0.2">
      <c r="C112" s="70" t="str">
        <f t="shared" si="6"/>
        <v/>
      </c>
      <c r="D112" s="69" t="str">
        <f t="shared" si="7"/>
        <v/>
      </c>
      <c r="E112" s="69" t="str">
        <f t="shared" si="4"/>
        <v/>
      </c>
      <c r="F112" s="69" t="str">
        <f t="shared" si="5"/>
        <v/>
      </c>
    </row>
    <row r="113" spans="3:6" ht="11.45" customHeight="1" x14ac:dyDescent="0.2">
      <c r="C113" s="70" t="str">
        <f t="shared" si="6"/>
        <v/>
      </c>
      <c r="D113" s="69" t="str">
        <f t="shared" si="7"/>
        <v/>
      </c>
      <c r="E113" s="69" t="str">
        <f t="shared" si="4"/>
        <v/>
      </c>
      <c r="F113" s="69" t="str">
        <f t="shared" si="5"/>
        <v/>
      </c>
    </row>
    <row r="114" spans="3:6" ht="11.45" customHeight="1" x14ac:dyDescent="0.2">
      <c r="C114" s="70" t="str">
        <f t="shared" si="6"/>
        <v/>
      </c>
      <c r="D114" s="69" t="str">
        <f t="shared" si="7"/>
        <v/>
      </c>
      <c r="E114" s="69" t="str">
        <f t="shared" si="4"/>
        <v/>
      </c>
      <c r="F114" s="69" t="str">
        <f t="shared" si="5"/>
        <v/>
      </c>
    </row>
    <row r="115" spans="3:6" ht="11.45" customHeight="1" x14ac:dyDescent="0.2">
      <c r="C115" s="70" t="str">
        <f t="shared" si="6"/>
        <v/>
      </c>
      <c r="D115" s="69" t="str">
        <f t="shared" si="7"/>
        <v/>
      </c>
      <c r="E115" s="69" t="str">
        <f t="shared" si="4"/>
        <v/>
      </c>
      <c r="F115" s="69" t="str">
        <f t="shared" si="5"/>
        <v/>
      </c>
    </row>
    <row r="116" spans="3:6" ht="11.45" customHeight="1" x14ac:dyDescent="0.2">
      <c r="C116" s="70" t="str">
        <f t="shared" si="6"/>
        <v/>
      </c>
      <c r="D116" s="69" t="str">
        <f t="shared" si="7"/>
        <v/>
      </c>
      <c r="E116" s="69" t="str">
        <f t="shared" si="4"/>
        <v/>
      </c>
      <c r="F116" s="69" t="str">
        <f t="shared" si="5"/>
        <v/>
      </c>
    </row>
    <row r="117" spans="3:6" ht="11.45" customHeight="1" x14ac:dyDescent="0.2">
      <c r="C117" s="70" t="str">
        <f t="shared" si="6"/>
        <v/>
      </c>
      <c r="D117" s="69" t="str">
        <f t="shared" si="7"/>
        <v/>
      </c>
      <c r="E117" s="69" t="str">
        <f t="shared" si="4"/>
        <v/>
      </c>
      <c r="F117" s="69" t="str">
        <f t="shared" si="5"/>
        <v/>
      </c>
    </row>
    <row r="118" spans="3:6" ht="11.45" customHeight="1" x14ac:dyDescent="0.2">
      <c r="C118" s="70" t="str">
        <f t="shared" si="6"/>
        <v/>
      </c>
      <c r="D118" s="69" t="str">
        <f t="shared" si="7"/>
        <v/>
      </c>
      <c r="E118" s="69" t="str">
        <f t="shared" si="4"/>
        <v/>
      </c>
      <c r="F118" s="69" t="str">
        <f t="shared" si="5"/>
        <v/>
      </c>
    </row>
    <row r="119" spans="3:6" ht="11.45" customHeight="1" x14ac:dyDescent="0.2">
      <c r="C119" s="70" t="str">
        <f t="shared" si="6"/>
        <v/>
      </c>
      <c r="D119" s="69" t="str">
        <f t="shared" si="7"/>
        <v/>
      </c>
      <c r="E119" s="69" t="str">
        <f t="shared" si="4"/>
        <v/>
      </c>
      <c r="F119" s="69" t="str">
        <f t="shared" si="5"/>
        <v/>
      </c>
    </row>
    <row r="120" spans="3:6" ht="11.45" customHeight="1" x14ac:dyDescent="0.2">
      <c r="C120" s="70" t="str">
        <f t="shared" si="6"/>
        <v/>
      </c>
      <c r="D120" s="69" t="str">
        <f t="shared" si="7"/>
        <v/>
      </c>
      <c r="E120" s="69" t="str">
        <f t="shared" si="4"/>
        <v/>
      </c>
      <c r="F120" s="69" t="str">
        <f t="shared" si="5"/>
        <v/>
      </c>
    </row>
    <row r="121" spans="3:6" ht="11.45" customHeight="1" x14ac:dyDescent="0.2">
      <c r="C121" s="70" t="str">
        <f t="shared" si="6"/>
        <v/>
      </c>
      <c r="D121" s="69" t="str">
        <f t="shared" si="7"/>
        <v/>
      </c>
      <c r="E121" s="69" t="str">
        <f t="shared" si="4"/>
        <v/>
      </c>
      <c r="F121" s="69" t="str">
        <f t="shared" si="5"/>
        <v/>
      </c>
    </row>
    <row r="122" spans="3:6" ht="11.45" customHeight="1" x14ac:dyDescent="0.2">
      <c r="C122" s="70" t="str">
        <f t="shared" si="6"/>
        <v/>
      </c>
      <c r="D122" s="69" t="str">
        <f t="shared" si="7"/>
        <v/>
      </c>
      <c r="E122" s="69" t="str">
        <f t="shared" si="4"/>
        <v/>
      </c>
      <c r="F122" s="69" t="str">
        <f t="shared" si="5"/>
        <v/>
      </c>
    </row>
    <row r="123" spans="3:6" ht="11.45" customHeight="1" x14ac:dyDescent="0.2">
      <c r="C123" s="70" t="str">
        <f t="shared" si="6"/>
        <v/>
      </c>
      <c r="D123" s="69" t="str">
        <f t="shared" si="7"/>
        <v/>
      </c>
      <c r="E123" s="69" t="str">
        <f t="shared" si="4"/>
        <v/>
      </c>
      <c r="F123" s="69" t="str">
        <f t="shared" si="5"/>
        <v/>
      </c>
    </row>
    <row r="124" spans="3:6" ht="11.45" customHeight="1" x14ac:dyDescent="0.2">
      <c r="C124" s="70" t="str">
        <f t="shared" si="6"/>
        <v/>
      </c>
      <c r="D124" s="69" t="str">
        <f t="shared" si="7"/>
        <v/>
      </c>
      <c r="E124" s="69" t="str">
        <f t="shared" si="4"/>
        <v/>
      </c>
      <c r="F124" s="69" t="str">
        <f t="shared" si="5"/>
        <v/>
      </c>
    </row>
    <row r="125" spans="3:6" ht="11.45" customHeight="1" x14ac:dyDescent="0.2">
      <c r="C125" s="70" t="str">
        <f t="shared" si="6"/>
        <v/>
      </c>
      <c r="D125" s="69" t="str">
        <f t="shared" si="7"/>
        <v/>
      </c>
      <c r="E125" s="69" t="str">
        <f t="shared" si="4"/>
        <v/>
      </c>
      <c r="F125" s="69" t="str">
        <f t="shared" si="5"/>
        <v/>
      </c>
    </row>
    <row r="126" spans="3:6" ht="11.45" customHeight="1" x14ac:dyDescent="0.2">
      <c r="C126" s="70" t="str">
        <f t="shared" si="6"/>
        <v/>
      </c>
      <c r="D126" s="69" t="str">
        <f t="shared" si="7"/>
        <v/>
      </c>
      <c r="E126" s="69" t="str">
        <f t="shared" si="4"/>
        <v/>
      </c>
      <c r="F126" s="69" t="str">
        <f t="shared" si="5"/>
        <v/>
      </c>
    </row>
    <row r="127" spans="3:6" ht="11.45" customHeight="1" x14ac:dyDescent="0.2">
      <c r="C127" s="70" t="str">
        <f t="shared" si="6"/>
        <v/>
      </c>
      <c r="D127" s="69" t="str">
        <f t="shared" si="7"/>
        <v/>
      </c>
      <c r="E127" s="69" t="str">
        <f t="shared" si="4"/>
        <v/>
      </c>
      <c r="F127" s="69" t="str">
        <f t="shared" si="5"/>
        <v/>
      </c>
    </row>
    <row r="128" spans="3:6" ht="11.45" customHeight="1" x14ac:dyDescent="0.2">
      <c r="C128" s="70" t="str">
        <f t="shared" si="6"/>
        <v/>
      </c>
      <c r="D128" s="69" t="str">
        <f t="shared" si="7"/>
        <v/>
      </c>
      <c r="E128" s="69" t="str">
        <f t="shared" si="4"/>
        <v/>
      </c>
      <c r="F128" s="69" t="str">
        <f t="shared" si="5"/>
        <v/>
      </c>
    </row>
    <row r="129" spans="3:6" ht="11.45" customHeight="1" x14ac:dyDescent="0.2">
      <c r="C129" s="70" t="str">
        <f t="shared" si="6"/>
        <v/>
      </c>
      <c r="D129" s="69" t="str">
        <f t="shared" si="7"/>
        <v/>
      </c>
      <c r="E129" s="69" t="str">
        <f t="shared" si="4"/>
        <v/>
      </c>
      <c r="F129" s="69" t="str">
        <f t="shared" si="5"/>
        <v/>
      </c>
    </row>
    <row r="130" spans="3:6" ht="11.45" customHeight="1" x14ac:dyDescent="0.2">
      <c r="C130" s="70" t="str">
        <f t="shared" si="6"/>
        <v/>
      </c>
      <c r="D130" s="69" t="str">
        <f t="shared" si="7"/>
        <v/>
      </c>
      <c r="E130" s="69" t="str">
        <f t="shared" si="4"/>
        <v/>
      </c>
      <c r="F130" s="69" t="str">
        <f t="shared" si="5"/>
        <v/>
      </c>
    </row>
    <row r="131" spans="3:6" ht="11.45" customHeight="1" x14ac:dyDescent="0.2">
      <c r="C131" s="70" t="str">
        <f t="shared" si="6"/>
        <v/>
      </c>
      <c r="D131" s="69" t="str">
        <f t="shared" si="7"/>
        <v/>
      </c>
      <c r="E131" s="69" t="str">
        <f t="shared" si="4"/>
        <v/>
      </c>
      <c r="F131" s="69" t="str">
        <f t="shared" si="5"/>
        <v/>
      </c>
    </row>
    <row r="132" spans="3:6" ht="11.45" customHeight="1" x14ac:dyDescent="0.2">
      <c r="C132" s="70" t="str">
        <f t="shared" si="6"/>
        <v/>
      </c>
      <c r="D132" s="69" t="str">
        <f t="shared" si="7"/>
        <v/>
      </c>
      <c r="E132" s="69" t="str">
        <f t="shared" si="4"/>
        <v/>
      </c>
      <c r="F132" s="69" t="str">
        <f t="shared" si="5"/>
        <v/>
      </c>
    </row>
    <row r="133" spans="3:6" ht="11.45" customHeight="1" x14ac:dyDescent="0.2">
      <c r="C133" s="70" t="str">
        <f t="shared" si="6"/>
        <v/>
      </c>
      <c r="D133" s="69" t="str">
        <f t="shared" si="7"/>
        <v/>
      </c>
      <c r="E133" s="69" t="str">
        <f t="shared" si="4"/>
        <v/>
      </c>
      <c r="F133" s="69" t="str">
        <f t="shared" si="5"/>
        <v/>
      </c>
    </row>
    <row r="134" spans="3:6" ht="11.45" customHeight="1" x14ac:dyDescent="0.2">
      <c r="C134" s="70" t="str">
        <f t="shared" si="6"/>
        <v/>
      </c>
      <c r="D134" s="69" t="str">
        <f t="shared" si="7"/>
        <v/>
      </c>
      <c r="E134" s="69" t="str">
        <f t="shared" si="4"/>
        <v/>
      </c>
      <c r="F134" s="69" t="str">
        <f t="shared" si="5"/>
        <v/>
      </c>
    </row>
    <row r="135" spans="3:6" ht="11.45" customHeight="1" x14ac:dyDescent="0.2">
      <c r="C135" s="70" t="str">
        <f t="shared" si="6"/>
        <v/>
      </c>
      <c r="D135" s="69" t="str">
        <f t="shared" si="7"/>
        <v/>
      </c>
      <c r="E135" s="69" t="str">
        <f t="shared" si="4"/>
        <v/>
      </c>
      <c r="F135" s="69" t="str">
        <f t="shared" si="5"/>
        <v/>
      </c>
    </row>
    <row r="136" spans="3:6" ht="11.45" customHeight="1" x14ac:dyDescent="0.2">
      <c r="C136" s="70" t="str">
        <f t="shared" si="6"/>
        <v/>
      </c>
      <c r="D136" s="69" t="str">
        <f t="shared" si="7"/>
        <v/>
      </c>
      <c r="E136" s="69" t="str">
        <f t="shared" si="4"/>
        <v/>
      </c>
      <c r="F136" s="69" t="str">
        <f t="shared" si="5"/>
        <v/>
      </c>
    </row>
    <row r="137" spans="3:6" ht="11.45" customHeight="1" x14ac:dyDescent="0.2">
      <c r="C137" s="70" t="str">
        <f t="shared" si="6"/>
        <v/>
      </c>
      <c r="D137" s="69" t="str">
        <f t="shared" si="7"/>
        <v/>
      </c>
      <c r="E137" s="69" t="str">
        <f t="shared" si="4"/>
        <v/>
      </c>
      <c r="F137" s="69" t="str">
        <f t="shared" si="5"/>
        <v/>
      </c>
    </row>
    <row r="138" spans="3:6" ht="11.45" customHeight="1" x14ac:dyDescent="0.2">
      <c r="C138" s="70" t="str">
        <f t="shared" si="6"/>
        <v/>
      </c>
      <c r="D138" s="69" t="str">
        <f t="shared" si="7"/>
        <v/>
      </c>
      <c r="E138" s="69" t="str">
        <f t="shared" si="4"/>
        <v/>
      </c>
      <c r="F138" s="69" t="str">
        <f t="shared" si="5"/>
        <v/>
      </c>
    </row>
    <row r="139" spans="3:6" ht="11.45" customHeight="1" x14ac:dyDescent="0.2">
      <c r="C139" s="70" t="str">
        <f t="shared" si="6"/>
        <v/>
      </c>
      <c r="D139" s="69" t="str">
        <f t="shared" si="7"/>
        <v/>
      </c>
      <c r="E139" s="69" t="str">
        <f t="shared" si="4"/>
        <v/>
      </c>
      <c r="F139" s="69" t="str">
        <f t="shared" si="5"/>
        <v/>
      </c>
    </row>
    <row r="140" spans="3:6" ht="11.45" customHeight="1" x14ac:dyDescent="0.2">
      <c r="C140" s="70" t="str">
        <f t="shared" si="6"/>
        <v/>
      </c>
      <c r="D140" s="69" t="str">
        <f t="shared" si="7"/>
        <v/>
      </c>
      <c r="E140" s="69" t="str">
        <f t="shared" si="4"/>
        <v/>
      </c>
      <c r="F140" s="69" t="str">
        <f t="shared" si="5"/>
        <v/>
      </c>
    </row>
    <row r="141" spans="3:6" ht="11.45" customHeight="1" x14ac:dyDescent="0.2">
      <c r="C141" s="70" t="str">
        <f t="shared" si="6"/>
        <v/>
      </c>
      <c r="D141" s="69" t="str">
        <f t="shared" si="7"/>
        <v/>
      </c>
      <c r="E141" s="69" t="str">
        <f t="shared" si="4"/>
        <v/>
      </c>
      <c r="F141" s="69" t="str">
        <f t="shared" si="5"/>
        <v/>
      </c>
    </row>
    <row r="142" spans="3:6" ht="11.45" customHeight="1" x14ac:dyDescent="0.2">
      <c r="C142" s="70" t="str">
        <f t="shared" si="6"/>
        <v/>
      </c>
      <c r="D142" s="69" t="str">
        <f t="shared" si="7"/>
        <v/>
      </c>
      <c r="E142" s="69" t="str">
        <f t="shared" si="4"/>
        <v/>
      </c>
      <c r="F142" s="69" t="str">
        <f t="shared" si="5"/>
        <v/>
      </c>
    </row>
    <row r="143" spans="3:6" ht="11.45" customHeight="1" x14ac:dyDescent="0.2">
      <c r="C143" s="70" t="str">
        <f t="shared" si="6"/>
        <v/>
      </c>
      <c r="D143" s="69" t="str">
        <f t="shared" si="7"/>
        <v/>
      </c>
      <c r="E143" s="69" t="str">
        <f t="shared" si="4"/>
        <v/>
      </c>
      <c r="F143" s="69" t="str">
        <f t="shared" si="5"/>
        <v/>
      </c>
    </row>
    <row r="144" spans="3:6" ht="11.45" customHeight="1" x14ac:dyDescent="0.2">
      <c r="C144" s="70" t="str">
        <f t="shared" si="6"/>
        <v/>
      </c>
      <c r="D144" s="69" t="str">
        <f t="shared" si="7"/>
        <v/>
      </c>
      <c r="E144" s="69" t="str">
        <f t="shared" si="4"/>
        <v/>
      </c>
      <c r="F144" s="69" t="str">
        <f t="shared" si="5"/>
        <v/>
      </c>
    </row>
    <row r="145" spans="3:6" ht="11.45" customHeight="1" x14ac:dyDescent="0.2">
      <c r="C145" s="70" t="str">
        <f t="shared" si="6"/>
        <v/>
      </c>
      <c r="D145" s="69" t="str">
        <f t="shared" si="7"/>
        <v/>
      </c>
      <c r="E145" s="69" t="str">
        <f t="shared" si="4"/>
        <v/>
      </c>
      <c r="F145" s="69" t="str">
        <f t="shared" si="5"/>
        <v/>
      </c>
    </row>
    <row r="146" spans="3:6" ht="11.45" customHeight="1" x14ac:dyDescent="0.2">
      <c r="C146" s="70" t="str">
        <f t="shared" si="6"/>
        <v/>
      </c>
      <c r="D146" s="69" t="str">
        <f t="shared" si="7"/>
        <v/>
      </c>
      <c r="E146" s="69" t="str">
        <f t="shared" si="4"/>
        <v/>
      </c>
      <c r="F146" s="69" t="str">
        <f t="shared" si="5"/>
        <v/>
      </c>
    </row>
    <row r="147" spans="3:6" ht="11.45" customHeight="1" x14ac:dyDescent="0.2">
      <c r="C147" s="70" t="str">
        <f t="shared" si="6"/>
        <v/>
      </c>
      <c r="D147" s="69" t="str">
        <f t="shared" si="7"/>
        <v/>
      </c>
      <c r="E147" s="69" t="str">
        <f t="shared" si="4"/>
        <v/>
      </c>
      <c r="F147" s="69" t="str">
        <f t="shared" si="5"/>
        <v/>
      </c>
    </row>
    <row r="148" spans="3:6" ht="11.45" customHeight="1" x14ac:dyDescent="0.2">
      <c r="C148" s="70" t="str">
        <f t="shared" si="6"/>
        <v/>
      </c>
      <c r="D148" s="69" t="str">
        <f t="shared" si="7"/>
        <v/>
      </c>
      <c r="E148" s="69" t="str">
        <f t="shared" si="4"/>
        <v/>
      </c>
      <c r="F148" s="69" t="str">
        <f t="shared" si="5"/>
        <v/>
      </c>
    </row>
    <row r="149" spans="3:6" ht="11.45" customHeight="1" x14ac:dyDescent="0.2">
      <c r="C149" s="70" t="str">
        <f t="shared" si="6"/>
        <v/>
      </c>
      <c r="D149" s="69" t="str">
        <f t="shared" si="7"/>
        <v/>
      </c>
      <c r="E149" s="69" t="str">
        <f t="shared" si="4"/>
        <v/>
      </c>
      <c r="F149" s="69" t="str">
        <f t="shared" si="5"/>
        <v/>
      </c>
    </row>
    <row r="150" spans="3:6" ht="11.45" customHeight="1" x14ac:dyDescent="0.2">
      <c r="C150" s="70" t="str">
        <f t="shared" si="6"/>
        <v/>
      </c>
      <c r="D150" s="69" t="str">
        <f t="shared" si="7"/>
        <v/>
      </c>
      <c r="E150" s="69" t="str">
        <f t="shared" si="4"/>
        <v/>
      </c>
      <c r="F150" s="69" t="str">
        <f t="shared" si="5"/>
        <v/>
      </c>
    </row>
    <row r="151" spans="3:6" ht="11.45" customHeight="1" x14ac:dyDescent="0.2">
      <c r="C151" s="70"/>
      <c r="D151" s="69" t="str">
        <f t="shared" si="7"/>
        <v/>
      </c>
      <c r="E151" s="69" t="str">
        <f t="shared" si="4"/>
        <v/>
      </c>
      <c r="F151" s="69" t="str">
        <f t="shared" si="5"/>
        <v/>
      </c>
    </row>
    <row r="152" spans="3:6" ht="11.45" customHeight="1" x14ac:dyDescent="0.2">
      <c r="C152" s="70"/>
      <c r="D152" s="69" t="str">
        <f t="shared" si="7"/>
        <v/>
      </c>
      <c r="E152" s="69" t="str">
        <f t="shared" si="4"/>
        <v/>
      </c>
      <c r="F152" s="69" t="str">
        <f t="shared" si="5"/>
        <v/>
      </c>
    </row>
    <row r="153" spans="3:6" ht="11.45" customHeight="1" x14ac:dyDescent="0.2">
      <c r="C153" s="70"/>
      <c r="D153" s="69" t="str">
        <f t="shared" si="7"/>
        <v/>
      </c>
      <c r="E153" s="69" t="str">
        <f t="shared" si="4"/>
        <v/>
      </c>
      <c r="F153" s="69" t="str">
        <f t="shared" si="5"/>
        <v/>
      </c>
    </row>
    <row r="154" spans="3:6" ht="11.45" customHeight="1" x14ac:dyDescent="0.2">
      <c r="C154" s="70"/>
      <c r="D154" s="69" t="str">
        <f t="shared" si="7"/>
        <v/>
      </c>
      <c r="E154" s="69" t="str">
        <f t="shared" si="4"/>
        <v/>
      </c>
      <c r="F154" s="69" t="str">
        <f t="shared" si="5"/>
        <v/>
      </c>
    </row>
    <row r="155" spans="3:6" ht="11.45" customHeight="1" x14ac:dyDescent="0.2">
      <c r="C155" s="70"/>
      <c r="D155" s="69" t="str">
        <f t="shared" si="7"/>
        <v/>
      </c>
      <c r="E155" s="69" t="str">
        <f t="shared" ref="E155:E218" si="8">IF(B155="","",J154)</f>
        <v/>
      </c>
      <c r="F155" s="69" t="str">
        <f t="shared" ref="F155:F218" si="9">IF(B155="","",$C$15)</f>
        <v/>
      </c>
    </row>
    <row r="156" spans="3:6" ht="11.45" customHeight="1" x14ac:dyDescent="0.2">
      <c r="C156" s="70"/>
      <c r="D156" s="69" t="str">
        <f t="shared" ref="D156:D219" si="10">IF(B156="","",C156-C155)</f>
        <v/>
      </c>
      <c r="E156" s="69" t="str">
        <f t="shared" si="8"/>
        <v/>
      </c>
      <c r="F156" s="69" t="str">
        <f t="shared" si="9"/>
        <v/>
      </c>
    </row>
    <row r="157" spans="3:6" ht="11.45" customHeight="1" x14ac:dyDescent="0.2">
      <c r="C157" s="70"/>
      <c r="D157" s="69" t="str">
        <f t="shared" si="10"/>
        <v/>
      </c>
      <c r="E157" s="69" t="str">
        <f t="shared" si="8"/>
        <v/>
      </c>
      <c r="F157" s="69" t="str">
        <f t="shared" si="9"/>
        <v/>
      </c>
    </row>
    <row r="158" spans="3:6" ht="11.45" customHeight="1" x14ac:dyDescent="0.2">
      <c r="C158" s="70"/>
      <c r="D158" s="69" t="str">
        <f t="shared" si="10"/>
        <v/>
      </c>
      <c r="E158" s="69" t="str">
        <f t="shared" si="8"/>
        <v/>
      </c>
      <c r="F158" s="69" t="str">
        <f t="shared" si="9"/>
        <v/>
      </c>
    </row>
    <row r="159" spans="3:6" ht="11.45" customHeight="1" x14ac:dyDescent="0.2">
      <c r="C159" s="70"/>
      <c r="D159" s="69" t="str">
        <f t="shared" si="10"/>
        <v/>
      </c>
      <c r="E159" s="69" t="str">
        <f t="shared" si="8"/>
        <v/>
      </c>
      <c r="F159" s="69" t="str">
        <f t="shared" si="9"/>
        <v/>
      </c>
    </row>
    <row r="160" spans="3:6" ht="11.45" customHeight="1" x14ac:dyDescent="0.2">
      <c r="C160" s="70"/>
      <c r="D160" s="69" t="str">
        <f t="shared" si="10"/>
        <v/>
      </c>
      <c r="E160" s="69" t="str">
        <f t="shared" si="8"/>
        <v/>
      </c>
      <c r="F160" s="69" t="str">
        <f t="shared" si="9"/>
        <v/>
      </c>
    </row>
    <row r="161" spans="3:6" ht="11.45" customHeight="1" x14ac:dyDescent="0.2">
      <c r="C161" s="70"/>
      <c r="D161" s="69" t="str">
        <f t="shared" si="10"/>
        <v/>
      </c>
      <c r="E161" s="69" t="str">
        <f t="shared" si="8"/>
        <v/>
      </c>
      <c r="F161" s="69" t="str">
        <f t="shared" si="9"/>
        <v/>
      </c>
    </row>
    <row r="162" spans="3:6" ht="11.45" customHeight="1" x14ac:dyDescent="0.2">
      <c r="C162" s="70"/>
      <c r="D162" s="69" t="str">
        <f t="shared" si="10"/>
        <v/>
      </c>
      <c r="E162" s="69" t="str">
        <f t="shared" si="8"/>
        <v/>
      </c>
      <c r="F162" s="69" t="str">
        <f t="shared" si="9"/>
        <v/>
      </c>
    </row>
    <row r="163" spans="3:6" ht="11.45" customHeight="1" x14ac:dyDescent="0.2">
      <c r="C163" s="70"/>
      <c r="D163" s="69" t="str">
        <f t="shared" si="10"/>
        <v/>
      </c>
      <c r="E163" s="69" t="str">
        <f t="shared" si="8"/>
        <v/>
      </c>
      <c r="F163" s="69" t="str">
        <f t="shared" si="9"/>
        <v/>
      </c>
    </row>
    <row r="164" spans="3:6" ht="11.45" customHeight="1" x14ac:dyDescent="0.2">
      <c r="C164" s="70"/>
      <c r="D164" s="69" t="str">
        <f t="shared" si="10"/>
        <v/>
      </c>
      <c r="E164" s="69" t="str">
        <f t="shared" si="8"/>
        <v/>
      </c>
      <c r="F164" s="69" t="str">
        <f t="shared" si="9"/>
        <v/>
      </c>
    </row>
    <row r="165" spans="3:6" ht="11.45" customHeight="1" x14ac:dyDescent="0.2">
      <c r="C165" s="70"/>
      <c r="D165" s="69" t="str">
        <f t="shared" si="10"/>
        <v/>
      </c>
      <c r="E165" s="69" t="str">
        <f t="shared" si="8"/>
        <v/>
      </c>
      <c r="F165" s="69" t="str">
        <f t="shared" si="9"/>
        <v/>
      </c>
    </row>
    <row r="166" spans="3:6" ht="11.45" customHeight="1" x14ac:dyDescent="0.2">
      <c r="C166" s="70"/>
      <c r="D166" s="69" t="str">
        <f t="shared" si="10"/>
        <v/>
      </c>
      <c r="E166" s="69" t="str">
        <f t="shared" si="8"/>
        <v/>
      </c>
      <c r="F166" s="69" t="str">
        <f t="shared" si="9"/>
        <v/>
      </c>
    </row>
    <row r="167" spans="3:6" ht="11.45" customHeight="1" x14ac:dyDescent="0.2">
      <c r="C167" s="70"/>
      <c r="D167" s="69" t="str">
        <f t="shared" si="10"/>
        <v/>
      </c>
      <c r="E167" s="69" t="str">
        <f t="shared" si="8"/>
        <v/>
      </c>
      <c r="F167" s="69" t="str">
        <f t="shared" si="9"/>
        <v/>
      </c>
    </row>
    <row r="168" spans="3:6" ht="11.45" customHeight="1" x14ac:dyDescent="0.2">
      <c r="C168" s="70"/>
      <c r="D168" s="69" t="str">
        <f t="shared" si="10"/>
        <v/>
      </c>
      <c r="E168" s="69" t="str">
        <f t="shared" si="8"/>
        <v/>
      </c>
      <c r="F168" s="69" t="str">
        <f t="shared" si="9"/>
        <v/>
      </c>
    </row>
    <row r="169" spans="3:6" ht="11.45" customHeight="1" x14ac:dyDescent="0.2">
      <c r="C169" s="70"/>
      <c r="D169" s="69" t="str">
        <f t="shared" si="10"/>
        <v/>
      </c>
      <c r="E169" s="69" t="str">
        <f t="shared" si="8"/>
        <v/>
      </c>
      <c r="F169" s="69" t="str">
        <f t="shared" si="9"/>
        <v/>
      </c>
    </row>
    <row r="170" spans="3:6" ht="11.45" customHeight="1" x14ac:dyDescent="0.2">
      <c r="C170" s="70"/>
      <c r="D170" s="69" t="str">
        <f t="shared" si="10"/>
        <v/>
      </c>
      <c r="E170" s="69" t="str">
        <f t="shared" si="8"/>
        <v/>
      </c>
      <c r="F170" s="69" t="str">
        <f t="shared" si="9"/>
        <v/>
      </c>
    </row>
    <row r="171" spans="3:6" ht="11.45" customHeight="1" x14ac:dyDescent="0.2">
      <c r="C171" s="70"/>
      <c r="D171" s="69" t="str">
        <f t="shared" si="10"/>
        <v/>
      </c>
      <c r="E171" s="69" t="str">
        <f t="shared" si="8"/>
        <v/>
      </c>
      <c r="F171" s="69" t="str">
        <f t="shared" si="9"/>
        <v/>
      </c>
    </row>
    <row r="172" spans="3:6" ht="11.45" customHeight="1" x14ac:dyDescent="0.2">
      <c r="C172" s="70"/>
      <c r="D172" s="69" t="str">
        <f t="shared" si="10"/>
        <v/>
      </c>
      <c r="E172" s="69" t="str">
        <f t="shared" si="8"/>
        <v/>
      </c>
      <c r="F172" s="69" t="str">
        <f t="shared" si="9"/>
        <v/>
      </c>
    </row>
    <row r="173" spans="3:6" ht="11.45" customHeight="1" x14ac:dyDescent="0.2">
      <c r="C173" s="70"/>
      <c r="D173" s="69" t="str">
        <f t="shared" si="10"/>
        <v/>
      </c>
      <c r="E173" s="69" t="str">
        <f t="shared" si="8"/>
        <v/>
      </c>
      <c r="F173" s="69" t="str">
        <f t="shared" si="9"/>
        <v/>
      </c>
    </row>
    <row r="174" spans="3:6" ht="11.45" customHeight="1" x14ac:dyDescent="0.2">
      <c r="C174" s="70"/>
      <c r="D174" s="69" t="str">
        <f t="shared" si="10"/>
        <v/>
      </c>
      <c r="E174" s="69" t="str">
        <f t="shared" si="8"/>
        <v/>
      </c>
      <c r="F174" s="69" t="str">
        <f t="shared" si="9"/>
        <v/>
      </c>
    </row>
    <row r="175" spans="3:6" ht="11.45" customHeight="1" x14ac:dyDescent="0.2">
      <c r="C175" s="70"/>
      <c r="D175" s="69" t="str">
        <f t="shared" si="10"/>
        <v/>
      </c>
      <c r="E175" s="69" t="str">
        <f t="shared" si="8"/>
        <v/>
      </c>
      <c r="F175" s="69" t="str">
        <f t="shared" si="9"/>
        <v/>
      </c>
    </row>
    <row r="176" spans="3:6" ht="11.45" customHeight="1" x14ac:dyDescent="0.2">
      <c r="C176" s="70"/>
      <c r="D176" s="69" t="str">
        <f t="shared" si="10"/>
        <v/>
      </c>
      <c r="E176" s="69" t="str">
        <f t="shared" si="8"/>
        <v/>
      </c>
      <c r="F176" s="69" t="str">
        <f t="shared" si="9"/>
        <v/>
      </c>
    </row>
    <row r="177" spans="3:6" ht="11.45" customHeight="1" x14ac:dyDescent="0.2">
      <c r="C177" s="70"/>
      <c r="D177" s="69" t="str">
        <f t="shared" si="10"/>
        <v/>
      </c>
      <c r="E177" s="69" t="str">
        <f t="shared" si="8"/>
        <v/>
      </c>
      <c r="F177" s="69" t="str">
        <f t="shared" si="9"/>
        <v/>
      </c>
    </row>
    <row r="178" spans="3:6" ht="11.45" customHeight="1" x14ac:dyDescent="0.2">
      <c r="C178" s="70"/>
      <c r="D178" s="69" t="str">
        <f t="shared" si="10"/>
        <v/>
      </c>
      <c r="E178" s="69" t="str">
        <f t="shared" si="8"/>
        <v/>
      </c>
      <c r="F178" s="69" t="str">
        <f t="shared" si="9"/>
        <v/>
      </c>
    </row>
    <row r="179" spans="3:6" ht="11.45" customHeight="1" x14ac:dyDescent="0.2">
      <c r="C179" s="70"/>
      <c r="D179" s="69" t="str">
        <f t="shared" si="10"/>
        <v/>
      </c>
      <c r="E179" s="69" t="str">
        <f t="shared" si="8"/>
        <v/>
      </c>
      <c r="F179" s="69" t="str">
        <f t="shared" si="9"/>
        <v/>
      </c>
    </row>
    <row r="180" spans="3:6" ht="11.45" customHeight="1" x14ac:dyDescent="0.2">
      <c r="C180" s="70"/>
      <c r="D180" s="69" t="str">
        <f t="shared" si="10"/>
        <v/>
      </c>
      <c r="E180" s="69" t="str">
        <f t="shared" si="8"/>
        <v/>
      </c>
      <c r="F180" s="69" t="str">
        <f t="shared" si="9"/>
        <v/>
      </c>
    </row>
    <row r="181" spans="3:6" ht="11.45" customHeight="1" x14ac:dyDescent="0.2">
      <c r="C181" s="70"/>
      <c r="D181" s="69" t="str">
        <f t="shared" si="10"/>
        <v/>
      </c>
      <c r="E181" s="69" t="str">
        <f t="shared" si="8"/>
        <v/>
      </c>
      <c r="F181" s="69" t="str">
        <f t="shared" si="9"/>
        <v/>
      </c>
    </row>
    <row r="182" spans="3:6" ht="11.45" customHeight="1" x14ac:dyDescent="0.2">
      <c r="C182" s="70"/>
      <c r="D182" s="69" t="str">
        <f t="shared" si="10"/>
        <v/>
      </c>
      <c r="E182" s="69" t="str">
        <f t="shared" si="8"/>
        <v/>
      </c>
      <c r="F182" s="69" t="str">
        <f t="shared" si="9"/>
        <v/>
      </c>
    </row>
    <row r="183" spans="3:6" ht="11.45" customHeight="1" x14ac:dyDescent="0.2">
      <c r="C183" s="70"/>
      <c r="D183" s="69" t="str">
        <f t="shared" si="10"/>
        <v/>
      </c>
      <c r="E183" s="69" t="str">
        <f t="shared" si="8"/>
        <v/>
      </c>
      <c r="F183" s="69" t="str">
        <f t="shared" si="9"/>
        <v/>
      </c>
    </row>
    <row r="184" spans="3:6" ht="11.45" customHeight="1" x14ac:dyDescent="0.2">
      <c r="C184" s="70"/>
      <c r="D184" s="69" t="str">
        <f t="shared" si="10"/>
        <v/>
      </c>
      <c r="E184" s="69" t="str">
        <f t="shared" si="8"/>
        <v/>
      </c>
      <c r="F184" s="69" t="str">
        <f t="shared" si="9"/>
        <v/>
      </c>
    </row>
    <row r="185" spans="3:6" ht="11.45" customHeight="1" x14ac:dyDescent="0.2">
      <c r="C185" s="70"/>
      <c r="D185" s="69" t="str">
        <f t="shared" si="10"/>
        <v/>
      </c>
      <c r="E185" s="69" t="str">
        <f t="shared" si="8"/>
        <v/>
      </c>
      <c r="F185" s="69" t="str">
        <f t="shared" si="9"/>
        <v/>
      </c>
    </row>
    <row r="186" spans="3:6" ht="11.45" customHeight="1" x14ac:dyDescent="0.2">
      <c r="C186" s="70"/>
      <c r="D186" s="69" t="str">
        <f t="shared" si="10"/>
        <v/>
      </c>
      <c r="E186" s="69" t="str">
        <f t="shared" si="8"/>
        <v/>
      </c>
      <c r="F186" s="69" t="str">
        <f t="shared" si="9"/>
        <v/>
      </c>
    </row>
    <row r="187" spans="3:6" ht="11.45" customHeight="1" x14ac:dyDescent="0.2">
      <c r="C187" s="70"/>
      <c r="D187" s="69" t="str">
        <f t="shared" si="10"/>
        <v/>
      </c>
      <c r="E187" s="69" t="str">
        <f t="shared" si="8"/>
        <v/>
      </c>
      <c r="F187" s="69" t="str">
        <f t="shared" si="9"/>
        <v/>
      </c>
    </row>
    <row r="188" spans="3:6" ht="11.45" customHeight="1" x14ac:dyDescent="0.2">
      <c r="C188" s="70"/>
      <c r="D188" s="69" t="str">
        <f t="shared" si="10"/>
        <v/>
      </c>
      <c r="E188" s="69" t="str">
        <f t="shared" si="8"/>
        <v/>
      </c>
      <c r="F188" s="69" t="str">
        <f t="shared" si="9"/>
        <v/>
      </c>
    </row>
    <row r="189" spans="3:6" ht="11.45" customHeight="1" x14ac:dyDescent="0.2">
      <c r="C189" s="70"/>
      <c r="D189" s="69" t="str">
        <f t="shared" si="10"/>
        <v/>
      </c>
      <c r="E189" s="69" t="str">
        <f t="shared" si="8"/>
        <v/>
      </c>
      <c r="F189" s="69" t="str">
        <f t="shared" si="9"/>
        <v/>
      </c>
    </row>
    <row r="190" spans="3:6" ht="11.45" customHeight="1" x14ac:dyDescent="0.2">
      <c r="C190" s="70"/>
      <c r="D190" s="69" t="str">
        <f t="shared" si="10"/>
        <v/>
      </c>
      <c r="E190" s="69" t="str">
        <f t="shared" si="8"/>
        <v/>
      </c>
      <c r="F190" s="69" t="str">
        <f t="shared" si="9"/>
        <v/>
      </c>
    </row>
    <row r="191" spans="3:6" ht="11.45" customHeight="1" x14ac:dyDescent="0.2">
      <c r="C191" s="70"/>
      <c r="D191" s="69" t="str">
        <f t="shared" si="10"/>
        <v/>
      </c>
      <c r="E191" s="69" t="str">
        <f t="shared" si="8"/>
        <v/>
      </c>
      <c r="F191" s="69" t="str">
        <f t="shared" si="9"/>
        <v/>
      </c>
    </row>
    <row r="192" spans="3:6" ht="11.45" customHeight="1" x14ac:dyDescent="0.2">
      <c r="C192" s="70"/>
      <c r="D192" s="69" t="str">
        <f t="shared" si="10"/>
        <v/>
      </c>
      <c r="E192" s="69" t="str">
        <f t="shared" si="8"/>
        <v/>
      </c>
      <c r="F192" s="69" t="str">
        <f t="shared" si="9"/>
        <v/>
      </c>
    </row>
    <row r="193" spans="3:6" ht="11.45" customHeight="1" x14ac:dyDescent="0.2">
      <c r="C193" s="70"/>
      <c r="D193" s="69" t="str">
        <f t="shared" si="10"/>
        <v/>
      </c>
      <c r="E193" s="69" t="str">
        <f t="shared" si="8"/>
        <v/>
      </c>
      <c r="F193" s="69" t="str">
        <f t="shared" si="9"/>
        <v/>
      </c>
    </row>
    <row r="194" spans="3:6" ht="11.45" customHeight="1" x14ac:dyDescent="0.2">
      <c r="C194" s="70"/>
      <c r="D194" s="69" t="str">
        <f t="shared" si="10"/>
        <v/>
      </c>
      <c r="E194" s="69" t="str">
        <f t="shared" si="8"/>
        <v/>
      </c>
      <c r="F194" s="69" t="str">
        <f t="shared" si="9"/>
        <v/>
      </c>
    </row>
    <row r="195" spans="3:6" ht="11.45" customHeight="1" x14ac:dyDescent="0.2">
      <c r="C195" s="70"/>
      <c r="D195" s="69" t="str">
        <f t="shared" si="10"/>
        <v/>
      </c>
      <c r="E195" s="69" t="str">
        <f t="shared" si="8"/>
        <v/>
      </c>
      <c r="F195" s="69" t="str">
        <f t="shared" si="9"/>
        <v/>
      </c>
    </row>
    <row r="196" spans="3:6" ht="11.45" customHeight="1" x14ac:dyDescent="0.2">
      <c r="C196" s="70"/>
      <c r="D196" s="69" t="str">
        <f t="shared" si="10"/>
        <v/>
      </c>
      <c r="E196" s="69" t="str">
        <f t="shared" si="8"/>
        <v/>
      </c>
      <c r="F196" s="69" t="str">
        <f t="shared" si="9"/>
        <v/>
      </c>
    </row>
    <row r="197" spans="3:6" ht="11.45" customHeight="1" x14ac:dyDescent="0.2">
      <c r="C197" s="70"/>
      <c r="D197" s="69" t="str">
        <f t="shared" si="10"/>
        <v/>
      </c>
      <c r="E197" s="69" t="str">
        <f t="shared" si="8"/>
        <v/>
      </c>
      <c r="F197" s="69" t="str">
        <f t="shared" si="9"/>
        <v/>
      </c>
    </row>
    <row r="198" spans="3:6" ht="11.45" customHeight="1" x14ac:dyDescent="0.2">
      <c r="C198" s="70"/>
      <c r="D198" s="69" t="str">
        <f t="shared" si="10"/>
        <v/>
      </c>
      <c r="E198" s="69" t="str">
        <f t="shared" si="8"/>
        <v/>
      </c>
      <c r="F198" s="69" t="str">
        <f t="shared" si="9"/>
        <v/>
      </c>
    </row>
    <row r="199" spans="3:6" ht="11.45" customHeight="1" x14ac:dyDescent="0.2">
      <c r="C199" s="70"/>
      <c r="D199" s="69" t="str">
        <f t="shared" si="10"/>
        <v/>
      </c>
      <c r="E199" s="69" t="str">
        <f t="shared" si="8"/>
        <v/>
      </c>
      <c r="F199" s="69" t="str">
        <f t="shared" si="9"/>
        <v/>
      </c>
    </row>
    <row r="200" spans="3:6" ht="11.45" customHeight="1" x14ac:dyDescent="0.2">
      <c r="C200" s="70"/>
      <c r="D200" s="69" t="str">
        <f t="shared" si="10"/>
        <v/>
      </c>
      <c r="E200" s="69" t="str">
        <f t="shared" si="8"/>
        <v/>
      </c>
      <c r="F200" s="69" t="str">
        <f t="shared" si="9"/>
        <v/>
      </c>
    </row>
    <row r="201" spans="3:6" ht="11.45" customHeight="1" x14ac:dyDescent="0.2">
      <c r="C201" s="70"/>
      <c r="D201" s="69" t="str">
        <f t="shared" si="10"/>
        <v/>
      </c>
      <c r="E201" s="69" t="str">
        <f t="shared" si="8"/>
        <v/>
      </c>
      <c r="F201" s="69" t="str">
        <f t="shared" si="9"/>
        <v/>
      </c>
    </row>
    <row r="202" spans="3:6" ht="11.45" customHeight="1" x14ac:dyDescent="0.2">
      <c r="C202" s="70"/>
      <c r="D202" s="69" t="str">
        <f t="shared" si="10"/>
        <v/>
      </c>
      <c r="E202" s="69" t="str">
        <f t="shared" si="8"/>
        <v/>
      </c>
      <c r="F202" s="69" t="str">
        <f t="shared" si="9"/>
        <v/>
      </c>
    </row>
    <row r="203" spans="3:6" ht="11.45" customHeight="1" x14ac:dyDescent="0.2">
      <c r="C203" s="70"/>
      <c r="D203" s="69" t="str">
        <f t="shared" si="10"/>
        <v/>
      </c>
      <c r="E203" s="69" t="str">
        <f t="shared" si="8"/>
        <v/>
      </c>
      <c r="F203" s="69" t="str">
        <f t="shared" si="9"/>
        <v/>
      </c>
    </row>
    <row r="204" spans="3:6" ht="11.45" customHeight="1" x14ac:dyDescent="0.2">
      <c r="C204" s="70"/>
      <c r="D204" s="69" t="str">
        <f t="shared" si="10"/>
        <v/>
      </c>
      <c r="E204" s="69" t="str">
        <f t="shared" si="8"/>
        <v/>
      </c>
      <c r="F204" s="69" t="str">
        <f t="shared" si="9"/>
        <v/>
      </c>
    </row>
    <row r="205" spans="3:6" ht="11.45" customHeight="1" x14ac:dyDescent="0.2">
      <c r="C205" s="70"/>
      <c r="D205" s="69" t="str">
        <f t="shared" si="10"/>
        <v/>
      </c>
      <c r="E205" s="69" t="str">
        <f t="shared" si="8"/>
        <v/>
      </c>
      <c r="F205" s="69" t="str">
        <f t="shared" si="9"/>
        <v/>
      </c>
    </row>
    <row r="206" spans="3:6" ht="11.45" customHeight="1" x14ac:dyDescent="0.2">
      <c r="C206" s="70"/>
      <c r="D206" s="69" t="str">
        <f t="shared" si="10"/>
        <v/>
      </c>
      <c r="E206" s="69" t="str">
        <f t="shared" si="8"/>
        <v/>
      </c>
      <c r="F206" s="69" t="str">
        <f t="shared" si="9"/>
        <v/>
      </c>
    </row>
    <row r="207" spans="3:6" ht="11.45" customHeight="1" x14ac:dyDescent="0.2">
      <c r="C207" s="70"/>
      <c r="D207" s="69" t="str">
        <f t="shared" si="10"/>
        <v/>
      </c>
      <c r="E207" s="69" t="str">
        <f t="shared" si="8"/>
        <v/>
      </c>
      <c r="F207" s="69" t="str">
        <f t="shared" si="9"/>
        <v/>
      </c>
    </row>
    <row r="208" spans="3:6" ht="11.45" customHeight="1" x14ac:dyDescent="0.2">
      <c r="C208" s="70"/>
      <c r="D208" s="69" t="str">
        <f t="shared" si="10"/>
        <v/>
      </c>
      <c r="E208" s="69" t="str">
        <f t="shared" si="8"/>
        <v/>
      </c>
      <c r="F208" s="69" t="str">
        <f t="shared" si="9"/>
        <v/>
      </c>
    </row>
    <row r="209" spans="3:6" ht="11.45" customHeight="1" x14ac:dyDescent="0.2">
      <c r="C209" s="70"/>
      <c r="D209" s="69" t="str">
        <f t="shared" si="10"/>
        <v/>
      </c>
      <c r="E209" s="69" t="str">
        <f t="shared" si="8"/>
        <v/>
      </c>
      <c r="F209" s="69" t="str">
        <f t="shared" si="9"/>
        <v/>
      </c>
    </row>
    <row r="210" spans="3:6" ht="11.45" customHeight="1" x14ac:dyDescent="0.2">
      <c r="C210" s="70"/>
      <c r="D210" s="69" t="str">
        <f t="shared" si="10"/>
        <v/>
      </c>
      <c r="E210" s="69" t="str">
        <f t="shared" si="8"/>
        <v/>
      </c>
      <c r="F210" s="69" t="str">
        <f t="shared" si="9"/>
        <v/>
      </c>
    </row>
    <row r="211" spans="3:6" ht="11.45" customHeight="1" x14ac:dyDescent="0.2">
      <c r="C211" s="70"/>
      <c r="D211" s="69" t="str">
        <f t="shared" si="10"/>
        <v/>
      </c>
      <c r="E211" s="69" t="str">
        <f t="shared" si="8"/>
        <v/>
      </c>
      <c r="F211" s="69" t="str">
        <f t="shared" si="9"/>
        <v/>
      </c>
    </row>
    <row r="212" spans="3:6" ht="11.45" customHeight="1" x14ac:dyDescent="0.2">
      <c r="C212" s="70"/>
      <c r="D212" s="69" t="str">
        <f t="shared" si="10"/>
        <v/>
      </c>
      <c r="E212" s="69" t="str">
        <f t="shared" si="8"/>
        <v/>
      </c>
      <c r="F212" s="69" t="str">
        <f t="shared" si="9"/>
        <v/>
      </c>
    </row>
    <row r="213" spans="3:6" ht="11.45" customHeight="1" x14ac:dyDescent="0.2">
      <c r="C213" s="70"/>
      <c r="D213" s="69" t="str">
        <f t="shared" si="10"/>
        <v/>
      </c>
      <c r="E213" s="69" t="str">
        <f t="shared" si="8"/>
        <v/>
      </c>
      <c r="F213" s="69" t="str">
        <f t="shared" si="9"/>
        <v/>
      </c>
    </row>
    <row r="214" spans="3:6" ht="11.45" customHeight="1" x14ac:dyDescent="0.2">
      <c r="C214" s="70"/>
      <c r="D214" s="69" t="str">
        <f t="shared" si="10"/>
        <v/>
      </c>
      <c r="E214" s="69" t="str">
        <f t="shared" si="8"/>
        <v/>
      </c>
      <c r="F214" s="69" t="str">
        <f t="shared" si="9"/>
        <v/>
      </c>
    </row>
    <row r="215" spans="3:6" ht="11.45" customHeight="1" x14ac:dyDescent="0.2">
      <c r="C215" s="70"/>
      <c r="D215" s="69" t="str">
        <f t="shared" si="10"/>
        <v/>
      </c>
      <c r="E215" s="69" t="str">
        <f t="shared" si="8"/>
        <v/>
      </c>
      <c r="F215" s="69" t="str">
        <f t="shared" si="9"/>
        <v/>
      </c>
    </row>
    <row r="216" spans="3:6" ht="11.45" customHeight="1" x14ac:dyDescent="0.2">
      <c r="C216" s="70"/>
      <c r="D216" s="69" t="str">
        <f t="shared" si="10"/>
        <v/>
      </c>
      <c r="E216" s="69" t="str">
        <f t="shared" si="8"/>
        <v/>
      </c>
      <c r="F216" s="69" t="str">
        <f t="shared" si="9"/>
        <v/>
      </c>
    </row>
    <row r="217" spans="3:6" ht="11.45" customHeight="1" x14ac:dyDescent="0.2">
      <c r="C217" s="70"/>
      <c r="D217" s="69" t="str">
        <f t="shared" si="10"/>
        <v/>
      </c>
      <c r="E217" s="69" t="str">
        <f t="shared" si="8"/>
        <v/>
      </c>
      <c r="F217" s="69" t="str">
        <f t="shared" si="9"/>
        <v/>
      </c>
    </row>
    <row r="218" spans="3:6" ht="11.45" customHeight="1" x14ac:dyDescent="0.2">
      <c r="C218" s="70"/>
      <c r="D218" s="69" t="str">
        <f t="shared" si="10"/>
        <v/>
      </c>
      <c r="E218" s="69" t="str">
        <f t="shared" si="8"/>
        <v/>
      </c>
      <c r="F218" s="69" t="str">
        <f t="shared" si="9"/>
        <v/>
      </c>
    </row>
    <row r="219" spans="3:6" ht="11.45" customHeight="1" x14ac:dyDescent="0.2">
      <c r="C219" s="70"/>
      <c r="D219" s="69" t="str">
        <f t="shared" si="10"/>
        <v/>
      </c>
      <c r="E219" s="69" t="str">
        <f t="shared" ref="E219:E282" si="11">IF(B219="","",J218)</f>
        <v/>
      </c>
      <c r="F219" s="69" t="str">
        <f t="shared" ref="F219:F282" si="12">IF(B219="","",$C$15)</f>
        <v/>
      </c>
    </row>
    <row r="220" spans="3:6" ht="11.45" customHeight="1" x14ac:dyDescent="0.2">
      <c r="C220" s="70"/>
      <c r="D220" s="69" t="str">
        <f t="shared" ref="D220:D283" si="13">IF(B220="","",C220-C219)</f>
        <v/>
      </c>
      <c r="E220" s="69" t="str">
        <f t="shared" si="11"/>
        <v/>
      </c>
      <c r="F220" s="69" t="str">
        <f t="shared" si="12"/>
        <v/>
      </c>
    </row>
    <row r="221" spans="3:6" ht="11.45" customHeight="1" x14ac:dyDescent="0.2">
      <c r="C221" s="70"/>
      <c r="D221" s="69" t="str">
        <f t="shared" si="13"/>
        <v/>
      </c>
      <c r="E221" s="69" t="str">
        <f t="shared" si="11"/>
        <v/>
      </c>
      <c r="F221" s="69" t="str">
        <f t="shared" si="12"/>
        <v/>
      </c>
    </row>
    <row r="222" spans="3:6" ht="11.45" customHeight="1" x14ac:dyDescent="0.2">
      <c r="C222" s="70"/>
      <c r="D222" s="69" t="str">
        <f t="shared" si="13"/>
        <v/>
      </c>
      <c r="E222" s="69" t="str">
        <f t="shared" si="11"/>
        <v/>
      </c>
      <c r="F222" s="69" t="str">
        <f t="shared" si="12"/>
        <v/>
      </c>
    </row>
    <row r="223" spans="3:6" ht="11.45" customHeight="1" x14ac:dyDescent="0.2">
      <c r="C223" s="70"/>
      <c r="D223" s="69" t="str">
        <f t="shared" si="13"/>
        <v/>
      </c>
      <c r="E223" s="69" t="str">
        <f t="shared" si="11"/>
        <v/>
      </c>
      <c r="F223" s="69" t="str">
        <f t="shared" si="12"/>
        <v/>
      </c>
    </row>
    <row r="224" spans="3:6" ht="11.45" customHeight="1" x14ac:dyDescent="0.2">
      <c r="C224" s="70"/>
      <c r="D224" s="69" t="str">
        <f t="shared" si="13"/>
        <v/>
      </c>
      <c r="E224" s="69" t="str">
        <f t="shared" si="11"/>
        <v/>
      </c>
      <c r="F224" s="69" t="str">
        <f t="shared" si="12"/>
        <v/>
      </c>
    </row>
    <row r="225" spans="3:6" ht="11.45" customHeight="1" x14ac:dyDescent="0.2">
      <c r="C225" s="70"/>
      <c r="D225" s="69" t="str">
        <f t="shared" si="13"/>
        <v/>
      </c>
      <c r="E225" s="69" t="str">
        <f t="shared" si="11"/>
        <v/>
      </c>
      <c r="F225" s="69" t="str">
        <f t="shared" si="12"/>
        <v/>
      </c>
    </row>
    <row r="226" spans="3:6" ht="11.45" customHeight="1" x14ac:dyDescent="0.2">
      <c r="C226" s="70"/>
      <c r="D226" s="69" t="str">
        <f t="shared" si="13"/>
        <v/>
      </c>
      <c r="E226" s="69" t="str">
        <f t="shared" si="11"/>
        <v/>
      </c>
      <c r="F226" s="69" t="str">
        <f t="shared" si="12"/>
        <v/>
      </c>
    </row>
    <row r="227" spans="3:6" ht="11.45" customHeight="1" x14ac:dyDescent="0.2">
      <c r="C227" s="70"/>
      <c r="D227" s="69" t="str">
        <f t="shared" si="13"/>
        <v/>
      </c>
      <c r="E227" s="69" t="str">
        <f t="shared" si="11"/>
        <v/>
      </c>
      <c r="F227" s="69" t="str">
        <f t="shared" si="12"/>
        <v/>
      </c>
    </row>
    <row r="228" spans="3:6" ht="11.45" customHeight="1" x14ac:dyDescent="0.2">
      <c r="C228" s="70"/>
      <c r="D228" s="69" t="str">
        <f t="shared" si="13"/>
        <v/>
      </c>
      <c r="E228" s="69" t="str">
        <f t="shared" si="11"/>
        <v/>
      </c>
      <c r="F228" s="69" t="str">
        <f t="shared" si="12"/>
        <v/>
      </c>
    </row>
    <row r="229" spans="3:6" ht="11.45" customHeight="1" x14ac:dyDescent="0.2">
      <c r="C229" s="70"/>
      <c r="D229" s="69" t="str">
        <f t="shared" si="13"/>
        <v/>
      </c>
      <c r="E229" s="69" t="str">
        <f t="shared" si="11"/>
        <v/>
      </c>
      <c r="F229" s="69" t="str">
        <f t="shared" si="12"/>
        <v/>
      </c>
    </row>
    <row r="230" spans="3:6" ht="11.45" customHeight="1" x14ac:dyDescent="0.2">
      <c r="C230" s="70"/>
      <c r="D230" s="69" t="str">
        <f t="shared" si="13"/>
        <v/>
      </c>
      <c r="E230" s="69" t="str">
        <f t="shared" si="11"/>
        <v/>
      </c>
      <c r="F230" s="69" t="str">
        <f t="shared" si="12"/>
        <v/>
      </c>
    </row>
    <row r="231" spans="3:6" ht="11.45" customHeight="1" x14ac:dyDescent="0.2">
      <c r="C231" s="70"/>
      <c r="D231" s="69" t="str">
        <f t="shared" si="13"/>
        <v/>
      </c>
      <c r="E231" s="69" t="str">
        <f t="shared" si="11"/>
        <v/>
      </c>
      <c r="F231" s="69" t="str">
        <f t="shared" si="12"/>
        <v/>
      </c>
    </row>
    <row r="232" spans="3:6" ht="11.45" customHeight="1" x14ac:dyDescent="0.2">
      <c r="C232" s="70"/>
      <c r="D232" s="69" t="str">
        <f t="shared" si="13"/>
        <v/>
      </c>
      <c r="E232" s="69" t="str">
        <f t="shared" si="11"/>
        <v/>
      </c>
      <c r="F232" s="69" t="str">
        <f t="shared" si="12"/>
        <v/>
      </c>
    </row>
    <row r="233" spans="3:6" ht="11.45" customHeight="1" x14ac:dyDescent="0.2">
      <c r="C233" s="70"/>
      <c r="D233" s="69" t="str">
        <f t="shared" si="13"/>
        <v/>
      </c>
      <c r="E233" s="69" t="str">
        <f t="shared" si="11"/>
        <v/>
      </c>
      <c r="F233" s="69" t="str">
        <f t="shared" si="12"/>
        <v/>
      </c>
    </row>
    <row r="234" spans="3:6" ht="11.45" customHeight="1" x14ac:dyDescent="0.2">
      <c r="C234" s="70"/>
      <c r="D234" s="69" t="str">
        <f t="shared" si="13"/>
        <v/>
      </c>
      <c r="E234" s="69" t="str">
        <f t="shared" si="11"/>
        <v/>
      </c>
      <c r="F234" s="69" t="str">
        <f t="shared" si="12"/>
        <v/>
      </c>
    </row>
    <row r="235" spans="3:6" ht="11.45" customHeight="1" x14ac:dyDescent="0.2">
      <c r="C235" s="70"/>
      <c r="D235" s="69" t="str">
        <f t="shared" si="13"/>
        <v/>
      </c>
      <c r="E235" s="69" t="str">
        <f t="shared" si="11"/>
        <v/>
      </c>
      <c r="F235" s="69" t="str">
        <f t="shared" si="12"/>
        <v/>
      </c>
    </row>
    <row r="236" spans="3:6" ht="11.45" customHeight="1" x14ac:dyDescent="0.2">
      <c r="C236" s="70"/>
      <c r="D236" s="69" t="str">
        <f t="shared" si="13"/>
        <v/>
      </c>
      <c r="E236" s="69" t="str">
        <f t="shared" si="11"/>
        <v/>
      </c>
      <c r="F236" s="69" t="str">
        <f t="shared" si="12"/>
        <v/>
      </c>
    </row>
    <row r="237" spans="3:6" ht="11.45" customHeight="1" x14ac:dyDescent="0.2">
      <c r="C237" s="70"/>
      <c r="D237" s="69" t="str">
        <f t="shared" si="13"/>
        <v/>
      </c>
      <c r="E237" s="69" t="str">
        <f t="shared" si="11"/>
        <v/>
      </c>
      <c r="F237" s="69" t="str">
        <f t="shared" si="12"/>
        <v/>
      </c>
    </row>
    <row r="238" spans="3:6" ht="11.45" customHeight="1" x14ac:dyDescent="0.2">
      <c r="C238" s="70"/>
      <c r="D238" s="69" t="str">
        <f t="shared" si="13"/>
        <v/>
      </c>
      <c r="E238" s="69" t="str">
        <f t="shared" si="11"/>
        <v/>
      </c>
      <c r="F238" s="69" t="str">
        <f t="shared" si="12"/>
        <v/>
      </c>
    </row>
    <row r="239" spans="3:6" ht="11.45" customHeight="1" x14ac:dyDescent="0.2">
      <c r="C239" s="70"/>
      <c r="D239" s="69" t="str">
        <f t="shared" si="13"/>
        <v/>
      </c>
      <c r="E239" s="69" t="str">
        <f t="shared" si="11"/>
        <v/>
      </c>
      <c r="F239" s="69" t="str">
        <f t="shared" si="12"/>
        <v/>
      </c>
    </row>
    <row r="240" spans="3:6" ht="11.45" customHeight="1" x14ac:dyDescent="0.2">
      <c r="C240" s="70"/>
      <c r="D240" s="69" t="str">
        <f t="shared" si="13"/>
        <v/>
      </c>
      <c r="E240" s="69" t="str">
        <f t="shared" si="11"/>
        <v/>
      </c>
      <c r="F240" s="69" t="str">
        <f t="shared" si="12"/>
        <v/>
      </c>
    </row>
    <row r="241" spans="3:6" ht="11.45" customHeight="1" x14ac:dyDescent="0.2">
      <c r="C241" s="70"/>
      <c r="D241" s="69" t="str">
        <f t="shared" si="13"/>
        <v/>
      </c>
      <c r="E241" s="69" t="str">
        <f t="shared" si="11"/>
        <v/>
      </c>
      <c r="F241" s="69" t="str">
        <f t="shared" si="12"/>
        <v/>
      </c>
    </row>
    <row r="242" spans="3:6" ht="11.45" customHeight="1" x14ac:dyDescent="0.2">
      <c r="C242" s="70"/>
      <c r="D242" s="69" t="str">
        <f t="shared" si="13"/>
        <v/>
      </c>
      <c r="E242" s="69" t="str">
        <f t="shared" si="11"/>
        <v/>
      </c>
      <c r="F242" s="69" t="str">
        <f t="shared" si="12"/>
        <v/>
      </c>
    </row>
    <row r="243" spans="3:6" ht="11.45" customHeight="1" x14ac:dyDescent="0.2">
      <c r="C243" s="70"/>
      <c r="D243" s="69" t="str">
        <f t="shared" si="13"/>
        <v/>
      </c>
      <c r="E243" s="69" t="str">
        <f t="shared" si="11"/>
        <v/>
      </c>
      <c r="F243" s="69" t="str">
        <f t="shared" si="12"/>
        <v/>
      </c>
    </row>
    <row r="244" spans="3:6" ht="11.45" customHeight="1" x14ac:dyDescent="0.2">
      <c r="C244" s="70"/>
      <c r="D244" s="69" t="str">
        <f t="shared" si="13"/>
        <v/>
      </c>
      <c r="E244" s="69" t="str">
        <f t="shared" si="11"/>
        <v/>
      </c>
      <c r="F244" s="69" t="str">
        <f t="shared" si="12"/>
        <v/>
      </c>
    </row>
    <row r="245" spans="3:6" ht="11.45" customHeight="1" x14ac:dyDescent="0.2">
      <c r="C245" s="70"/>
      <c r="D245" s="69" t="str">
        <f t="shared" si="13"/>
        <v/>
      </c>
      <c r="E245" s="69" t="str">
        <f t="shared" si="11"/>
        <v/>
      </c>
      <c r="F245" s="69" t="str">
        <f t="shared" si="12"/>
        <v/>
      </c>
    </row>
    <row r="246" spans="3:6" ht="11.45" customHeight="1" x14ac:dyDescent="0.2">
      <c r="C246" s="70"/>
      <c r="D246" s="69" t="str">
        <f t="shared" si="13"/>
        <v/>
      </c>
      <c r="E246" s="69" t="str">
        <f t="shared" si="11"/>
        <v/>
      </c>
      <c r="F246" s="69" t="str">
        <f t="shared" si="12"/>
        <v/>
      </c>
    </row>
    <row r="247" spans="3:6" ht="11.45" customHeight="1" x14ac:dyDescent="0.2">
      <c r="C247" s="70"/>
      <c r="D247" s="69" t="str">
        <f t="shared" si="13"/>
        <v/>
      </c>
      <c r="E247" s="69" t="str">
        <f t="shared" si="11"/>
        <v/>
      </c>
      <c r="F247" s="69" t="str">
        <f t="shared" si="12"/>
        <v/>
      </c>
    </row>
    <row r="248" spans="3:6" ht="11.45" customHeight="1" x14ac:dyDescent="0.2">
      <c r="C248" s="70"/>
      <c r="D248" s="69" t="str">
        <f t="shared" si="13"/>
        <v/>
      </c>
      <c r="E248" s="69" t="str">
        <f t="shared" si="11"/>
        <v/>
      </c>
      <c r="F248" s="69" t="str">
        <f t="shared" si="12"/>
        <v/>
      </c>
    </row>
    <row r="249" spans="3:6" ht="11.45" customHeight="1" x14ac:dyDescent="0.2">
      <c r="C249" s="70"/>
      <c r="D249" s="69" t="str">
        <f t="shared" si="13"/>
        <v/>
      </c>
      <c r="E249" s="69" t="str">
        <f t="shared" si="11"/>
        <v/>
      </c>
      <c r="F249" s="69" t="str">
        <f t="shared" si="12"/>
        <v/>
      </c>
    </row>
    <row r="250" spans="3:6" ht="11.45" customHeight="1" x14ac:dyDescent="0.2">
      <c r="C250" s="70"/>
      <c r="D250" s="69" t="str">
        <f t="shared" si="13"/>
        <v/>
      </c>
      <c r="E250" s="69" t="str">
        <f t="shared" si="11"/>
        <v/>
      </c>
      <c r="F250" s="69" t="str">
        <f t="shared" si="12"/>
        <v/>
      </c>
    </row>
    <row r="251" spans="3:6" ht="11.45" customHeight="1" x14ac:dyDescent="0.2">
      <c r="C251" s="70"/>
      <c r="D251" s="69" t="str">
        <f t="shared" si="13"/>
        <v/>
      </c>
      <c r="E251" s="69" t="str">
        <f t="shared" si="11"/>
        <v/>
      </c>
      <c r="F251" s="69" t="str">
        <f t="shared" si="12"/>
        <v/>
      </c>
    </row>
    <row r="252" spans="3:6" ht="11.45" customHeight="1" x14ac:dyDescent="0.2">
      <c r="C252" s="70"/>
      <c r="D252" s="69" t="str">
        <f t="shared" si="13"/>
        <v/>
      </c>
      <c r="E252" s="69" t="str">
        <f t="shared" si="11"/>
        <v/>
      </c>
      <c r="F252" s="69" t="str">
        <f t="shared" si="12"/>
        <v/>
      </c>
    </row>
    <row r="253" spans="3:6" ht="11.45" customHeight="1" x14ac:dyDescent="0.2">
      <c r="C253" s="70"/>
      <c r="D253" s="69" t="str">
        <f t="shared" si="13"/>
        <v/>
      </c>
      <c r="E253" s="69" t="str">
        <f t="shared" si="11"/>
        <v/>
      </c>
      <c r="F253" s="69" t="str">
        <f t="shared" si="12"/>
        <v/>
      </c>
    </row>
    <row r="254" spans="3:6" ht="11.45" customHeight="1" x14ac:dyDescent="0.2">
      <c r="C254" s="70"/>
      <c r="D254" s="69" t="str">
        <f t="shared" si="13"/>
        <v/>
      </c>
      <c r="E254" s="69" t="str">
        <f t="shared" si="11"/>
        <v/>
      </c>
      <c r="F254" s="69" t="str">
        <f t="shared" si="12"/>
        <v/>
      </c>
    </row>
    <row r="255" spans="3:6" ht="11.45" customHeight="1" x14ac:dyDescent="0.2">
      <c r="C255" s="70"/>
      <c r="D255" s="69" t="str">
        <f t="shared" si="13"/>
        <v/>
      </c>
      <c r="E255" s="69" t="str">
        <f t="shared" si="11"/>
        <v/>
      </c>
      <c r="F255" s="69" t="str">
        <f t="shared" si="12"/>
        <v/>
      </c>
    </row>
    <row r="256" spans="3:6" ht="11.45" customHeight="1" x14ac:dyDescent="0.2">
      <c r="C256" s="70"/>
      <c r="D256" s="69" t="str">
        <f t="shared" si="13"/>
        <v/>
      </c>
      <c r="E256" s="69" t="str">
        <f t="shared" si="11"/>
        <v/>
      </c>
      <c r="F256" s="69" t="str">
        <f t="shared" si="12"/>
        <v/>
      </c>
    </row>
    <row r="257" spans="3:6" ht="11.45" customHeight="1" x14ac:dyDescent="0.2">
      <c r="C257" s="70"/>
      <c r="D257" s="69" t="str">
        <f t="shared" si="13"/>
        <v/>
      </c>
      <c r="E257" s="69" t="str">
        <f t="shared" si="11"/>
        <v/>
      </c>
      <c r="F257" s="69" t="str">
        <f t="shared" si="12"/>
        <v/>
      </c>
    </row>
    <row r="258" spans="3:6" ht="11.45" customHeight="1" x14ac:dyDescent="0.2">
      <c r="C258" s="70"/>
      <c r="D258" s="69" t="str">
        <f t="shared" si="13"/>
        <v/>
      </c>
      <c r="E258" s="69" t="str">
        <f t="shared" si="11"/>
        <v/>
      </c>
      <c r="F258" s="69" t="str">
        <f t="shared" si="12"/>
        <v/>
      </c>
    </row>
    <row r="259" spans="3:6" ht="11.45" customHeight="1" x14ac:dyDescent="0.2">
      <c r="C259" s="70"/>
      <c r="D259" s="69" t="str">
        <f t="shared" si="13"/>
        <v/>
      </c>
      <c r="E259" s="69" t="str">
        <f t="shared" si="11"/>
        <v/>
      </c>
      <c r="F259" s="69" t="str">
        <f t="shared" si="12"/>
        <v/>
      </c>
    </row>
    <row r="260" spans="3:6" ht="11.45" customHeight="1" x14ac:dyDescent="0.2">
      <c r="C260" s="70"/>
      <c r="D260" s="69" t="str">
        <f t="shared" si="13"/>
        <v/>
      </c>
      <c r="E260" s="69" t="str">
        <f t="shared" si="11"/>
        <v/>
      </c>
      <c r="F260" s="69" t="str">
        <f t="shared" si="12"/>
        <v/>
      </c>
    </row>
    <row r="261" spans="3:6" ht="11.45" customHeight="1" x14ac:dyDescent="0.2">
      <c r="C261" s="70"/>
      <c r="D261" s="69" t="str">
        <f t="shared" si="13"/>
        <v/>
      </c>
      <c r="E261" s="69" t="str">
        <f t="shared" si="11"/>
        <v/>
      </c>
      <c r="F261" s="69" t="str">
        <f t="shared" si="12"/>
        <v/>
      </c>
    </row>
    <row r="262" spans="3:6" ht="11.45" customHeight="1" x14ac:dyDescent="0.2">
      <c r="C262" s="70"/>
      <c r="D262" s="69" t="str">
        <f t="shared" si="13"/>
        <v/>
      </c>
      <c r="E262" s="69" t="str">
        <f t="shared" si="11"/>
        <v/>
      </c>
      <c r="F262" s="69" t="str">
        <f t="shared" si="12"/>
        <v/>
      </c>
    </row>
    <row r="263" spans="3:6" ht="11.45" customHeight="1" x14ac:dyDescent="0.2">
      <c r="C263" s="70"/>
      <c r="D263" s="69" t="str">
        <f t="shared" si="13"/>
        <v/>
      </c>
      <c r="E263" s="69" t="str">
        <f t="shared" si="11"/>
        <v/>
      </c>
      <c r="F263" s="69" t="str">
        <f t="shared" si="12"/>
        <v/>
      </c>
    </row>
    <row r="264" spans="3:6" ht="11.45" customHeight="1" x14ac:dyDescent="0.2">
      <c r="C264" s="70"/>
      <c r="D264" s="69" t="str">
        <f t="shared" si="13"/>
        <v/>
      </c>
      <c r="E264" s="69" t="str">
        <f t="shared" si="11"/>
        <v/>
      </c>
      <c r="F264" s="69" t="str">
        <f t="shared" si="12"/>
        <v/>
      </c>
    </row>
    <row r="265" spans="3:6" ht="11.45" customHeight="1" x14ac:dyDescent="0.2">
      <c r="C265" s="70"/>
      <c r="D265" s="69" t="str">
        <f t="shared" si="13"/>
        <v/>
      </c>
      <c r="E265" s="69" t="str">
        <f t="shared" si="11"/>
        <v/>
      </c>
      <c r="F265" s="69" t="str">
        <f t="shared" si="12"/>
        <v/>
      </c>
    </row>
    <row r="266" spans="3:6" ht="11.45" customHeight="1" x14ac:dyDescent="0.2">
      <c r="C266" s="70"/>
      <c r="D266" s="69" t="str">
        <f t="shared" si="13"/>
        <v/>
      </c>
      <c r="E266" s="69" t="str">
        <f t="shared" si="11"/>
        <v/>
      </c>
      <c r="F266" s="69" t="str">
        <f t="shared" si="12"/>
        <v/>
      </c>
    </row>
    <row r="267" spans="3:6" ht="11.45" customHeight="1" x14ac:dyDescent="0.2">
      <c r="C267" s="70"/>
      <c r="D267" s="69" t="str">
        <f t="shared" si="13"/>
        <v/>
      </c>
      <c r="E267" s="69" t="str">
        <f t="shared" si="11"/>
        <v/>
      </c>
      <c r="F267" s="69" t="str">
        <f t="shared" si="12"/>
        <v/>
      </c>
    </row>
    <row r="268" spans="3:6" ht="11.45" customHeight="1" x14ac:dyDescent="0.2">
      <c r="C268" s="70"/>
      <c r="D268" s="69" t="str">
        <f t="shared" si="13"/>
        <v/>
      </c>
      <c r="E268" s="69" t="str">
        <f t="shared" si="11"/>
        <v/>
      </c>
      <c r="F268" s="69" t="str">
        <f t="shared" si="12"/>
        <v/>
      </c>
    </row>
    <row r="269" spans="3:6" ht="11.45" customHeight="1" x14ac:dyDescent="0.2">
      <c r="C269" s="70"/>
      <c r="D269" s="69" t="str">
        <f t="shared" si="13"/>
        <v/>
      </c>
      <c r="E269" s="69" t="str">
        <f t="shared" si="11"/>
        <v/>
      </c>
      <c r="F269" s="69" t="str">
        <f t="shared" si="12"/>
        <v/>
      </c>
    </row>
    <row r="270" spans="3:6" ht="11.45" customHeight="1" x14ac:dyDescent="0.2">
      <c r="C270" s="70"/>
      <c r="D270" s="69" t="str">
        <f t="shared" si="13"/>
        <v/>
      </c>
      <c r="E270" s="69" t="str">
        <f t="shared" si="11"/>
        <v/>
      </c>
      <c r="F270" s="69" t="str">
        <f t="shared" si="12"/>
        <v/>
      </c>
    </row>
    <row r="271" spans="3:6" ht="11.45" customHeight="1" x14ac:dyDescent="0.2">
      <c r="C271" s="70"/>
      <c r="D271" s="69" t="str">
        <f t="shared" si="13"/>
        <v/>
      </c>
      <c r="E271" s="69" t="str">
        <f t="shared" si="11"/>
        <v/>
      </c>
      <c r="F271" s="69" t="str">
        <f t="shared" si="12"/>
        <v/>
      </c>
    </row>
    <row r="272" spans="3:6" ht="11.45" customHeight="1" x14ac:dyDescent="0.2">
      <c r="C272" s="70"/>
      <c r="D272" s="69" t="str">
        <f t="shared" si="13"/>
        <v/>
      </c>
      <c r="E272" s="69" t="str">
        <f t="shared" si="11"/>
        <v/>
      </c>
      <c r="F272" s="69" t="str">
        <f t="shared" si="12"/>
        <v/>
      </c>
    </row>
    <row r="273" spans="3:6" ht="11.45" customHeight="1" x14ac:dyDescent="0.2">
      <c r="C273" s="70"/>
      <c r="D273" s="69" t="str">
        <f t="shared" si="13"/>
        <v/>
      </c>
      <c r="E273" s="69" t="str">
        <f t="shared" si="11"/>
        <v/>
      </c>
      <c r="F273" s="69" t="str">
        <f t="shared" si="12"/>
        <v/>
      </c>
    </row>
    <row r="274" spans="3:6" ht="11.45" customHeight="1" x14ac:dyDescent="0.2">
      <c r="C274" s="70"/>
      <c r="D274" s="69" t="str">
        <f t="shared" si="13"/>
        <v/>
      </c>
      <c r="E274" s="69" t="str">
        <f t="shared" si="11"/>
        <v/>
      </c>
      <c r="F274" s="69" t="str">
        <f t="shared" si="12"/>
        <v/>
      </c>
    </row>
    <row r="275" spans="3:6" ht="11.45" customHeight="1" x14ac:dyDescent="0.2">
      <c r="C275" s="70"/>
      <c r="D275" s="69" t="str">
        <f t="shared" si="13"/>
        <v/>
      </c>
      <c r="E275" s="69" t="str">
        <f t="shared" si="11"/>
        <v/>
      </c>
      <c r="F275" s="69" t="str">
        <f t="shared" si="12"/>
        <v/>
      </c>
    </row>
    <row r="276" spans="3:6" ht="11.45" customHeight="1" x14ac:dyDescent="0.2">
      <c r="C276" s="70"/>
      <c r="D276" s="69" t="str">
        <f t="shared" si="13"/>
        <v/>
      </c>
      <c r="E276" s="69" t="str">
        <f t="shared" si="11"/>
        <v/>
      </c>
      <c r="F276" s="69" t="str">
        <f t="shared" si="12"/>
        <v/>
      </c>
    </row>
    <row r="277" spans="3:6" ht="11.45" customHeight="1" x14ac:dyDescent="0.2">
      <c r="C277" s="70"/>
      <c r="D277" s="69" t="str">
        <f t="shared" si="13"/>
        <v/>
      </c>
      <c r="E277" s="69" t="str">
        <f t="shared" si="11"/>
        <v/>
      </c>
      <c r="F277" s="69" t="str">
        <f t="shared" si="12"/>
        <v/>
      </c>
    </row>
    <row r="278" spans="3:6" ht="11.45" customHeight="1" x14ac:dyDescent="0.2">
      <c r="C278" s="70"/>
      <c r="D278" s="69" t="str">
        <f t="shared" si="13"/>
        <v/>
      </c>
      <c r="E278" s="69" t="str">
        <f t="shared" si="11"/>
        <v/>
      </c>
      <c r="F278" s="69" t="str">
        <f t="shared" si="12"/>
        <v/>
      </c>
    </row>
    <row r="279" spans="3:6" ht="11.45" customHeight="1" x14ac:dyDescent="0.2">
      <c r="C279" s="70"/>
      <c r="D279" s="69" t="str">
        <f t="shared" si="13"/>
        <v/>
      </c>
      <c r="E279" s="69" t="str">
        <f t="shared" si="11"/>
        <v/>
      </c>
      <c r="F279" s="69" t="str">
        <f t="shared" si="12"/>
        <v/>
      </c>
    </row>
    <row r="280" spans="3:6" ht="11.45" customHeight="1" x14ac:dyDescent="0.2">
      <c r="C280" s="70"/>
      <c r="D280" s="69" t="str">
        <f t="shared" si="13"/>
        <v/>
      </c>
      <c r="E280" s="69" t="str">
        <f t="shared" si="11"/>
        <v/>
      </c>
      <c r="F280" s="69" t="str">
        <f t="shared" si="12"/>
        <v/>
      </c>
    </row>
    <row r="281" spans="3:6" ht="11.45" customHeight="1" x14ac:dyDescent="0.2">
      <c r="C281" s="70"/>
      <c r="D281" s="69" t="str">
        <f t="shared" si="13"/>
        <v/>
      </c>
      <c r="E281" s="69" t="str">
        <f t="shared" si="11"/>
        <v/>
      </c>
      <c r="F281" s="69" t="str">
        <f t="shared" si="12"/>
        <v/>
      </c>
    </row>
    <row r="282" spans="3:6" ht="11.45" customHeight="1" x14ac:dyDescent="0.2">
      <c r="C282" s="70"/>
      <c r="D282" s="69" t="str">
        <f t="shared" si="13"/>
        <v/>
      </c>
      <c r="E282" s="69" t="str">
        <f t="shared" si="11"/>
        <v/>
      </c>
      <c r="F282" s="69" t="str">
        <f t="shared" si="12"/>
        <v/>
      </c>
    </row>
    <row r="283" spans="3:6" ht="11.45" customHeight="1" x14ac:dyDescent="0.2">
      <c r="C283" s="70"/>
      <c r="D283" s="69" t="str">
        <f t="shared" si="13"/>
        <v/>
      </c>
      <c r="E283" s="69" t="str">
        <f t="shared" ref="E283:E346" si="14">IF(B283="","",J282)</f>
        <v/>
      </c>
      <c r="F283" s="69" t="str">
        <f t="shared" ref="F283:F346" si="15">IF(B283="","",$C$15)</f>
        <v/>
      </c>
    </row>
    <row r="284" spans="3:6" ht="11.45" customHeight="1" x14ac:dyDescent="0.2">
      <c r="C284" s="70"/>
      <c r="D284" s="69" t="str">
        <f t="shared" ref="D284:D347" si="16">IF(B284="","",C284-C283)</f>
        <v/>
      </c>
      <c r="E284" s="69" t="str">
        <f t="shared" si="14"/>
        <v/>
      </c>
      <c r="F284" s="69" t="str">
        <f t="shared" si="15"/>
        <v/>
      </c>
    </row>
    <row r="285" spans="3:6" ht="11.45" customHeight="1" x14ac:dyDescent="0.2">
      <c r="C285" s="70"/>
      <c r="D285" s="69" t="str">
        <f t="shared" si="16"/>
        <v/>
      </c>
      <c r="E285" s="69" t="str">
        <f t="shared" si="14"/>
        <v/>
      </c>
      <c r="F285" s="69" t="str">
        <f t="shared" si="15"/>
        <v/>
      </c>
    </row>
    <row r="286" spans="3:6" ht="11.45" customHeight="1" x14ac:dyDescent="0.2">
      <c r="C286" s="70"/>
      <c r="D286" s="69" t="str">
        <f t="shared" si="16"/>
        <v/>
      </c>
      <c r="E286" s="69" t="str">
        <f t="shared" si="14"/>
        <v/>
      </c>
      <c r="F286" s="69" t="str">
        <f t="shared" si="15"/>
        <v/>
      </c>
    </row>
    <row r="287" spans="3:6" ht="11.45" customHeight="1" x14ac:dyDescent="0.2">
      <c r="C287" s="70"/>
      <c r="D287" s="69" t="str">
        <f t="shared" si="16"/>
        <v/>
      </c>
      <c r="E287" s="69" t="str">
        <f t="shared" si="14"/>
        <v/>
      </c>
      <c r="F287" s="69" t="str">
        <f t="shared" si="15"/>
        <v/>
      </c>
    </row>
    <row r="288" spans="3:6" ht="11.45" customHeight="1" x14ac:dyDescent="0.2">
      <c r="C288" s="70"/>
      <c r="D288" s="69" t="str">
        <f t="shared" si="16"/>
        <v/>
      </c>
      <c r="E288" s="69" t="str">
        <f t="shared" si="14"/>
        <v/>
      </c>
      <c r="F288" s="69" t="str">
        <f t="shared" si="15"/>
        <v/>
      </c>
    </row>
    <row r="289" spans="3:6" ht="11.45" customHeight="1" x14ac:dyDescent="0.2">
      <c r="C289" s="70"/>
      <c r="D289" s="69" t="str">
        <f t="shared" si="16"/>
        <v/>
      </c>
      <c r="E289" s="69" t="str">
        <f t="shared" si="14"/>
        <v/>
      </c>
      <c r="F289" s="69" t="str">
        <f t="shared" si="15"/>
        <v/>
      </c>
    </row>
    <row r="290" spans="3:6" ht="11.45" customHeight="1" x14ac:dyDescent="0.2">
      <c r="C290" s="70"/>
      <c r="D290" s="69" t="str">
        <f t="shared" si="16"/>
        <v/>
      </c>
      <c r="E290" s="69" t="str">
        <f t="shared" si="14"/>
        <v/>
      </c>
      <c r="F290" s="69" t="str">
        <f t="shared" si="15"/>
        <v/>
      </c>
    </row>
    <row r="291" spans="3:6" ht="11.45" customHeight="1" x14ac:dyDescent="0.2">
      <c r="C291" s="70"/>
      <c r="D291" s="69" t="str">
        <f t="shared" si="16"/>
        <v/>
      </c>
      <c r="E291" s="69" t="str">
        <f t="shared" si="14"/>
        <v/>
      </c>
      <c r="F291" s="69" t="str">
        <f t="shared" si="15"/>
        <v/>
      </c>
    </row>
    <row r="292" spans="3:6" ht="11.45" customHeight="1" x14ac:dyDescent="0.2">
      <c r="C292" s="70"/>
      <c r="D292" s="69" t="str">
        <f t="shared" si="16"/>
        <v/>
      </c>
      <c r="E292" s="69" t="str">
        <f t="shared" si="14"/>
        <v/>
      </c>
      <c r="F292" s="69" t="str">
        <f t="shared" si="15"/>
        <v/>
      </c>
    </row>
    <row r="293" spans="3:6" ht="11.45" customHeight="1" x14ac:dyDescent="0.2">
      <c r="C293" s="70"/>
      <c r="D293" s="69" t="str">
        <f t="shared" si="16"/>
        <v/>
      </c>
      <c r="E293" s="69" t="str">
        <f t="shared" si="14"/>
        <v/>
      </c>
      <c r="F293" s="69" t="str">
        <f t="shared" si="15"/>
        <v/>
      </c>
    </row>
    <row r="294" spans="3:6" ht="11.45" customHeight="1" x14ac:dyDescent="0.2">
      <c r="C294" s="70"/>
      <c r="D294" s="69" t="str">
        <f t="shared" si="16"/>
        <v/>
      </c>
      <c r="E294" s="69" t="str">
        <f t="shared" si="14"/>
        <v/>
      </c>
      <c r="F294" s="69" t="str">
        <f t="shared" si="15"/>
        <v/>
      </c>
    </row>
    <row r="295" spans="3:6" ht="11.45" customHeight="1" x14ac:dyDescent="0.2">
      <c r="C295" s="70"/>
      <c r="D295" s="69" t="str">
        <f t="shared" si="16"/>
        <v/>
      </c>
      <c r="E295" s="69" t="str">
        <f t="shared" si="14"/>
        <v/>
      </c>
      <c r="F295" s="69" t="str">
        <f t="shared" si="15"/>
        <v/>
      </c>
    </row>
    <row r="296" spans="3:6" ht="11.45" customHeight="1" x14ac:dyDescent="0.2">
      <c r="C296" s="70"/>
      <c r="D296" s="69" t="str">
        <f t="shared" si="16"/>
        <v/>
      </c>
      <c r="E296" s="69" t="str">
        <f t="shared" si="14"/>
        <v/>
      </c>
      <c r="F296" s="69" t="str">
        <f t="shared" si="15"/>
        <v/>
      </c>
    </row>
    <row r="297" spans="3:6" ht="11.45" customHeight="1" x14ac:dyDescent="0.2">
      <c r="C297" s="70"/>
      <c r="D297" s="69" t="str">
        <f t="shared" si="16"/>
        <v/>
      </c>
      <c r="E297" s="69" t="str">
        <f t="shared" si="14"/>
        <v/>
      </c>
      <c r="F297" s="69" t="str">
        <f t="shared" si="15"/>
        <v/>
      </c>
    </row>
    <row r="298" spans="3:6" ht="11.45" customHeight="1" x14ac:dyDescent="0.2">
      <c r="C298" s="70"/>
      <c r="D298" s="69" t="str">
        <f t="shared" si="16"/>
        <v/>
      </c>
      <c r="E298" s="69" t="str">
        <f t="shared" si="14"/>
        <v/>
      </c>
      <c r="F298" s="69" t="str">
        <f t="shared" si="15"/>
        <v/>
      </c>
    </row>
    <row r="299" spans="3:6" ht="11.45" customHeight="1" x14ac:dyDescent="0.2">
      <c r="C299" s="70"/>
      <c r="D299" s="69" t="str">
        <f t="shared" si="16"/>
        <v/>
      </c>
      <c r="E299" s="69" t="str">
        <f t="shared" si="14"/>
        <v/>
      </c>
      <c r="F299" s="69" t="str">
        <f t="shared" si="15"/>
        <v/>
      </c>
    </row>
    <row r="300" spans="3:6" ht="11.45" customHeight="1" x14ac:dyDescent="0.2">
      <c r="C300" s="70"/>
      <c r="D300" s="69" t="str">
        <f t="shared" si="16"/>
        <v/>
      </c>
      <c r="E300" s="69" t="str">
        <f t="shared" si="14"/>
        <v/>
      </c>
      <c r="F300" s="69" t="str">
        <f t="shared" si="15"/>
        <v/>
      </c>
    </row>
    <row r="301" spans="3:6" ht="11.45" customHeight="1" x14ac:dyDescent="0.2">
      <c r="C301" s="70"/>
      <c r="D301" s="69" t="str">
        <f t="shared" si="16"/>
        <v/>
      </c>
      <c r="E301" s="69" t="str">
        <f t="shared" si="14"/>
        <v/>
      </c>
      <c r="F301" s="69" t="str">
        <f t="shared" si="15"/>
        <v/>
      </c>
    </row>
    <row r="302" spans="3:6" ht="11.45" customHeight="1" x14ac:dyDescent="0.2">
      <c r="C302" s="70"/>
      <c r="D302" s="69" t="str">
        <f t="shared" si="16"/>
        <v/>
      </c>
      <c r="E302" s="69" t="str">
        <f t="shared" si="14"/>
        <v/>
      </c>
      <c r="F302" s="69" t="str">
        <f t="shared" si="15"/>
        <v/>
      </c>
    </row>
    <row r="303" spans="3:6" ht="11.45" customHeight="1" x14ac:dyDescent="0.2">
      <c r="C303" s="70"/>
      <c r="D303" s="69" t="str">
        <f t="shared" si="16"/>
        <v/>
      </c>
      <c r="E303" s="69" t="str">
        <f t="shared" si="14"/>
        <v/>
      </c>
      <c r="F303" s="69" t="str">
        <f t="shared" si="15"/>
        <v/>
      </c>
    </row>
    <row r="304" spans="3:6" ht="11.45" customHeight="1" x14ac:dyDescent="0.2">
      <c r="C304" s="70"/>
      <c r="D304" s="69" t="str">
        <f t="shared" si="16"/>
        <v/>
      </c>
      <c r="E304" s="69" t="str">
        <f t="shared" si="14"/>
        <v/>
      </c>
      <c r="F304" s="69" t="str">
        <f t="shared" si="15"/>
        <v/>
      </c>
    </row>
    <row r="305" spans="3:6" ht="11.45" customHeight="1" x14ac:dyDescent="0.2">
      <c r="C305" s="70"/>
      <c r="D305" s="69" t="str">
        <f t="shared" si="16"/>
        <v/>
      </c>
      <c r="E305" s="69" t="str">
        <f t="shared" si="14"/>
        <v/>
      </c>
      <c r="F305" s="69" t="str">
        <f t="shared" si="15"/>
        <v/>
      </c>
    </row>
    <row r="306" spans="3:6" ht="11.45" customHeight="1" x14ac:dyDescent="0.2">
      <c r="C306" s="70"/>
      <c r="D306" s="69" t="str">
        <f t="shared" si="16"/>
        <v/>
      </c>
      <c r="E306" s="69" t="str">
        <f t="shared" si="14"/>
        <v/>
      </c>
      <c r="F306" s="69" t="str">
        <f t="shared" si="15"/>
        <v/>
      </c>
    </row>
    <row r="307" spans="3:6" ht="11.45" customHeight="1" x14ac:dyDescent="0.2">
      <c r="C307" s="70"/>
      <c r="D307" s="69" t="str">
        <f t="shared" si="16"/>
        <v/>
      </c>
      <c r="E307" s="69" t="str">
        <f t="shared" si="14"/>
        <v/>
      </c>
      <c r="F307" s="69" t="str">
        <f t="shared" si="15"/>
        <v/>
      </c>
    </row>
    <row r="308" spans="3:6" ht="11.45" customHeight="1" x14ac:dyDescent="0.2">
      <c r="C308" s="70"/>
      <c r="D308" s="69" t="str">
        <f t="shared" si="16"/>
        <v/>
      </c>
      <c r="E308" s="69" t="str">
        <f t="shared" si="14"/>
        <v/>
      </c>
      <c r="F308" s="69" t="str">
        <f t="shared" si="15"/>
        <v/>
      </c>
    </row>
    <row r="309" spans="3:6" ht="11.45" customHeight="1" x14ac:dyDescent="0.2">
      <c r="C309" s="70"/>
      <c r="D309" s="69" t="str">
        <f t="shared" si="16"/>
        <v/>
      </c>
      <c r="E309" s="69" t="str">
        <f t="shared" si="14"/>
        <v/>
      </c>
      <c r="F309" s="69" t="str">
        <f t="shared" si="15"/>
        <v/>
      </c>
    </row>
    <row r="310" spans="3:6" ht="11.45" customHeight="1" x14ac:dyDescent="0.2">
      <c r="C310" s="70"/>
      <c r="D310" s="69" t="str">
        <f t="shared" si="16"/>
        <v/>
      </c>
      <c r="E310" s="69" t="str">
        <f t="shared" si="14"/>
        <v/>
      </c>
      <c r="F310" s="69" t="str">
        <f t="shared" si="15"/>
        <v/>
      </c>
    </row>
    <row r="311" spans="3:6" ht="11.45" customHeight="1" x14ac:dyDescent="0.2">
      <c r="C311" s="70"/>
      <c r="D311" s="69" t="str">
        <f t="shared" si="16"/>
        <v/>
      </c>
      <c r="E311" s="69" t="str">
        <f t="shared" si="14"/>
        <v/>
      </c>
      <c r="F311" s="69" t="str">
        <f t="shared" si="15"/>
        <v/>
      </c>
    </row>
    <row r="312" spans="3:6" ht="11.45" customHeight="1" x14ac:dyDescent="0.2">
      <c r="C312" s="70"/>
      <c r="D312" s="69" t="str">
        <f t="shared" si="16"/>
        <v/>
      </c>
      <c r="E312" s="69" t="str">
        <f t="shared" si="14"/>
        <v/>
      </c>
      <c r="F312" s="69" t="str">
        <f t="shared" si="15"/>
        <v/>
      </c>
    </row>
    <row r="313" spans="3:6" ht="11.45" customHeight="1" x14ac:dyDescent="0.2">
      <c r="C313" s="70"/>
      <c r="D313" s="69" t="str">
        <f t="shared" si="16"/>
        <v/>
      </c>
      <c r="E313" s="69" t="str">
        <f t="shared" si="14"/>
        <v/>
      </c>
      <c r="F313" s="69" t="str">
        <f t="shared" si="15"/>
        <v/>
      </c>
    </row>
    <row r="314" spans="3:6" ht="11.45" customHeight="1" x14ac:dyDescent="0.2">
      <c r="C314" s="70"/>
      <c r="D314" s="69" t="str">
        <f t="shared" si="16"/>
        <v/>
      </c>
      <c r="E314" s="69" t="str">
        <f t="shared" si="14"/>
        <v/>
      </c>
      <c r="F314" s="69" t="str">
        <f t="shared" si="15"/>
        <v/>
      </c>
    </row>
    <row r="315" spans="3:6" ht="11.45" customHeight="1" x14ac:dyDescent="0.2">
      <c r="C315" s="70"/>
      <c r="D315" s="69" t="str">
        <f t="shared" si="16"/>
        <v/>
      </c>
      <c r="E315" s="69" t="str">
        <f t="shared" si="14"/>
        <v/>
      </c>
      <c r="F315" s="69" t="str">
        <f t="shared" si="15"/>
        <v/>
      </c>
    </row>
    <row r="316" spans="3:6" ht="11.45" customHeight="1" x14ac:dyDescent="0.2">
      <c r="C316" s="70"/>
      <c r="D316" s="69" t="str">
        <f t="shared" si="16"/>
        <v/>
      </c>
      <c r="E316" s="69" t="str">
        <f t="shared" si="14"/>
        <v/>
      </c>
      <c r="F316" s="69" t="str">
        <f t="shared" si="15"/>
        <v/>
      </c>
    </row>
    <row r="317" spans="3:6" ht="11.45" customHeight="1" x14ac:dyDescent="0.2">
      <c r="C317" s="70"/>
      <c r="D317" s="69" t="str">
        <f t="shared" si="16"/>
        <v/>
      </c>
      <c r="E317" s="69" t="str">
        <f t="shared" si="14"/>
        <v/>
      </c>
      <c r="F317" s="69" t="str">
        <f t="shared" si="15"/>
        <v/>
      </c>
    </row>
    <row r="318" spans="3:6" ht="11.45" customHeight="1" x14ac:dyDescent="0.2">
      <c r="C318" s="70"/>
      <c r="D318" s="69" t="str">
        <f t="shared" si="16"/>
        <v/>
      </c>
      <c r="E318" s="69" t="str">
        <f t="shared" si="14"/>
        <v/>
      </c>
      <c r="F318" s="69" t="str">
        <f t="shared" si="15"/>
        <v/>
      </c>
    </row>
    <row r="319" spans="3:6" ht="11.45" customHeight="1" x14ac:dyDescent="0.2">
      <c r="C319" s="70"/>
      <c r="D319" s="69" t="str">
        <f t="shared" si="16"/>
        <v/>
      </c>
      <c r="E319" s="69" t="str">
        <f t="shared" si="14"/>
        <v/>
      </c>
      <c r="F319" s="69" t="str">
        <f t="shared" si="15"/>
        <v/>
      </c>
    </row>
    <row r="320" spans="3:6" ht="11.45" customHeight="1" x14ac:dyDescent="0.2">
      <c r="C320" s="70"/>
      <c r="D320" s="69" t="str">
        <f t="shared" si="16"/>
        <v/>
      </c>
      <c r="E320" s="69" t="str">
        <f t="shared" si="14"/>
        <v/>
      </c>
      <c r="F320" s="69" t="str">
        <f t="shared" si="15"/>
        <v/>
      </c>
    </row>
    <row r="321" spans="3:6" ht="11.45" customHeight="1" x14ac:dyDescent="0.2">
      <c r="C321" s="70"/>
      <c r="D321" s="69" t="str">
        <f t="shared" si="16"/>
        <v/>
      </c>
      <c r="E321" s="69" t="str">
        <f t="shared" si="14"/>
        <v/>
      </c>
      <c r="F321" s="69" t="str">
        <f t="shared" si="15"/>
        <v/>
      </c>
    </row>
    <row r="322" spans="3:6" ht="11.45" customHeight="1" x14ac:dyDescent="0.2">
      <c r="C322" s="70"/>
      <c r="D322" s="69" t="str">
        <f t="shared" si="16"/>
        <v/>
      </c>
      <c r="E322" s="69" t="str">
        <f t="shared" si="14"/>
        <v/>
      </c>
      <c r="F322" s="69" t="str">
        <f t="shared" si="15"/>
        <v/>
      </c>
    </row>
    <row r="323" spans="3:6" ht="11.45" customHeight="1" x14ac:dyDescent="0.2">
      <c r="C323" s="70"/>
      <c r="D323" s="69" t="str">
        <f t="shared" si="16"/>
        <v/>
      </c>
      <c r="E323" s="69" t="str">
        <f t="shared" si="14"/>
        <v/>
      </c>
      <c r="F323" s="69" t="str">
        <f t="shared" si="15"/>
        <v/>
      </c>
    </row>
    <row r="324" spans="3:6" ht="11.45" customHeight="1" x14ac:dyDescent="0.2">
      <c r="C324" s="70"/>
      <c r="D324" s="69" t="str">
        <f t="shared" si="16"/>
        <v/>
      </c>
      <c r="E324" s="69" t="str">
        <f t="shared" si="14"/>
        <v/>
      </c>
      <c r="F324" s="69" t="str">
        <f t="shared" si="15"/>
        <v/>
      </c>
    </row>
    <row r="325" spans="3:6" ht="11.45" customHeight="1" x14ac:dyDescent="0.2">
      <c r="C325" s="70"/>
      <c r="D325" s="69" t="str">
        <f t="shared" si="16"/>
        <v/>
      </c>
      <c r="E325" s="69" t="str">
        <f t="shared" si="14"/>
        <v/>
      </c>
      <c r="F325" s="69" t="str">
        <f t="shared" si="15"/>
        <v/>
      </c>
    </row>
    <row r="326" spans="3:6" ht="11.45" customHeight="1" x14ac:dyDescent="0.2">
      <c r="C326" s="70"/>
      <c r="D326" s="69" t="str">
        <f t="shared" si="16"/>
        <v/>
      </c>
      <c r="E326" s="69" t="str">
        <f t="shared" si="14"/>
        <v/>
      </c>
      <c r="F326" s="69" t="str">
        <f t="shared" si="15"/>
        <v/>
      </c>
    </row>
    <row r="327" spans="3:6" ht="11.45" customHeight="1" x14ac:dyDescent="0.2">
      <c r="C327" s="70"/>
      <c r="D327" s="69" t="str">
        <f t="shared" si="16"/>
        <v/>
      </c>
      <c r="E327" s="69" t="str">
        <f t="shared" si="14"/>
        <v/>
      </c>
      <c r="F327" s="69" t="str">
        <f t="shared" si="15"/>
        <v/>
      </c>
    </row>
    <row r="328" spans="3:6" ht="11.45" customHeight="1" x14ac:dyDescent="0.2">
      <c r="C328" s="70"/>
      <c r="D328" s="69" t="str">
        <f t="shared" si="16"/>
        <v/>
      </c>
      <c r="E328" s="69" t="str">
        <f t="shared" si="14"/>
        <v/>
      </c>
      <c r="F328" s="69" t="str">
        <f t="shared" si="15"/>
        <v/>
      </c>
    </row>
    <row r="329" spans="3:6" ht="11.45" customHeight="1" x14ac:dyDescent="0.2">
      <c r="C329" s="70"/>
      <c r="D329" s="69" t="str">
        <f t="shared" si="16"/>
        <v/>
      </c>
      <c r="E329" s="69" t="str">
        <f t="shared" si="14"/>
        <v/>
      </c>
      <c r="F329" s="69" t="str">
        <f t="shared" si="15"/>
        <v/>
      </c>
    </row>
    <row r="330" spans="3:6" ht="11.45" customHeight="1" x14ac:dyDescent="0.2">
      <c r="C330" s="70"/>
      <c r="D330" s="69" t="str">
        <f t="shared" si="16"/>
        <v/>
      </c>
      <c r="E330" s="69" t="str">
        <f t="shared" si="14"/>
        <v/>
      </c>
      <c r="F330" s="69" t="str">
        <f t="shared" si="15"/>
        <v/>
      </c>
    </row>
    <row r="331" spans="3:6" ht="11.45" customHeight="1" x14ac:dyDescent="0.2">
      <c r="C331" s="70"/>
      <c r="D331" s="69" t="str">
        <f t="shared" si="16"/>
        <v/>
      </c>
      <c r="E331" s="69" t="str">
        <f t="shared" si="14"/>
        <v/>
      </c>
      <c r="F331" s="69" t="str">
        <f t="shared" si="15"/>
        <v/>
      </c>
    </row>
    <row r="332" spans="3:6" ht="11.45" customHeight="1" x14ac:dyDescent="0.2">
      <c r="C332" s="70"/>
      <c r="D332" s="69" t="str">
        <f t="shared" si="16"/>
        <v/>
      </c>
      <c r="E332" s="69" t="str">
        <f t="shared" si="14"/>
        <v/>
      </c>
      <c r="F332" s="69" t="str">
        <f t="shared" si="15"/>
        <v/>
      </c>
    </row>
    <row r="333" spans="3:6" ht="11.45" customHeight="1" x14ac:dyDescent="0.2">
      <c r="C333" s="70"/>
      <c r="D333" s="69" t="str">
        <f t="shared" si="16"/>
        <v/>
      </c>
      <c r="E333" s="69" t="str">
        <f t="shared" si="14"/>
        <v/>
      </c>
      <c r="F333" s="69" t="str">
        <f t="shared" si="15"/>
        <v/>
      </c>
    </row>
    <row r="334" spans="3:6" ht="11.45" customHeight="1" x14ac:dyDescent="0.2">
      <c r="C334" s="70"/>
      <c r="D334" s="69" t="str">
        <f t="shared" si="16"/>
        <v/>
      </c>
      <c r="E334" s="69" t="str">
        <f t="shared" si="14"/>
        <v/>
      </c>
      <c r="F334" s="69" t="str">
        <f t="shared" si="15"/>
        <v/>
      </c>
    </row>
    <row r="335" spans="3:6" ht="11.45" customHeight="1" x14ac:dyDescent="0.2">
      <c r="C335" s="70"/>
      <c r="D335" s="69" t="str">
        <f t="shared" si="16"/>
        <v/>
      </c>
      <c r="E335" s="69" t="str">
        <f t="shared" si="14"/>
        <v/>
      </c>
      <c r="F335" s="69" t="str">
        <f t="shared" si="15"/>
        <v/>
      </c>
    </row>
    <row r="336" spans="3:6" ht="11.45" customHeight="1" x14ac:dyDescent="0.2">
      <c r="C336" s="70"/>
      <c r="D336" s="69" t="str">
        <f t="shared" si="16"/>
        <v/>
      </c>
      <c r="E336" s="69" t="str">
        <f t="shared" si="14"/>
        <v/>
      </c>
      <c r="F336" s="69" t="str">
        <f t="shared" si="15"/>
        <v/>
      </c>
    </row>
    <row r="337" spans="3:6" ht="11.45" customHeight="1" x14ac:dyDescent="0.2">
      <c r="C337" s="70"/>
      <c r="D337" s="69" t="str">
        <f t="shared" si="16"/>
        <v/>
      </c>
      <c r="E337" s="69" t="str">
        <f t="shared" si="14"/>
        <v/>
      </c>
      <c r="F337" s="69" t="str">
        <f t="shared" si="15"/>
        <v/>
      </c>
    </row>
    <row r="338" spans="3:6" ht="11.45" customHeight="1" x14ac:dyDescent="0.2">
      <c r="C338" s="70"/>
      <c r="D338" s="69" t="str">
        <f t="shared" si="16"/>
        <v/>
      </c>
      <c r="E338" s="69" t="str">
        <f t="shared" si="14"/>
        <v/>
      </c>
      <c r="F338" s="69" t="str">
        <f t="shared" si="15"/>
        <v/>
      </c>
    </row>
    <row r="339" spans="3:6" ht="11.45" customHeight="1" x14ac:dyDescent="0.2">
      <c r="C339" s="70"/>
      <c r="D339" s="69" t="str">
        <f t="shared" si="16"/>
        <v/>
      </c>
      <c r="E339" s="69" t="str">
        <f t="shared" si="14"/>
        <v/>
      </c>
      <c r="F339" s="69" t="str">
        <f t="shared" si="15"/>
        <v/>
      </c>
    </row>
    <row r="340" spans="3:6" ht="11.45" customHeight="1" x14ac:dyDescent="0.2">
      <c r="C340" s="70"/>
      <c r="D340" s="69" t="str">
        <f t="shared" si="16"/>
        <v/>
      </c>
      <c r="E340" s="69" t="str">
        <f t="shared" si="14"/>
        <v/>
      </c>
      <c r="F340" s="69" t="str">
        <f t="shared" si="15"/>
        <v/>
      </c>
    </row>
    <row r="341" spans="3:6" ht="11.45" customHeight="1" x14ac:dyDescent="0.2">
      <c r="C341" s="70"/>
      <c r="D341" s="69" t="str">
        <f t="shared" si="16"/>
        <v/>
      </c>
      <c r="E341" s="69" t="str">
        <f t="shared" si="14"/>
        <v/>
      </c>
      <c r="F341" s="69" t="str">
        <f t="shared" si="15"/>
        <v/>
      </c>
    </row>
    <row r="342" spans="3:6" ht="11.45" customHeight="1" x14ac:dyDescent="0.2">
      <c r="C342" s="70"/>
      <c r="D342" s="69" t="str">
        <f t="shared" si="16"/>
        <v/>
      </c>
      <c r="E342" s="69" t="str">
        <f t="shared" si="14"/>
        <v/>
      </c>
      <c r="F342" s="69" t="str">
        <f t="shared" si="15"/>
        <v/>
      </c>
    </row>
    <row r="343" spans="3:6" ht="11.45" customHeight="1" x14ac:dyDescent="0.2">
      <c r="C343" s="70"/>
      <c r="D343" s="69" t="str">
        <f t="shared" si="16"/>
        <v/>
      </c>
      <c r="E343" s="69" t="str">
        <f t="shared" si="14"/>
        <v/>
      </c>
      <c r="F343" s="69" t="str">
        <f t="shared" si="15"/>
        <v/>
      </c>
    </row>
    <row r="344" spans="3:6" ht="11.45" customHeight="1" x14ac:dyDescent="0.2">
      <c r="C344" s="70"/>
      <c r="D344" s="69" t="str">
        <f t="shared" si="16"/>
        <v/>
      </c>
      <c r="E344" s="69" t="str">
        <f t="shared" si="14"/>
        <v/>
      </c>
      <c r="F344" s="69" t="str">
        <f t="shared" si="15"/>
        <v/>
      </c>
    </row>
    <row r="345" spans="3:6" ht="11.45" customHeight="1" x14ac:dyDescent="0.2">
      <c r="C345" s="70"/>
      <c r="D345" s="69" t="str">
        <f t="shared" si="16"/>
        <v/>
      </c>
      <c r="E345" s="69" t="str">
        <f t="shared" si="14"/>
        <v/>
      </c>
      <c r="F345" s="69" t="str">
        <f t="shared" si="15"/>
        <v/>
      </c>
    </row>
    <row r="346" spans="3:6" ht="11.45" customHeight="1" x14ac:dyDescent="0.2">
      <c r="C346" s="70"/>
      <c r="D346" s="69" t="str">
        <f t="shared" si="16"/>
        <v/>
      </c>
      <c r="E346" s="69" t="str">
        <f t="shared" si="14"/>
        <v/>
      </c>
      <c r="F346" s="69" t="str">
        <f t="shared" si="15"/>
        <v/>
      </c>
    </row>
    <row r="347" spans="3:6" ht="11.45" customHeight="1" x14ac:dyDescent="0.2">
      <c r="C347" s="70"/>
      <c r="D347" s="69" t="str">
        <f t="shared" si="16"/>
        <v/>
      </c>
      <c r="E347" s="69" t="str">
        <f t="shared" ref="E347:E410" si="17">IF(B347="","",J346)</f>
        <v/>
      </c>
      <c r="F347" s="69" t="str">
        <f t="shared" ref="F347:F410" si="18">IF(B347="","",$C$15)</f>
        <v/>
      </c>
    </row>
    <row r="348" spans="3:6" ht="11.45" customHeight="1" x14ac:dyDescent="0.2">
      <c r="C348" s="70"/>
      <c r="D348" s="69" t="str">
        <f t="shared" ref="D348:D411" si="19">IF(B348="","",C348-C347)</f>
        <v/>
      </c>
      <c r="E348" s="69" t="str">
        <f t="shared" si="17"/>
        <v/>
      </c>
      <c r="F348" s="69" t="str">
        <f t="shared" si="18"/>
        <v/>
      </c>
    </row>
    <row r="349" spans="3:6" ht="11.45" customHeight="1" x14ac:dyDescent="0.2">
      <c r="C349" s="70"/>
      <c r="D349" s="69" t="str">
        <f t="shared" si="19"/>
        <v/>
      </c>
      <c r="E349" s="69" t="str">
        <f t="shared" si="17"/>
        <v/>
      </c>
      <c r="F349" s="69" t="str">
        <f t="shared" si="18"/>
        <v/>
      </c>
    </row>
    <row r="350" spans="3:6" ht="11.45" customHeight="1" x14ac:dyDescent="0.2">
      <c r="C350" s="70"/>
      <c r="D350" s="69" t="str">
        <f t="shared" si="19"/>
        <v/>
      </c>
      <c r="E350" s="69" t="str">
        <f t="shared" si="17"/>
        <v/>
      </c>
      <c r="F350" s="69" t="str">
        <f t="shared" si="18"/>
        <v/>
      </c>
    </row>
    <row r="351" spans="3:6" ht="11.45" customHeight="1" x14ac:dyDescent="0.2">
      <c r="C351" s="70"/>
      <c r="D351" s="69" t="str">
        <f t="shared" si="19"/>
        <v/>
      </c>
      <c r="E351" s="69" t="str">
        <f t="shared" si="17"/>
        <v/>
      </c>
      <c r="F351" s="69" t="str">
        <f t="shared" si="18"/>
        <v/>
      </c>
    </row>
    <row r="352" spans="3:6" ht="11.45" customHeight="1" x14ac:dyDescent="0.2">
      <c r="C352" s="70"/>
      <c r="D352" s="69" t="str">
        <f t="shared" si="19"/>
        <v/>
      </c>
      <c r="E352" s="69" t="str">
        <f t="shared" si="17"/>
        <v/>
      </c>
      <c r="F352" s="69" t="str">
        <f t="shared" si="18"/>
        <v/>
      </c>
    </row>
    <row r="353" spans="3:6" ht="11.45" customHeight="1" x14ac:dyDescent="0.2">
      <c r="C353" s="70"/>
      <c r="D353" s="69" t="str">
        <f t="shared" si="19"/>
        <v/>
      </c>
      <c r="E353" s="69" t="str">
        <f t="shared" si="17"/>
        <v/>
      </c>
      <c r="F353" s="69" t="str">
        <f t="shared" si="18"/>
        <v/>
      </c>
    </row>
    <row r="354" spans="3:6" ht="11.45" customHeight="1" x14ac:dyDescent="0.2">
      <c r="C354" s="70"/>
      <c r="D354" s="69" t="str">
        <f t="shared" si="19"/>
        <v/>
      </c>
      <c r="E354" s="69" t="str">
        <f t="shared" si="17"/>
        <v/>
      </c>
      <c r="F354" s="69" t="str">
        <f t="shared" si="18"/>
        <v/>
      </c>
    </row>
    <row r="355" spans="3:6" ht="11.45" customHeight="1" x14ac:dyDescent="0.2">
      <c r="C355" s="70"/>
      <c r="D355" s="69" t="str">
        <f t="shared" si="19"/>
        <v/>
      </c>
      <c r="E355" s="69" t="str">
        <f t="shared" si="17"/>
        <v/>
      </c>
      <c r="F355" s="69" t="str">
        <f t="shared" si="18"/>
        <v/>
      </c>
    </row>
    <row r="356" spans="3:6" ht="11.45" customHeight="1" x14ac:dyDescent="0.2">
      <c r="C356" s="70"/>
      <c r="D356" s="69" t="str">
        <f t="shared" si="19"/>
        <v/>
      </c>
      <c r="E356" s="69" t="str">
        <f t="shared" si="17"/>
        <v/>
      </c>
      <c r="F356" s="69" t="str">
        <f t="shared" si="18"/>
        <v/>
      </c>
    </row>
    <row r="357" spans="3:6" ht="11.45" customHeight="1" x14ac:dyDescent="0.2">
      <c r="C357" s="70"/>
      <c r="D357" s="69" t="str">
        <f t="shared" si="19"/>
        <v/>
      </c>
      <c r="E357" s="69" t="str">
        <f t="shared" si="17"/>
        <v/>
      </c>
      <c r="F357" s="69" t="str">
        <f t="shared" si="18"/>
        <v/>
      </c>
    </row>
    <row r="358" spans="3:6" ht="11.45" customHeight="1" x14ac:dyDescent="0.2">
      <c r="C358" s="70"/>
      <c r="D358" s="69" t="str">
        <f t="shared" si="19"/>
        <v/>
      </c>
      <c r="E358" s="69" t="str">
        <f t="shared" si="17"/>
        <v/>
      </c>
      <c r="F358" s="69" t="str">
        <f t="shared" si="18"/>
        <v/>
      </c>
    </row>
    <row r="359" spans="3:6" ht="11.45" customHeight="1" x14ac:dyDescent="0.2">
      <c r="C359" s="70"/>
      <c r="D359" s="69" t="str">
        <f t="shared" si="19"/>
        <v/>
      </c>
      <c r="E359" s="69" t="str">
        <f t="shared" si="17"/>
        <v/>
      </c>
      <c r="F359" s="69" t="str">
        <f t="shared" si="18"/>
        <v/>
      </c>
    </row>
    <row r="360" spans="3:6" ht="11.45" customHeight="1" x14ac:dyDescent="0.2">
      <c r="C360" s="70"/>
      <c r="D360" s="69" t="str">
        <f t="shared" si="19"/>
        <v/>
      </c>
      <c r="E360" s="69" t="str">
        <f t="shared" si="17"/>
        <v/>
      </c>
      <c r="F360" s="69" t="str">
        <f t="shared" si="18"/>
        <v/>
      </c>
    </row>
    <row r="361" spans="3:6" ht="11.45" customHeight="1" x14ac:dyDescent="0.2">
      <c r="C361" s="70"/>
      <c r="D361" s="69" t="str">
        <f t="shared" si="19"/>
        <v/>
      </c>
      <c r="E361" s="69" t="str">
        <f t="shared" si="17"/>
        <v/>
      </c>
      <c r="F361" s="69" t="str">
        <f t="shared" si="18"/>
        <v/>
      </c>
    </row>
    <row r="362" spans="3:6" ht="11.45" customHeight="1" x14ac:dyDescent="0.2">
      <c r="C362" s="70"/>
      <c r="D362" s="69" t="str">
        <f t="shared" si="19"/>
        <v/>
      </c>
      <c r="E362" s="69" t="str">
        <f t="shared" si="17"/>
        <v/>
      </c>
      <c r="F362" s="69" t="str">
        <f t="shared" si="18"/>
        <v/>
      </c>
    </row>
    <row r="363" spans="3:6" ht="11.45" customHeight="1" x14ac:dyDescent="0.2">
      <c r="C363" s="70"/>
      <c r="D363" s="69" t="str">
        <f t="shared" si="19"/>
        <v/>
      </c>
      <c r="E363" s="69" t="str">
        <f t="shared" si="17"/>
        <v/>
      </c>
      <c r="F363" s="69" t="str">
        <f t="shared" si="18"/>
        <v/>
      </c>
    </row>
    <row r="364" spans="3:6" ht="11.45" customHeight="1" x14ac:dyDescent="0.2">
      <c r="C364" s="70"/>
      <c r="D364" s="69" t="str">
        <f t="shared" si="19"/>
        <v/>
      </c>
      <c r="E364" s="69" t="str">
        <f t="shared" si="17"/>
        <v/>
      </c>
      <c r="F364" s="69" t="str">
        <f t="shared" si="18"/>
        <v/>
      </c>
    </row>
    <row r="365" spans="3:6" ht="11.45" customHeight="1" x14ac:dyDescent="0.2">
      <c r="C365" s="70"/>
      <c r="D365" s="69" t="str">
        <f t="shared" si="19"/>
        <v/>
      </c>
      <c r="E365" s="69" t="str">
        <f t="shared" si="17"/>
        <v/>
      </c>
      <c r="F365" s="69" t="str">
        <f t="shared" si="18"/>
        <v/>
      </c>
    </row>
    <row r="366" spans="3:6" ht="11.45" customHeight="1" x14ac:dyDescent="0.2">
      <c r="C366" s="70"/>
      <c r="D366" s="69" t="str">
        <f t="shared" si="19"/>
        <v/>
      </c>
      <c r="E366" s="69" t="str">
        <f t="shared" si="17"/>
        <v/>
      </c>
      <c r="F366" s="69" t="str">
        <f t="shared" si="18"/>
        <v/>
      </c>
    </row>
    <row r="367" spans="3:6" ht="11.45" customHeight="1" x14ac:dyDescent="0.2">
      <c r="C367" s="70"/>
      <c r="D367" s="69" t="str">
        <f t="shared" si="19"/>
        <v/>
      </c>
      <c r="E367" s="69" t="str">
        <f t="shared" si="17"/>
        <v/>
      </c>
      <c r="F367" s="69" t="str">
        <f t="shared" si="18"/>
        <v/>
      </c>
    </row>
    <row r="368" spans="3:6" ht="11.45" customHeight="1" x14ac:dyDescent="0.2">
      <c r="C368" s="70"/>
      <c r="D368" s="69" t="str">
        <f t="shared" si="19"/>
        <v/>
      </c>
      <c r="E368" s="69" t="str">
        <f t="shared" si="17"/>
        <v/>
      </c>
      <c r="F368" s="69" t="str">
        <f t="shared" si="18"/>
        <v/>
      </c>
    </row>
    <row r="369" spans="3:6" ht="11.45" customHeight="1" x14ac:dyDescent="0.2">
      <c r="C369" s="70"/>
      <c r="D369" s="69" t="str">
        <f t="shared" si="19"/>
        <v/>
      </c>
      <c r="E369" s="69" t="str">
        <f t="shared" si="17"/>
        <v/>
      </c>
      <c r="F369" s="69" t="str">
        <f t="shared" si="18"/>
        <v/>
      </c>
    </row>
    <row r="370" spans="3:6" ht="11.45" customHeight="1" x14ac:dyDescent="0.2">
      <c r="C370" s="70"/>
      <c r="D370" s="69" t="str">
        <f t="shared" si="19"/>
        <v/>
      </c>
      <c r="E370" s="69" t="str">
        <f t="shared" si="17"/>
        <v/>
      </c>
      <c r="F370" s="69" t="str">
        <f t="shared" si="18"/>
        <v/>
      </c>
    </row>
    <row r="371" spans="3:6" ht="11.45" customHeight="1" x14ac:dyDescent="0.2">
      <c r="C371" s="70"/>
      <c r="D371" s="69" t="str">
        <f t="shared" si="19"/>
        <v/>
      </c>
      <c r="E371" s="69" t="str">
        <f t="shared" si="17"/>
        <v/>
      </c>
      <c r="F371" s="69" t="str">
        <f t="shared" si="18"/>
        <v/>
      </c>
    </row>
    <row r="372" spans="3:6" ht="11.45" customHeight="1" x14ac:dyDescent="0.2">
      <c r="C372" s="70"/>
      <c r="D372" s="69" t="str">
        <f t="shared" si="19"/>
        <v/>
      </c>
      <c r="E372" s="69" t="str">
        <f t="shared" si="17"/>
        <v/>
      </c>
      <c r="F372" s="69" t="str">
        <f t="shared" si="18"/>
        <v/>
      </c>
    </row>
    <row r="373" spans="3:6" ht="11.45" customHeight="1" x14ac:dyDescent="0.2">
      <c r="C373" s="70"/>
      <c r="D373" s="69" t="str">
        <f t="shared" si="19"/>
        <v/>
      </c>
      <c r="E373" s="69" t="str">
        <f t="shared" si="17"/>
        <v/>
      </c>
      <c r="F373" s="69" t="str">
        <f t="shared" si="18"/>
        <v/>
      </c>
    </row>
    <row r="374" spans="3:6" ht="11.45" customHeight="1" x14ac:dyDescent="0.2">
      <c r="C374" s="70"/>
      <c r="D374" s="69" t="str">
        <f t="shared" si="19"/>
        <v/>
      </c>
      <c r="E374" s="69" t="str">
        <f t="shared" si="17"/>
        <v/>
      </c>
      <c r="F374" s="69" t="str">
        <f t="shared" si="18"/>
        <v/>
      </c>
    </row>
    <row r="375" spans="3:6" ht="11.45" customHeight="1" x14ac:dyDescent="0.2">
      <c r="C375" s="70"/>
      <c r="D375" s="69" t="str">
        <f t="shared" si="19"/>
        <v/>
      </c>
      <c r="E375" s="69" t="str">
        <f t="shared" si="17"/>
        <v/>
      </c>
      <c r="F375" s="69" t="str">
        <f t="shared" si="18"/>
        <v/>
      </c>
    </row>
    <row r="376" spans="3:6" ht="11.45" customHeight="1" x14ac:dyDescent="0.2">
      <c r="C376" s="70"/>
      <c r="D376" s="69" t="str">
        <f t="shared" si="19"/>
        <v/>
      </c>
      <c r="E376" s="69" t="str">
        <f t="shared" si="17"/>
        <v/>
      </c>
      <c r="F376" s="69" t="str">
        <f t="shared" si="18"/>
        <v/>
      </c>
    </row>
    <row r="377" spans="3:6" ht="11.45" customHeight="1" x14ac:dyDescent="0.2">
      <c r="C377" s="70"/>
      <c r="D377" s="69" t="str">
        <f t="shared" si="19"/>
        <v/>
      </c>
      <c r="E377" s="69" t="str">
        <f t="shared" si="17"/>
        <v/>
      </c>
      <c r="F377" s="69" t="str">
        <f t="shared" si="18"/>
        <v/>
      </c>
    </row>
    <row r="378" spans="3:6" ht="11.45" customHeight="1" x14ac:dyDescent="0.2">
      <c r="C378" s="70"/>
      <c r="D378" s="69" t="str">
        <f t="shared" si="19"/>
        <v/>
      </c>
      <c r="E378" s="69" t="str">
        <f t="shared" si="17"/>
        <v/>
      </c>
      <c r="F378" s="69" t="str">
        <f t="shared" si="18"/>
        <v/>
      </c>
    </row>
    <row r="379" spans="3:6" ht="11.45" customHeight="1" x14ac:dyDescent="0.2">
      <c r="C379" s="70"/>
      <c r="D379" s="69" t="str">
        <f t="shared" si="19"/>
        <v/>
      </c>
      <c r="E379" s="69" t="str">
        <f t="shared" si="17"/>
        <v/>
      </c>
      <c r="F379" s="69" t="str">
        <f t="shared" si="18"/>
        <v/>
      </c>
    </row>
    <row r="380" spans="3:6" ht="11.45" customHeight="1" x14ac:dyDescent="0.2">
      <c r="C380" s="70"/>
      <c r="D380" s="69" t="str">
        <f t="shared" si="19"/>
        <v/>
      </c>
      <c r="E380" s="69" t="str">
        <f t="shared" si="17"/>
        <v/>
      </c>
      <c r="F380" s="69" t="str">
        <f t="shared" si="18"/>
        <v/>
      </c>
    </row>
    <row r="381" spans="3:6" ht="11.45" customHeight="1" x14ac:dyDescent="0.2">
      <c r="C381" s="70"/>
      <c r="D381" s="69" t="str">
        <f t="shared" si="19"/>
        <v/>
      </c>
      <c r="E381" s="69" t="str">
        <f t="shared" si="17"/>
        <v/>
      </c>
      <c r="F381" s="69" t="str">
        <f t="shared" si="18"/>
        <v/>
      </c>
    </row>
    <row r="382" spans="3:6" ht="11.45" customHeight="1" x14ac:dyDescent="0.2">
      <c r="C382" s="70"/>
      <c r="D382" s="69" t="str">
        <f t="shared" si="19"/>
        <v/>
      </c>
      <c r="E382" s="69" t="str">
        <f t="shared" si="17"/>
        <v/>
      </c>
      <c r="F382" s="69" t="str">
        <f t="shared" si="18"/>
        <v/>
      </c>
    </row>
    <row r="383" spans="3:6" ht="11.45" customHeight="1" x14ac:dyDescent="0.2">
      <c r="C383" s="70"/>
      <c r="D383" s="69" t="str">
        <f t="shared" si="19"/>
        <v/>
      </c>
      <c r="E383" s="69" t="str">
        <f t="shared" si="17"/>
        <v/>
      </c>
      <c r="F383" s="69" t="str">
        <f t="shared" si="18"/>
        <v/>
      </c>
    </row>
    <row r="384" spans="3:6" ht="11.45" customHeight="1" x14ac:dyDescent="0.2">
      <c r="C384" s="70"/>
      <c r="D384" s="69" t="str">
        <f t="shared" si="19"/>
        <v/>
      </c>
      <c r="E384" s="69" t="str">
        <f t="shared" si="17"/>
        <v/>
      </c>
      <c r="F384" s="69" t="str">
        <f t="shared" si="18"/>
        <v/>
      </c>
    </row>
    <row r="385" spans="3:6" ht="11.45" customHeight="1" x14ac:dyDescent="0.2">
      <c r="C385" s="70"/>
      <c r="D385" s="69" t="str">
        <f t="shared" si="19"/>
        <v/>
      </c>
      <c r="E385" s="69" t="str">
        <f t="shared" si="17"/>
        <v/>
      </c>
      <c r="F385" s="69" t="str">
        <f t="shared" si="18"/>
        <v/>
      </c>
    </row>
    <row r="386" spans="3:6" ht="11.45" customHeight="1" x14ac:dyDescent="0.2">
      <c r="C386" s="70"/>
      <c r="D386" s="69" t="str">
        <f t="shared" si="19"/>
        <v/>
      </c>
      <c r="E386" s="69" t="str">
        <f t="shared" si="17"/>
        <v/>
      </c>
      <c r="F386" s="69" t="str">
        <f t="shared" si="18"/>
        <v/>
      </c>
    </row>
    <row r="387" spans="3:6" ht="11.45" customHeight="1" x14ac:dyDescent="0.2">
      <c r="C387" s="70"/>
      <c r="D387" s="69" t="str">
        <f t="shared" si="19"/>
        <v/>
      </c>
      <c r="E387" s="69" t="str">
        <f t="shared" si="17"/>
        <v/>
      </c>
      <c r="F387" s="69" t="str">
        <f t="shared" si="18"/>
        <v/>
      </c>
    </row>
    <row r="388" spans="3:6" ht="11.45" customHeight="1" x14ac:dyDescent="0.2">
      <c r="C388" s="70"/>
      <c r="D388" s="69" t="str">
        <f t="shared" si="19"/>
        <v/>
      </c>
      <c r="E388" s="69" t="str">
        <f t="shared" si="17"/>
        <v/>
      </c>
      <c r="F388" s="69" t="str">
        <f t="shared" si="18"/>
        <v/>
      </c>
    </row>
    <row r="389" spans="3:6" ht="11.45" customHeight="1" x14ac:dyDescent="0.2">
      <c r="C389" s="70"/>
      <c r="D389" s="69" t="str">
        <f t="shared" si="19"/>
        <v/>
      </c>
      <c r="E389" s="69" t="str">
        <f t="shared" si="17"/>
        <v/>
      </c>
      <c r="F389" s="69" t="str">
        <f t="shared" si="18"/>
        <v/>
      </c>
    </row>
    <row r="390" spans="3:6" ht="11.45" customHeight="1" x14ac:dyDescent="0.2">
      <c r="C390" s="70"/>
      <c r="D390" s="69" t="str">
        <f t="shared" si="19"/>
        <v/>
      </c>
      <c r="E390" s="69" t="str">
        <f t="shared" si="17"/>
        <v/>
      </c>
      <c r="F390" s="69" t="str">
        <f t="shared" si="18"/>
        <v/>
      </c>
    </row>
    <row r="391" spans="3:6" ht="11.45" customHeight="1" x14ac:dyDescent="0.2">
      <c r="C391" s="70"/>
      <c r="D391" s="69" t="str">
        <f t="shared" si="19"/>
        <v/>
      </c>
      <c r="E391" s="69" t="str">
        <f t="shared" si="17"/>
        <v/>
      </c>
      <c r="F391" s="69" t="str">
        <f t="shared" si="18"/>
        <v/>
      </c>
    </row>
    <row r="392" spans="3:6" ht="11.45" customHeight="1" x14ac:dyDescent="0.2">
      <c r="C392" s="70"/>
      <c r="D392" s="69" t="str">
        <f t="shared" si="19"/>
        <v/>
      </c>
      <c r="E392" s="69" t="str">
        <f t="shared" si="17"/>
        <v/>
      </c>
      <c r="F392" s="69" t="str">
        <f t="shared" si="18"/>
        <v/>
      </c>
    </row>
    <row r="393" spans="3:6" ht="11.45" customHeight="1" x14ac:dyDescent="0.2">
      <c r="C393" s="70"/>
      <c r="D393" s="69" t="str">
        <f t="shared" si="19"/>
        <v/>
      </c>
      <c r="E393" s="69" t="str">
        <f t="shared" si="17"/>
        <v/>
      </c>
      <c r="F393" s="69" t="str">
        <f t="shared" si="18"/>
        <v/>
      </c>
    </row>
    <row r="394" spans="3:6" ht="11.45" customHeight="1" x14ac:dyDescent="0.2">
      <c r="C394" s="70"/>
      <c r="D394" s="69" t="str">
        <f t="shared" si="19"/>
        <v/>
      </c>
      <c r="E394" s="69" t="str">
        <f t="shared" si="17"/>
        <v/>
      </c>
      <c r="F394" s="69" t="str">
        <f t="shared" si="18"/>
        <v/>
      </c>
    </row>
    <row r="395" spans="3:6" ht="11.45" customHeight="1" x14ac:dyDescent="0.2">
      <c r="C395" s="70"/>
      <c r="D395" s="69" t="str">
        <f t="shared" si="19"/>
        <v/>
      </c>
      <c r="E395" s="69" t="str">
        <f t="shared" si="17"/>
        <v/>
      </c>
      <c r="F395" s="69" t="str">
        <f t="shared" si="18"/>
        <v/>
      </c>
    </row>
    <row r="396" spans="3:6" ht="11.45" customHeight="1" x14ac:dyDescent="0.2">
      <c r="C396" s="70"/>
      <c r="D396" s="69" t="str">
        <f t="shared" si="19"/>
        <v/>
      </c>
      <c r="E396" s="69" t="str">
        <f t="shared" si="17"/>
        <v/>
      </c>
      <c r="F396" s="69" t="str">
        <f t="shared" si="18"/>
        <v/>
      </c>
    </row>
    <row r="397" spans="3:6" ht="11.45" customHeight="1" x14ac:dyDescent="0.2">
      <c r="C397" s="70"/>
      <c r="D397" s="69" t="str">
        <f t="shared" si="19"/>
        <v/>
      </c>
      <c r="E397" s="69" t="str">
        <f t="shared" si="17"/>
        <v/>
      </c>
      <c r="F397" s="69" t="str">
        <f t="shared" si="18"/>
        <v/>
      </c>
    </row>
    <row r="398" spans="3:6" ht="11.45" customHeight="1" x14ac:dyDescent="0.2">
      <c r="C398" s="70"/>
      <c r="D398" s="69" t="str">
        <f t="shared" si="19"/>
        <v/>
      </c>
      <c r="E398" s="69" t="str">
        <f t="shared" si="17"/>
        <v/>
      </c>
      <c r="F398" s="69" t="str">
        <f t="shared" si="18"/>
        <v/>
      </c>
    </row>
    <row r="399" spans="3:6" ht="11.45" customHeight="1" x14ac:dyDescent="0.2">
      <c r="C399" s="70"/>
      <c r="D399" s="69" t="str">
        <f t="shared" si="19"/>
        <v/>
      </c>
      <c r="E399" s="69" t="str">
        <f t="shared" si="17"/>
        <v/>
      </c>
      <c r="F399" s="69" t="str">
        <f t="shared" si="18"/>
        <v/>
      </c>
    </row>
    <row r="400" spans="3:6" ht="11.45" customHeight="1" x14ac:dyDescent="0.2">
      <c r="C400" s="70"/>
      <c r="D400" s="69" t="str">
        <f t="shared" si="19"/>
        <v/>
      </c>
      <c r="E400" s="69" t="str">
        <f t="shared" si="17"/>
        <v/>
      </c>
      <c r="F400" s="69" t="str">
        <f t="shared" si="18"/>
        <v/>
      </c>
    </row>
    <row r="401" spans="3:6" ht="11.45" customHeight="1" x14ac:dyDescent="0.2">
      <c r="C401" s="70"/>
      <c r="D401" s="69" t="str">
        <f t="shared" si="19"/>
        <v/>
      </c>
      <c r="E401" s="69" t="str">
        <f t="shared" si="17"/>
        <v/>
      </c>
      <c r="F401" s="69" t="str">
        <f t="shared" si="18"/>
        <v/>
      </c>
    </row>
    <row r="402" spans="3:6" ht="11.45" customHeight="1" x14ac:dyDescent="0.2">
      <c r="C402" s="70"/>
      <c r="D402" s="69" t="str">
        <f t="shared" si="19"/>
        <v/>
      </c>
      <c r="E402" s="69" t="str">
        <f t="shared" si="17"/>
        <v/>
      </c>
      <c r="F402" s="69" t="str">
        <f t="shared" si="18"/>
        <v/>
      </c>
    </row>
    <row r="403" spans="3:6" ht="11.45" customHeight="1" x14ac:dyDescent="0.2">
      <c r="C403" s="70"/>
      <c r="D403" s="69" t="str">
        <f t="shared" si="19"/>
        <v/>
      </c>
      <c r="E403" s="69" t="str">
        <f t="shared" si="17"/>
        <v/>
      </c>
      <c r="F403" s="69" t="str">
        <f t="shared" si="18"/>
        <v/>
      </c>
    </row>
    <row r="404" spans="3:6" ht="11.45" customHeight="1" x14ac:dyDescent="0.2">
      <c r="C404" s="70"/>
      <c r="D404" s="69" t="str">
        <f t="shared" si="19"/>
        <v/>
      </c>
      <c r="E404" s="69" t="str">
        <f t="shared" si="17"/>
        <v/>
      </c>
      <c r="F404" s="69" t="str">
        <f t="shared" si="18"/>
        <v/>
      </c>
    </row>
    <row r="405" spans="3:6" ht="11.45" customHeight="1" x14ac:dyDescent="0.2">
      <c r="C405" s="70"/>
      <c r="D405" s="69" t="str">
        <f t="shared" si="19"/>
        <v/>
      </c>
      <c r="E405" s="69" t="str">
        <f t="shared" si="17"/>
        <v/>
      </c>
      <c r="F405" s="69" t="str">
        <f t="shared" si="18"/>
        <v/>
      </c>
    </row>
    <row r="406" spans="3:6" ht="11.45" customHeight="1" x14ac:dyDescent="0.2">
      <c r="C406" s="70"/>
      <c r="D406" s="69" t="str">
        <f t="shared" si="19"/>
        <v/>
      </c>
      <c r="E406" s="69" t="str">
        <f t="shared" si="17"/>
        <v/>
      </c>
      <c r="F406" s="69" t="str">
        <f t="shared" si="18"/>
        <v/>
      </c>
    </row>
    <row r="407" spans="3:6" ht="11.45" customHeight="1" x14ac:dyDescent="0.2">
      <c r="C407" s="70"/>
      <c r="D407" s="69" t="str">
        <f t="shared" si="19"/>
        <v/>
      </c>
      <c r="E407" s="69" t="str">
        <f t="shared" si="17"/>
        <v/>
      </c>
      <c r="F407" s="69" t="str">
        <f t="shared" si="18"/>
        <v/>
      </c>
    </row>
    <row r="408" spans="3:6" ht="11.45" customHeight="1" x14ac:dyDescent="0.2">
      <c r="C408" s="70"/>
      <c r="D408" s="69" t="str">
        <f t="shared" si="19"/>
        <v/>
      </c>
      <c r="E408" s="69" t="str">
        <f t="shared" si="17"/>
        <v/>
      </c>
      <c r="F408" s="69" t="str">
        <f t="shared" si="18"/>
        <v/>
      </c>
    </row>
    <row r="409" spans="3:6" ht="11.45" customHeight="1" x14ac:dyDescent="0.2">
      <c r="C409" s="70"/>
      <c r="D409" s="69" t="str">
        <f t="shared" si="19"/>
        <v/>
      </c>
      <c r="E409" s="69" t="str">
        <f t="shared" si="17"/>
        <v/>
      </c>
      <c r="F409" s="69" t="str">
        <f t="shared" si="18"/>
        <v/>
      </c>
    </row>
    <row r="410" spans="3:6" ht="11.45" customHeight="1" x14ac:dyDescent="0.2">
      <c r="C410" s="70"/>
      <c r="D410" s="69" t="str">
        <f t="shared" si="19"/>
        <v/>
      </c>
      <c r="E410" s="69" t="str">
        <f t="shared" si="17"/>
        <v/>
      </c>
      <c r="F410" s="69" t="str">
        <f t="shared" si="18"/>
        <v/>
      </c>
    </row>
    <row r="411" spans="3:6" ht="11.45" customHeight="1" x14ac:dyDescent="0.2">
      <c r="C411" s="70"/>
      <c r="D411" s="69" t="str">
        <f t="shared" si="19"/>
        <v/>
      </c>
      <c r="E411" s="69" t="str">
        <f t="shared" ref="E411:E474" si="20">IF(B411="","",J410)</f>
        <v/>
      </c>
      <c r="F411" s="69" t="str">
        <f t="shared" ref="F411:F474" si="21">IF(B411="","",$C$15)</f>
        <v/>
      </c>
    </row>
    <row r="412" spans="3:6" ht="11.45" customHeight="1" x14ac:dyDescent="0.2">
      <c r="C412" s="70"/>
      <c r="D412" s="69" t="str">
        <f t="shared" ref="D412:D475" si="22">IF(B412="","",C412-C411)</f>
        <v/>
      </c>
      <c r="E412" s="69" t="str">
        <f t="shared" si="20"/>
        <v/>
      </c>
      <c r="F412" s="69" t="str">
        <f t="shared" si="21"/>
        <v/>
      </c>
    </row>
    <row r="413" spans="3:6" ht="11.45" customHeight="1" x14ac:dyDescent="0.2">
      <c r="C413" s="70"/>
      <c r="D413" s="69" t="str">
        <f t="shared" si="22"/>
        <v/>
      </c>
      <c r="E413" s="69" t="str">
        <f t="shared" si="20"/>
        <v/>
      </c>
      <c r="F413" s="69" t="str">
        <f t="shared" si="21"/>
        <v/>
      </c>
    </row>
    <row r="414" spans="3:6" ht="11.45" customHeight="1" x14ac:dyDescent="0.2">
      <c r="C414" s="70"/>
      <c r="D414" s="69" t="str">
        <f t="shared" si="22"/>
        <v/>
      </c>
      <c r="E414" s="69" t="str">
        <f t="shared" si="20"/>
        <v/>
      </c>
      <c r="F414" s="69" t="str">
        <f t="shared" si="21"/>
        <v/>
      </c>
    </row>
    <row r="415" spans="3:6" ht="11.45" customHeight="1" x14ac:dyDescent="0.2">
      <c r="C415" s="70"/>
      <c r="D415" s="69" t="str">
        <f t="shared" si="22"/>
        <v/>
      </c>
      <c r="E415" s="69" t="str">
        <f t="shared" si="20"/>
        <v/>
      </c>
      <c r="F415" s="69" t="str">
        <f t="shared" si="21"/>
        <v/>
      </c>
    </row>
    <row r="416" spans="3:6" ht="11.45" customHeight="1" x14ac:dyDescent="0.2">
      <c r="C416" s="70"/>
      <c r="D416" s="69" t="str">
        <f t="shared" si="22"/>
        <v/>
      </c>
      <c r="E416" s="69" t="str">
        <f t="shared" si="20"/>
        <v/>
      </c>
      <c r="F416" s="69" t="str">
        <f t="shared" si="21"/>
        <v/>
      </c>
    </row>
    <row r="417" spans="3:6" ht="11.45" customHeight="1" x14ac:dyDescent="0.2">
      <c r="C417" s="70"/>
      <c r="D417" s="69" t="str">
        <f t="shared" si="22"/>
        <v/>
      </c>
      <c r="E417" s="69" t="str">
        <f t="shared" si="20"/>
        <v/>
      </c>
      <c r="F417" s="69" t="str">
        <f t="shared" si="21"/>
        <v/>
      </c>
    </row>
    <row r="418" spans="3:6" ht="11.45" customHeight="1" x14ac:dyDescent="0.2">
      <c r="C418" s="70"/>
      <c r="D418" s="69" t="str">
        <f t="shared" si="22"/>
        <v/>
      </c>
      <c r="E418" s="69" t="str">
        <f t="shared" si="20"/>
        <v/>
      </c>
      <c r="F418" s="69" t="str">
        <f t="shared" si="21"/>
        <v/>
      </c>
    </row>
    <row r="419" spans="3:6" ht="11.45" customHeight="1" x14ac:dyDescent="0.2">
      <c r="C419" s="70"/>
      <c r="D419" s="69" t="str">
        <f t="shared" si="22"/>
        <v/>
      </c>
      <c r="E419" s="69" t="str">
        <f t="shared" si="20"/>
        <v/>
      </c>
      <c r="F419" s="69" t="str">
        <f t="shared" si="21"/>
        <v/>
      </c>
    </row>
    <row r="420" spans="3:6" ht="11.45" customHeight="1" x14ac:dyDescent="0.2">
      <c r="C420" s="70"/>
      <c r="D420" s="69" t="str">
        <f t="shared" si="22"/>
        <v/>
      </c>
      <c r="E420" s="69" t="str">
        <f t="shared" si="20"/>
        <v/>
      </c>
      <c r="F420" s="69" t="str">
        <f t="shared" si="21"/>
        <v/>
      </c>
    </row>
    <row r="421" spans="3:6" ht="11.45" customHeight="1" x14ac:dyDescent="0.2">
      <c r="C421" s="70"/>
      <c r="D421" s="69" t="str">
        <f t="shared" si="22"/>
        <v/>
      </c>
      <c r="E421" s="69" t="str">
        <f t="shared" si="20"/>
        <v/>
      </c>
      <c r="F421" s="69" t="str">
        <f t="shared" si="21"/>
        <v/>
      </c>
    </row>
    <row r="422" spans="3:6" ht="11.45" customHeight="1" x14ac:dyDescent="0.2">
      <c r="C422" s="70"/>
      <c r="D422" s="69" t="str">
        <f t="shared" si="22"/>
        <v/>
      </c>
      <c r="E422" s="69" t="str">
        <f t="shared" si="20"/>
        <v/>
      </c>
      <c r="F422" s="69" t="str">
        <f t="shared" si="21"/>
        <v/>
      </c>
    </row>
    <row r="423" spans="3:6" ht="11.45" customHeight="1" x14ac:dyDescent="0.2">
      <c r="C423" s="70"/>
      <c r="D423" s="69" t="str">
        <f t="shared" si="22"/>
        <v/>
      </c>
      <c r="E423" s="69" t="str">
        <f t="shared" si="20"/>
        <v/>
      </c>
      <c r="F423" s="69" t="str">
        <f t="shared" si="21"/>
        <v/>
      </c>
    </row>
    <row r="424" spans="3:6" ht="11.45" customHeight="1" x14ac:dyDescent="0.2">
      <c r="C424" s="70"/>
      <c r="D424" s="69" t="str">
        <f t="shared" si="22"/>
        <v/>
      </c>
      <c r="E424" s="69" t="str">
        <f t="shared" si="20"/>
        <v/>
      </c>
      <c r="F424" s="69" t="str">
        <f t="shared" si="21"/>
        <v/>
      </c>
    </row>
    <row r="425" spans="3:6" ht="11.45" customHeight="1" x14ac:dyDescent="0.2">
      <c r="C425" s="70"/>
      <c r="D425" s="69" t="str">
        <f t="shared" si="22"/>
        <v/>
      </c>
      <c r="E425" s="69" t="str">
        <f t="shared" si="20"/>
        <v/>
      </c>
      <c r="F425" s="69" t="str">
        <f t="shared" si="21"/>
        <v/>
      </c>
    </row>
    <row r="426" spans="3:6" ht="11.45" customHeight="1" x14ac:dyDescent="0.2">
      <c r="C426" s="70"/>
      <c r="D426" s="69" t="str">
        <f t="shared" si="22"/>
        <v/>
      </c>
      <c r="E426" s="69" t="str">
        <f t="shared" si="20"/>
        <v/>
      </c>
      <c r="F426" s="69" t="str">
        <f t="shared" si="21"/>
        <v/>
      </c>
    </row>
    <row r="427" spans="3:6" ht="11.45" customHeight="1" x14ac:dyDescent="0.2">
      <c r="C427" s="70"/>
      <c r="D427" s="69" t="str">
        <f t="shared" si="22"/>
        <v/>
      </c>
      <c r="E427" s="69" t="str">
        <f t="shared" si="20"/>
        <v/>
      </c>
      <c r="F427" s="69" t="str">
        <f t="shared" si="21"/>
        <v/>
      </c>
    </row>
    <row r="428" spans="3:6" ht="11.45" customHeight="1" x14ac:dyDescent="0.2">
      <c r="C428" s="70"/>
      <c r="D428" s="69" t="str">
        <f t="shared" si="22"/>
        <v/>
      </c>
      <c r="E428" s="69" t="str">
        <f t="shared" si="20"/>
        <v/>
      </c>
      <c r="F428" s="69" t="str">
        <f t="shared" si="21"/>
        <v/>
      </c>
    </row>
    <row r="429" spans="3:6" ht="11.45" customHeight="1" x14ac:dyDescent="0.2">
      <c r="C429" s="70"/>
      <c r="D429" s="69" t="str">
        <f t="shared" si="22"/>
        <v/>
      </c>
      <c r="E429" s="69" t="str">
        <f t="shared" si="20"/>
        <v/>
      </c>
      <c r="F429" s="69" t="str">
        <f t="shared" si="21"/>
        <v/>
      </c>
    </row>
    <row r="430" spans="3:6" ht="11.45" customHeight="1" x14ac:dyDescent="0.2">
      <c r="C430" s="70"/>
      <c r="D430" s="69" t="str">
        <f t="shared" si="22"/>
        <v/>
      </c>
      <c r="E430" s="69" t="str">
        <f t="shared" si="20"/>
        <v/>
      </c>
      <c r="F430" s="69" t="str">
        <f t="shared" si="21"/>
        <v/>
      </c>
    </row>
    <row r="431" spans="3:6" ht="11.45" customHeight="1" x14ac:dyDescent="0.2">
      <c r="C431" s="70"/>
      <c r="D431" s="69" t="str">
        <f t="shared" si="22"/>
        <v/>
      </c>
      <c r="E431" s="69" t="str">
        <f t="shared" si="20"/>
        <v/>
      </c>
      <c r="F431" s="69" t="str">
        <f t="shared" si="21"/>
        <v/>
      </c>
    </row>
    <row r="432" spans="3:6" ht="11.45" customHeight="1" x14ac:dyDescent="0.2">
      <c r="C432" s="70"/>
      <c r="D432" s="69" t="str">
        <f t="shared" si="22"/>
        <v/>
      </c>
      <c r="E432" s="69" t="str">
        <f t="shared" si="20"/>
        <v/>
      </c>
      <c r="F432" s="69" t="str">
        <f t="shared" si="21"/>
        <v/>
      </c>
    </row>
    <row r="433" spans="3:6" ht="11.45" customHeight="1" x14ac:dyDescent="0.2">
      <c r="C433" s="70"/>
      <c r="D433" s="69" t="str">
        <f t="shared" si="22"/>
        <v/>
      </c>
      <c r="E433" s="69" t="str">
        <f t="shared" si="20"/>
        <v/>
      </c>
      <c r="F433" s="69" t="str">
        <f t="shared" si="21"/>
        <v/>
      </c>
    </row>
    <row r="434" spans="3:6" ht="11.45" customHeight="1" x14ac:dyDescent="0.2">
      <c r="C434" s="70"/>
      <c r="D434" s="69" t="str">
        <f t="shared" si="22"/>
        <v/>
      </c>
      <c r="E434" s="69" t="str">
        <f t="shared" si="20"/>
        <v/>
      </c>
      <c r="F434" s="69" t="str">
        <f t="shared" si="21"/>
        <v/>
      </c>
    </row>
    <row r="435" spans="3:6" ht="11.45" customHeight="1" x14ac:dyDescent="0.2">
      <c r="C435" s="70"/>
      <c r="D435" s="69" t="str">
        <f t="shared" si="22"/>
        <v/>
      </c>
      <c r="E435" s="69" t="str">
        <f t="shared" si="20"/>
        <v/>
      </c>
      <c r="F435" s="69" t="str">
        <f t="shared" si="21"/>
        <v/>
      </c>
    </row>
    <row r="436" spans="3:6" ht="11.45" customHeight="1" x14ac:dyDescent="0.2">
      <c r="C436" s="70"/>
      <c r="D436" s="69" t="str">
        <f t="shared" si="22"/>
        <v/>
      </c>
      <c r="E436" s="69" t="str">
        <f t="shared" si="20"/>
        <v/>
      </c>
      <c r="F436" s="69" t="str">
        <f t="shared" si="21"/>
        <v/>
      </c>
    </row>
    <row r="437" spans="3:6" ht="11.45" customHeight="1" x14ac:dyDescent="0.2">
      <c r="C437" s="70"/>
      <c r="D437" s="69" t="str">
        <f t="shared" si="22"/>
        <v/>
      </c>
      <c r="E437" s="69" t="str">
        <f t="shared" si="20"/>
        <v/>
      </c>
      <c r="F437" s="69" t="str">
        <f t="shared" si="21"/>
        <v/>
      </c>
    </row>
    <row r="438" spans="3:6" ht="11.45" customHeight="1" x14ac:dyDescent="0.2">
      <c r="C438" s="70"/>
      <c r="D438" s="69" t="str">
        <f t="shared" si="22"/>
        <v/>
      </c>
      <c r="E438" s="69" t="str">
        <f t="shared" si="20"/>
        <v/>
      </c>
      <c r="F438" s="69" t="str">
        <f t="shared" si="21"/>
        <v/>
      </c>
    </row>
    <row r="439" spans="3:6" ht="11.45" customHeight="1" x14ac:dyDescent="0.2">
      <c r="C439" s="70"/>
      <c r="D439" s="69" t="str">
        <f t="shared" si="22"/>
        <v/>
      </c>
      <c r="E439" s="69" t="str">
        <f t="shared" si="20"/>
        <v/>
      </c>
      <c r="F439" s="69" t="str">
        <f t="shared" si="21"/>
        <v/>
      </c>
    </row>
    <row r="440" spans="3:6" ht="11.45" customHeight="1" x14ac:dyDescent="0.2">
      <c r="C440" s="70"/>
      <c r="D440" s="69" t="str">
        <f t="shared" si="22"/>
        <v/>
      </c>
      <c r="E440" s="69" t="str">
        <f t="shared" si="20"/>
        <v/>
      </c>
      <c r="F440" s="69" t="str">
        <f t="shared" si="21"/>
        <v/>
      </c>
    </row>
    <row r="441" spans="3:6" ht="11.45" customHeight="1" x14ac:dyDescent="0.2">
      <c r="C441" s="70"/>
      <c r="D441" s="69" t="str">
        <f t="shared" si="22"/>
        <v/>
      </c>
      <c r="E441" s="69" t="str">
        <f t="shared" si="20"/>
        <v/>
      </c>
      <c r="F441" s="69" t="str">
        <f t="shared" si="21"/>
        <v/>
      </c>
    </row>
    <row r="442" spans="3:6" ht="11.45" customHeight="1" x14ac:dyDescent="0.2">
      <c r="C442" s="70"/>
      <c r="D442" s="69" t="str">
        <f t="shared" si="22"/>
        <v/>
      </c>
      <c r="E442" s="69" t="str">
        <f t="shared" si="20"/>
        <v/>
      </c>
      <c r="F442" s="69" t="str">
        <f t="shared" si="21"/>
        <v/>
      </c>
    </row>
    <row r="443" spans="3:6" ht="11.45" customHeight="1" x14ac:dyDescent="0.2">
      <c r="C443" s="70"/>
      <c r="D443" s="69" t="str">
        <f t="shared" si="22"/>
        <v/>
      </c>
      <c r="E443" s="69" t="str">
        <f t="shared" si="20"/>
        <v/>
      </c>
      <c r="F443" s="69" t="str">
        <f t="shared" si="21"/>
        <v/>
      </c>
    </row>
    <row r="444" spans="3:6" ht="11.45" customHeight="1" x14ac:dyDescent="0.2">
      <c r="C444" s="70"/>
      <c r="D444" s="69" t="str">
        <f t="shared" si="22"/>
        <v/>
      </c>
      <c r="E444" s="69" t="str">
        <f t="shared" si="20"/>
        <v/>
      </c>
      <c r="F444" s="69" t="str">
        <f t="shared" si="21"/>
        <v/>
      </c>
    </row>
    <row r="445" spans="3:6" ht="11.45" customHeight="1" x14ac:dyDescent="0.2">
      <c r="C445" s="70"/>
      <c r="D445" s="69" t="str">
        <f t="shared" si="22"/>
        <v/>
      </c>
      <c r="E445" s="69" t="str">
        <f t="shared" si="20"/>
        <v/>
      </c>
      <c r="F445" s="69" t="str">
        <f t="shared" si="21"/>
        <v/>
      </c>
    </row>
    <row r="446" spans="3:6" ht="11.45" customHeight="1" x14ac:dyDescent="0.2">
      <c r="C446" s="70"/>
      <c r="D446" s="69" t="str">
        <f t="shared" si="22"/>
        <v/>
      </c>
      <c r="E446" s="69" t="str">
        <f t="shared" si="20"/>
        <v/>
      </c>
      <c r="F446" s="69" t="str">
        <f t="shared" si="21"/>
        <v/>
      </c>
    </row>
    <row r="447" spans="3:6" ht="11.45" customHeight="1" x14ac:dyDescent="0.2">
      <c r="C447" s="70"/>
      <c r="D447" s="69" t="str">
        <f t="shared" si="22"/>
        <v/>
      </c>
      <c r="E447" s="69" t="str">
        <f t="shared" si="20"/>
        <v/>
      </c>
      <c r="F447" s="69" t="str">
        <f t="shared" si="21"/>
        <v/>
      </c>
    </row>
    <row r="448" spans="3:6" ht="11.45" customHeight="1" x14ac:dyDescent="0.2">
      <c r="C448" s="70"/>
      <c r="D448" s="69" t="str">
        <f t="shared" si="22"/>
        <v/>
      </c>
      <c r="E448" s="69" t="str">
        <f t="shared" si="20"/>
        <v/>
      </c>
      <c r="F448" s="69" t="str">
        <f t="shared" si="21"/>
        <v/>
      </c>
    </row>
    <row r="449" spans="3:6" ht="11.45" customHeight="1" x14ac:dyDescent="0.2">
      <c r="C449" s="70"/>
      <c r="D449" s="69" t="str">
        <f t="shared" si="22"/>
        <v/>
      </c>
      <c r="E449" s="69" t="str">
        <f t="shared" si="20"/>
        <v/>
      </c>
      <c r="F449" s="69" t="str">
        <f t="shared" si="21"/>
        <v/>
      </c>
    </row>
    <row r="450" spans="3:6" ht="11.45" customHeight="1" x14ac:dyDescent="0.2">
      <c r="C450" s="70"/>
      <c r="D450" s="69" t="str">
        <f t="shared" si="22"/>
        <v/>
      </c>
      <c r="E450" s="69" t="str">
        <f t="shared" si="20"/>
        <v/>
      </c>
      <c r="F450" s="69" t="str">
        <f t="shared" si="21"/>
        <v/>
      </c>
    </row>
    <row r="451" spans="3:6" ht="11.45" customHeight="1" x14ac:dyDescent="0.2">
      <c r="C451" s="70"/>
      <c r="D451" s="69" t="str">
        <f t="shared" si="22"/>
        <v/>
      </c>
      <c r="E451" s="69" t="str">
        <f t="shared" si="20"/>
        <v/>
      </c>
      <c r="F451" s="69" t="str">
        <f t="shared" si="21"/>
        <v/>
      </c>
    </row>
    <row r="452" spans="3:6" ht="11.45" customHeight="1" x14ac:dyDescent="0.2">
      <c r="C452" s="70"/>
      <c r="D452" s="69" t="str">
        <f t="shared" si="22"/>
        <v/>
      </c>
      <c r="E452" s="69" t="str">
        <f t="shared" si="20"/>
        <v/>
      </c>
      <c r="F452" s="69" t="str">
        <f t="shared" si="21"/>
        <v/>
      </c>
    </row>
    <row r="453" spans="3:6" ht="11.45" customHeight="1" x14ac:dyDescent="0.2">
      <c r="C453" s="70"/>
      <c r="D453" s="69" t="str">
        <f t="shared" si="22"/>
        <v/>
      </c>
      <c r="E453" s="69" t="str">
        <f t="shared" si="20"/>
        <v/>
      </c>
      <c r="F453" s="69" t="str">
        <f t="shared" si="21"/>
        <v/>
      </c>
    </row>
    <row r="454" spans="3:6" ht="11.45" customHeight="1" x14ac:dyDescent="0.2">
      <c r="C454" s="70"/>
      <c r="D454" s="69" t="str">
        <f t="shared" si="22"/>
        <v/>
      </c>
      <c r="E454" s="69" t="str">
        <f t="shared" si="20"/>
        <v/>
      </c>
      <c r="F454" s="69" t="str">
        <f t="shared" si="21"/>
        <v/>
      </c>
    </row>
    <row r="455" spans="3:6" ht="11.45" customHeight="1" x14ac:dyDescent="0.2">
      <c r="C455" s="70"/>
      <c r="D455" s="69" t="str">
        <f t="shared" si="22"/>
        <v/>
      </c>
      <c r="E455" s="69" t="str">
        <f t="shared" si="20"/>
        <v/>
      </c>
      <c r="F455" s="69" t="str">
        <f t="shared" si="21"/>
        <v/>
      </c>
    </row>
    <row r="456" spans="3:6" ht="11.45" customHeight="1" x14ac:dyDescent="0.2">
      <c r="C456" s="70"/>
      <c r="D456" s="69" t="str">
        <f t="shared" si="22"/>
        <v/>
      </c>
      <c r="E456" s="69" t="str">
        <f t="shared" si="20"/>
        <v/>
      </c>
      <c r="F456" s="69" t="str">
        <f t="shared" si="21"/>
        <v/>
      </c>
    </row>
    <row r="457" spans="3:6" ht="11.45" customHeight="1" x14ac:dyDescent="0.2">
      <c r="C457" s="70"/>
      <c r="D457" s="69" t="str">
        <f t="shared" si="22"/>
        <v/>
      </c>
      <c r="E457" s="69" t="str">
        <f t="shared" si="20"/>
        <v/>
      </c>
      <c r="F457" s="69" t="str">
        <f t="shared" si="21"/>
        <v/>
      </c>
    </row>
    <row r="458" spans="3:6" ht="11.45" customHeight="1" x14ac:dyDescent="0.2">
      <c r="C458" s="70"/>
      <c r="D458" s="69" t="str">
        <f t="shared" si="22"/>
        <v/>
      </c>
      <c r="E458" s="69" t="str">
        <f t="shared" si="20"/>
        <v/>
      </c>
      <c r="F458" s="69" t="str">
        <f t="shared" si="21"/>
        <v/>
      </c>
    </row>
    <row r="459" spans="3:6" ht="11.45" customHeight="1" x14ac:dyDescent="0.2">
      <c r="C459" s="70"/>
      <c r="D459" s="69" t="str">
        <f t="shared" si="22"/>
        <v/>
      </c>
      <c r="E459" s="69" t="str">
        <f t="shared" si="20"/>
        <v/>
      </c>
      <c r="F459" s="69" t="str">
        <f t="shared" si="21"/>
        <v/>
      </c>
    </row>
    <row r="460" spans="3:6" ht="11.45" customHeight="1" x14ac:dyDescent="0.2">
      <c r="C460" s="70"/>
      <c r="D460" s="69" t="str">
        <f t="shared" si="22"/>
        <v/>
      </c>
      <c r="E460" s="69" t="str">
        <f t="shared" si="20"/>
        <v/>
      </c>
      <c r="F460" s="69" t="str">
        <f t="shared" si="21"/>
        <v/>
      </c>
    </row>
    <row r="461" spans="3:6" ht="11.45" customHeight="1" x14ac:dyDescent="0.2">
      <c r="C461" s="70"/>
      <c r="D461" s="69" t="str">
        <f t="shared" si="22"/>
        <v/>
      </c>
      <c r="E461" s="69" t="str">
        <f t="shared" si="20"/>
        <v/>
      </c>
      <c r="F461" s="69" t="str">
        <f t="shared" si="21"/>
        <v/>
      </c>
    </row>
    <row r="462" spans="3:6" ht="11.45" customHeight="1" x14ac:dyDescent="0.2">
      <c r="C462" s="70"/>
      <c r="D462" s="69" t="str">
        <f t="shared" si="22"/>
        <v/>
      </c>
      <c r="E462" s="69" t="str">
        <f t="shared" si="20"/>
        <v/>
      </c>
      <c r="F462" s="69" t="str">
        <f t="shared" si="21"/>
        <v/>
      </c>
    </row>
    <row r="463" spans="3:6" ht="11.45" customHeight="1" x14ac:dyDescent="0.2">
      <c r="C463" s="70"/>
      <c r="D463" s="69" t="str">
        <f t="shared" si="22"/>
        <v/>
      </c>
      <c r="E463" s="69" t="str">
        <f t="shared" si="20"/>
        <v/>
      </c>
      <c r="F463" s="69" t="str">
        <f t="shared" si="21"/>
        <v/>
      </c>
    </row>
    <row r="464" spans="3:6" ht="11.45" customHeight="1" x14ac:dyDescent="0.2">
      <c r="C464" s="70"/>
      <c r="D464" s="69" t="str">
        <f t="shared" si="22"/>
        <v/>
      </c>
      <c r="E464" s="69" t="str">
        <f t="shared" si="20"/>
        <v/>
      </c>
      <c r="F464" s="69" t="str">
        <f t="shared" si="21"/>
        <v/>
      </c>
    </row>
    <row r="465" spans="3:6" ht="11.45" customHeight="1" x14ac:dyDescent="0.2">
      <c r="C465" s="70"/>
      <c r="D465" s="69" t="str">
        <f t="shared" si="22"/>
        <v/>
      </c>
      <c r="E465" s="69" t="str">
        <f t="shared" si="20"/>
        <v/>
      </c>
      <c r="F465" s="69" t="str">
        <f t="shared" si="21"/>
        <v/>
      </c>
    </row>
    <row r="466" spans="3:6" ht="11.45" customHeight="1" x14ac:dyDescent="0.2">
      <c r="C466" s="70"/>
      <c r="D466" s="69" t="str">
        <f t="shared" si="22"/>
        <v/>
      </c>
      <c r="E466" s="69" t="str">
        <f t="shared" si="20"/>
        <v/>
      </c>
      <c r="F466" s="69" t="str">
        <f t="shared" si="21"/>
        <v/>
      </c>
    </row>
    <row r="467" spans="3:6" ht="11.45" customHeight="1" x14ac:dyDescent="0.2">
      <c r="C467" s="70"/>
      <c r="D467" s="69" t="str">
        <f t="shared" si="22"/>
        <v/>
      </c>
      <c r="E467" s="69" t="str">
        <f t="shared" si="20"/>
        <v/>
      </c>
      <c r="F467" s="69" t="str">
        <f t="shared" si="21"/>
        <v/>
      </c>
    </row>
    <row r="468" spans="3:6" ht="11.45" customHeight="1" x14ac:dyDescent="0.2">
      <c r="C468" s="70"/>
      <c r="D468" s="69" t="str">
        <f t="shared" si="22"/>
        <v/>
      </c>
      <c r="E468" s="69" t="str">
        <f t="shared" si="20"/>
        <v/>
      </c>
      <c r="F468" s="69" t="str">
        <f t="shared" si="21"/>
        <v/>
      </c>
    </row>
    <row r="469" spans="3:6" ht="11.45" customHeight="1" x14ac:dyDescent="0.2">
      <c r="C469" s="70"/>
      <c r="D469" s="69" t="str">
        <f t="shared" si="22"/>
        <v/>
      </c>
      <c r="E469" s="69" t="str">
        <f t="shared" si="20"/>
        <v/>
      </c>
      <c r="F469" s="69" t="str">
        <f t="shared" si="21"/>
        <v/>
      </c>
    </row>
    <row r="470" spans="3:6" ht="11.45" customHeight="1" x14ac:dyDescent="0.2">
      <c r="C470" s="70"/>
      <c r="D470" s="69" t="str">
        <f t="shared" si="22"/>
        <v/>
      </c>
      <c r="E470" s="69" t="str">
        <f t="shared" si="20"/>
        <v/>
      </c>
      <c r="F470" s="69" t="str">
        <f t="shared" si="21"/>
        <v/>
      </c>
    </row>
    <row r="471" spans="3:6" ht="11.45" customHeight="1" x14ac:dyDescent="0.2">
      <c r="C471" s="70"/>
      <c r="D471" s="69" t="str">
        <f t="shared" si="22"/>
        <v/>
      </c>
      <c r="E471" s="69" t="str">
        <f t="shared" si="20"/>
        <v/>
      </c>
      <c r="F471" s="69" t="str">
        <f t="shared" si="21"/>
        <v/>
      </c>
    </row>
    <row r="472" spans="3:6" ht="11.45" customHeight="1" x14ac:dyDescent="0.2">
      <c r="C472" s="70"/>
      <c r="D472" s="69" t="str">
        <f t="shared" si="22"/>
        <v/>
      </c>
      <c r="E472" s="69" t="str">
        <f t="shared" si="20"/>
        <v/>
      </c>
      <c r="F472" s="69" t="str">
        <f t="shared" si="21"/>
        <v/>
      </c>
    </row>
    <row r="473" spans="3:6" ht="11.45" customHeight="1" x14ac:dyDescent="0.2">
      <c r="C473" s="70"/>
      <c r="D473" s="69" t="str">
        <f t="shared" si="22"/>
        <v/>
      </c>
      <c r="E473" s="69" t="str">
        <f t="shared" si="20"/>
        <v/>
      </c>
      <c r="F473" s="69" t="str">
        <f t="shared" si="21"/>
        <v/>
      </c>
    </row>
    <row r="474" spans="3:6" ht="11.45" customHeight="1" x14ac:dyDescent="0.2">
      <c r="C474" s="70"/>
      <c r="D474" s="69" t="str">
        <f t="shared" si="22"/>
        <v/>
      </c>
      <c r="E474" s="69" t="str">
        <f t="shared" si="20"/>
        <v/>
      </c>
      <c r="F474" s="69" t="str">
        <f t="shared" si="21"/>
        <v/>
      </c>
    </row>
    <row r="475" spans="3:6" ht="11.45" customHeight="1" x14ac:dyDescent="0.2">
      <c r="C475" s="70"/>
      <c r="D475" s="69" t="str">
        <f t="shared" si="22"/>
        <v/>
      </c>
      <c r="E475" s="69" t="str">
        <f t="shared" ref="E475:E500" si="23">IF(B475="","",J474)</f>
        <v/>
      </c>
      <c r="F475" s="69" t="str">
        <f t="shared" ref="F475:F500" si="24">IF(B475="","",$C$15)</f>
        <v/>
      </c>
    </row>
    <row r="476" spans="3:6" ht="11.45" customHeight="1" x14ac:dyDescent="0.2">
      <c r="C476" s="70"/>
      <c r="D476" s="69" t="str">
        <f t="shared" ref="D476:D500" si="25">IF(B476="","",C476-C475)</f>
        <v/>
      </c>
      <c r="E476" s="69" t="str">
        <f t="shared" si="23"/>
        <v/>
      </c>
      <c r="F476" s="69" t="str">
        <f t="shared" si="24"/>
        <v/>
      </c>
    </row>
    <row r="477" spans="3:6" ht="11.45" customHeight="1" x14ac:dyDescent="0.2">
      <c r="C477" s="70"/>
      <c r="D477" s="69" t="str">
        <f t="shared" si="25"/>
        <v/>
      </c>
      <c r="E477" s="69" t="str">
        <f t="shared" si="23"/>
        <v/>
      </c>
      <c r="F477" s="69" t="str">
        <f t="shared" si="24"/>
        <v/>
      </c>
    </row>
    <row r="478" spans="3:6" ht="11.45" customHeight="1" x14ac:dyDescent="0.2">
      <c r="C478" s="70"/>
      <c r="D478" s="69" t="str">
        <f t="shared" si="25"/>
        <v/>
      </c>
      <c r="E478" s="69" t="str">
        <f t="shared" si="23"/>
        <v/>
      </c>
      <c r="F478" s="69" t="str">
        <f t="shared" si="24"/>
        <v/>
      </c>
    </row>
    <row r="479" spans="3:6" ht="11.45" customHeight="1" x14ac:dyDescent="0.2">
      <c r="C479" s="70"/>
      <c r="D479" s="69" t="str">
        <f t="shared" si="25"/>
        <v/>
      </c>
      <c r="E479" s="69" t="str">
        <f t="shared" si="23"/>
        <v/>
      </c>
      <c r="F479" s="69" t="str">
        <f t="shared" si="24"/>
        <v/>
      </c>
    </row>
    <row r="480" spans="3:6" ht="11.45" customHeight="1" x14ac:dyDescent="0.2">
      <c r="C480" s="70"/>
      <c r="D480" s="69" t="str">
        <f t="shared" si="25"/>
        <v/>
      </c>
      <c r="E480" s="69" t="str">
        <f t="shared" si="23"/>
        <v/>
      </c>
      <c r="F480" s="69" t="str">
        <f t="shared" si="24"/>
        <v/>
      </c>
    </row>
    <row r="481" spans="3:6" ht="11.45" customHeight="1" x14ac:dyDescent="0.2">
      <c r="C481" s="70"/>
      <c r="D481" s="69" t="str">
        <f t="shared" si="25"/>
        <v/>
      </c>
      <c r="E481" s="69" t="str">
        <f t="shared" si="23"/>
        <v/>
      </c>
      <c r="F481" s="69" t="str">
        <f t="shared" si="24"/>
        <v/>
      </c>
    </row>
    <row r="482" spans="3:6" ht="11.45" customHeight="1" x14ac:dyDescent="0.2">
      <c r="C482" s="70"/>
      <c r="D482" s="69" t="str">
        <f t="shared" si="25"/>
        <v/>
      </c>
      <c r="E482" s="69" t="str">
        <f t="shared" si="23"/>
        <v/>
      </c>
      <c r="F482" s="69" t="str">
        <f t="shared" si="24"/>
        <v/>
      </c>
    </row>
    <row r="483" spans="3:6" ht="11.45" customHeight="1" x14ac:dyDescent="0.2">
      <c r="C483" s="70"/>
      <c r="D483" s="69" t="str">
        <f t="shared" si="25"/>
        <v/>
      </c>
      <c r="E483" s="69" t="str">
        <f t="shared" si="23"/>
        <v/>
      </c>
      <c r="F483" s="69" t="str">
        <f t="shared" si="24"/>
        <v/>
      </c>
    </row>
    <row r="484" spans="3:6" ht="11.45" customHeight="1" x14ac:dyDescent="0.2">
      <c r="C484" s="70"/>
      <c r="D484" s="69" t="str">
        <f t="shared" si="25"/>
        <v/>
      </c>
      <c r="E484" s="69" t="str">
        <f t="shared" si="23"/>
        <v/>
      </c>
      <c r="F484" s="69" t="str">
        <f t="shared" si="24"/>
        <v/>
      </c>
    </row>
    <row r="485" spans="3:6" ht="11.45" customHeight="1" x14ac:dyDescent="0.2">
      <c r="C485" s="70"/>
      <c r="D485" s="69" t="str">
        <f t="shared" si="25"/>
        <v/>
      </c>
      <c r="E485" s="69" t="str">
        <f t="shared" si="23"/>
        <v/>
      </c>
      <c r="F485" s="69" t="str">
        <f t="shared" si="24"/>
        <v/>
      </c>
    </row>
    <row r="486" spans="3:6" ht="11.45" customHeight="1" x14ac:dyDescent="0.2">
      <c r="C486" s="70"/>
      <c r="D486" s="69" t="str">
        <f t="shared" si="25"/>
        <v/>
      </c>
      <c r="E486" s="69" t="str">
        <f t="shared" si="23"/>
        <v/>
      </c>
      <c r="F486" s="69" t="str">
        <f t="shared" si="24"/>
        <v/>
      </c>
    </row>
    <row r="487" spans="3:6" ht="11.45" customHeight="1" x14ac:dyDescent="0.2">
      <c r="C487" s="70"/>
      <c r="D487" s="69" t="str">
        <f t="shared" si="25"/>
        <v/>
      </c>
      <c r="E487" s="69" t="str">
        <f t="shared" si="23"/>
        <v/>
      </c>
      <c r="F487" s="69" t="str">
        <f t="shared" si="24"/>
        <v/>
      </c>
    </row>
    <row r="488" spans="3:6" ht="11.45" customHeight="1" x14ac:dyDescent="0.2">
      <c r="C488" s="70"/>
      <c r="D488" s="69" t="str">
        <f t="shared" si="25"/>
        <v/>
      </c>
      <c r="E488" s="69" t="str">
        <f t="shared" si="23"/>
        <v/>
      </c>
      <c r="F488" s="69" t="str">
        <f t="shared" si="24"/>
        <v/>
      </c>
    </row>
    <row r="489" spans="3:6" ht="11.45" customHeight="1" x14ac:dyDescent="0.2">
      <c r="C489" s="70"/>
      <c r="D489" s="69" t="str">
        <f t="shared" si="25"/>
        <v/>
      </c>
      <c r="E489" s="69" t="str">
        <f t="shared" si="23"/>
        <v/>
      </c>
      <c r="F489" s="69" t="str">
        <f t="shared" si="24"/>
        <v/>
      </c>
    </row>
    <row r="490" spans="3:6" ht="11.45" customHeight="1" x14ac:dyDescent="0.2">
      <c r="C490" s="70"/>
      <c r="D490" s="69" t="str">
        <f t="shared" si="25"/>
        <v/>
      </c>
      <c r="E490" s="69" t="str">
        <f t="shared" si="23"/>
        <v/>
      </c>
      <c r="F490" s="69" t="str">
        <f t="shared" si="24"/>
        <v/>
      </c>
    </row>
    <row r="491" spans="3:6" ht="11.45" customHeight="1" x14ac:dyDescent="0.2">
      <c r="C491" s="70"/>
      <c r="D491" s="69" t="str">
        <f t="shared" si="25"/>
        <v/>
      </c>
      <c r="E491" s="69" t="str">
        <f t="shared" si="23"/>
        <v/>
      </c>
      <c r="F491" s="69" t="str">
        <f t="shared" si="24"/>
        <v/>
      </c>
    </row>
    <row r="492" spans="3:6" ht="11.45" customHeight="1" x14ac:dyDescent="0.2">
      <c r="C492" s="70"/>
      <c r="D492" s="69" t="str">
        <f t="shared" si="25"/>
        <v/>
      </c>
      <c r="E492" s="69" t="str">
        <f t="shared" si="23"/>
        <v/>
      </c>
      <c r="F492" s="69" t="str">
        <f t="shared" si="24"/>
        <v/>
      </c>
    </row>
    <row r="493" spans="3:6" ht="11.45" customHeight="1" x14ac:dyDescent="0.2">
      <c r="C493" s="70"/>
      <c r="D493" s="69" t="str">
        <f t="shared" si="25"/>
        <v/>
      </c>
      <c r="E493" s="69" t="str">
        <f t="shared" si="23"/>
        <v/>
      </c>
      <c r="F493" s="69" t="str">
        <f t="shared" si="24"/>
        <v/>
      </c>
    </row>
    <row r="494" spans="3:6" ht="11.45" customHeight="1" x14ac:dyDescent="0.2">
      <c r="C494" s="70"/>
      <c r="D494" s="69" t="str">
        <f t="shared" si="25"/>
        <v/>
      </c>
      <c r="E494" s="69" t="str">
        <f t="shared" si="23"/>
        <v/>
      </c>
      <c r="F494" s="69" t="str">
        <f t="shared" si="24"/>
        <v/>
      </c>
    </row>
    <row r="495" spans="3:6" ht="11.45" customHeight="1" x14ac:dyDescent="0.2">
      <c r="C495" s="70"/>
      <c r="D495" s="69" t="str">
        <f t="shared" si="25"/>
        <v/>
      </c>
      <c r="E495" s="69" t="str">
        <f t="shared" si="23"/>
        <v/>
      </c>
      <c r="F495" s="69" t="str">
        <f t="shared" si="24"/>
        <v/>
      </c>
    </row>
    <row r="496" spans="3:6" ht="11.45" customHeight="1" x14ac:dyDescent="0.2">
      <c r="C496" s="70"/>
      <c r="D496" s="69" t="str">
        <f t="shared" si="25"/>
        <v/>
      </c>
      <c r="E496" s="69" t="str">
        <f t="shared" si="23"/>
        <v/>
      </c>
      <c r="F496" s="69" t="str">
        <f t="shared" si="24"/>
        <v/>
      </c>
    </row>
    <row r="497" spans="3:6" ht="11.45" customHeight="1" x14ac:dyDescent="0.2">
      <c r="C497" s="70"/>
      <c r="D497" s="69" t="str">
        <f t="shared" si="25"/>
        <v/>
      </c>
      <c r="E497" s="69" t="str">
        <f t="shared" si="23"/>
        <v/>
      </c>
      <c r="F497" s="69" t="str">
        <f t="shared" si="24"/>
        <v/>
      </c>
    </row>
    <row r="498" spans="3:6" ht="11.45" customHeight="1" x14ac:dyDescent="0.2">
      <c r="C498" s="70"/>
      <c r="D498" s="69" t="str">
        <f t="shared" si="25"/>
        <v/>
      </c>
      <c r="E498" s="69" t="str">
        <f t="shared" si="23"/>
        <v/>
      </c>
      <c r="F498" s="69" t="str">
        <f t="shared" si="24"/>
        <v/>
      </c>
    </row>
    <row r="499" spans="3:6" ht="11.45" customHeight="1" x14ac:dyDescent="0.2">
      <c r="C499" s="70"/>
      <c r="D499" s="69" t="str">
        <f t="shared" si="25"/>
        <v/>
      </c>
      <c r="E499" s="69" t="str">
        <f t="shared" si="23"/>
        <v/>
      </c>
      <c r="F499" s="69" t="str">
        <f t="shared" si="24"/>
        <v/>
      </c>
    </row>
    <row r="500" spans="3:6" ht="11.45" customHeight="1" x14ac:dyDescent="0.2">
      <c r="C500" s="70"/>
      <c r="D500" s="69" t="str">
        <f t="shared" si="25"/>
        <v/>
      </c>
      <c r="E500" s="69" t="str">
        <f t="shared" si="23"/>
        <v/>
      </c>
      <c r="F500" s="69" t="str">
        <f t="shared" si="24"/>
        <v/>
      </c>
    </row>
  </sheetData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2" tint="-0.499984740745262"/>
  </sheetPr>
  <dimension ref="A1:G44"/>
  <sheetViews>
    <sheetView showGridLines="0" workbookViewId="0"/>
  </sheetViews>
  <sheetFormatPr defaultColWidth="0" defaultRowHeight="0" customHeight="1" zeroHeight="1" x14ac:dyDescent="0.2"/>
  <cols>
    <col min="1" max="1" width="2.28515625" style="1" customWidth="1"/>
    <col min="2" max="2" width="13.28515625" style="1" bestFit="1" customWidth="1"/>
    <col min="3" max="3" width="24.28515625" style="1" customWidth="1"/>
    <col min="4" max="4" width="17.85546875" style="1" bestFit="1" customWidth="1"/>
    <col min="5" max="5" width="16.28515625" style="1" hidden="1" customWidth="1"/>
    <col min="6" max="6" width="9.28515625" style="1" customWidth="1"/>
    <col min="7" max="7" width="2.28515625" style="1" customWidth="1"/>
    <col min="8" max="16384" width="8.85546875" style="1" hidden="1"/>
  </cols>
  <sheetData>
    <row r="1" spans="2:6" ht="11.25" customHeight="1" x14ac:dyDescent="0.2"/>
    <row r="2" spans="2:6" ht="11.25" customHeight="1" x14ac:dyDescent="0.2"/>
    <row r="3" spans="2:6" ht="11.25" customHeight="1" x14ac:dyDescent="0.2"/>
    <row r="4" spans="2:6" ht="11.25" customHeight="1" x14ac:dyDescent="0.2"/>
    <row r="5" spans="2:6" ht="11.25" customHeight="1" x14ac:dyDescent="0.2">
      <c r="B5" s="222" t="s">
        <v>218</v>
      </c>
      <c r="C5" s="221" t="s">
        <v>306</v>
      </c>
      <c r="D5" s="220" t="s">
        <v>166</v>
      </c>
      <c r="E5" s="220" t="s">
        <v>305</v>
      </c>
      <c r="F5" s="219" t="s">
        <v>304</v>
      </c>
    </row>
    <row r="6" spans="2:6" ht="11.25" customHeight="1" x14ac:dyDescent="0.2">
      <c r="B6" s="218" t="s">
        <v>224</v>
      </c>
      <c r="C6" s="217"/>
      <c r="D6" s="216">
        <v>1000000000</v>
      </c>
      <c r="E6" s="215">
        <v>0</v>
      </c>
      <c r="F6" s="214">
        <f t="shared" ref="F6:F12" si="0">IFERROR(D6/$D$12,0)</f>
        <v>1</v>
      </c>
    </row>
    <row r="7" spans="2:6" ht="11.25" customHeight="1" x14ac:dyDescent="0.2">
      <c r="B7" s="218" t="s">
        <v>220</v>
      </c>
      <c r="C7" s="217"/>
      <c r="D7" s="216"/>
      <c r="E7" s="215">
        <v>0</v>
      </c>
      <c r="F7" s="214">
        <f t="shared" si="0"/>
        <v>0</v>
      </c>
    </row>
    <row r="8" spans="2:6" ht="11.25" customHeight="1" x14ac:dyDescent="0.2">
      <c r="B8" s="218" t="s">
        <v>222</v>
      </c>
      <c r="C8" s="217"/>
      <c r="D8" s="216"/>
      <c r="E8" s="215">
        <v>0</v>
      </c>
      <c r="F8" s="214">
        <f t="shared" si="0"/>
        <v>0</v>
      </c>
    </row>
    <row r="9" spans="2:6" ht="11.25" customHeight="1" x14ac:dyDescent="0.2">
      <c r="B9" s="218" t="s">
        <v>226</v>
      </c>
      <c r="C9" s="217"/>
      <c r="D9" s="216"/>
      <c r="E9" s="215">
        <v>0</v>
      </c>
      <c r="F9" s="214">
        <f t="shared" si="0"/>
        <v>0</v>
      </c>
    </row>
    <row r="10" spans="2:6" ht="11.25" customHeight="1" x14ac:dyDescent="0.2">
      <c r="B10" s="218"/>
      <c r="C10" s="217"/>
      <c r="D10" s="216"/>
      <c r="E10" s="215">
        <v>0</v>
      </c>
      <c r="F10" s="214">
        <f t="shared" si="0"/>
        <v>0</v>
      </c>
    </row>
    <row r="11" spans="2:6" ht="11.25" customHeight="1" x14ac:dyDescent="0.2">
      <c r="B11" s="218"/>
      <c r="C11" s="217"/>
      <c r="D11" s="216"/>
      <c r="E11" s="215">
        <v>0</v>
      </c>
      <c r="F11" s="214">
        <f t="shared" si="0"/>
        <v>0</v>
      </c>
    </row>
    <row r="12" spans="2:6" ht="11.25" customHeight="1" x14ac:dyDescent="0.2">
      <c r="B12" s="213" t="s">
        <v>45</v>
      </c>
      <c r="C12" s="212"/>
      <c r="D12" s="223">
        <v>1000000000</v>
      </c>
      <c r="E12" s="211">
        <v>0</v>
      </c>
      <c r="F12" s="210">
        <f t="shared" si="0"/>
        <v>1</v>
      </c>
    </row>
    <row r="13" spans="2:6" ht="11.25" customHeight="1" x14ac:dyDescent="0.2">
      <c r="B13" s="209"/>
      <c r="C13" s="209"/>
      <c r="D13" s="209"/>
      <c r="E13" s="209"/>
      <c r="F13" s="209"/>
    </row>
    <row r="14" spans="2:6" ht="11.25" customHeight="1" x14ac:dyDescent="0.2">
      <c r="B14" s="209"/>
      <c r="C14" s="209"/>
      <c r="D14" s="209"/>
      <c r="E14" s="209"/>
      <c r="F14" s="209"/>
    </row>
    <row r="15" spans="2:6" ht="11.25" customHeight="1" x14ac:dyDescent="0.2">
      <c r="B15" s="222" t="s">
        <v>219</v>
      </c>
      <c r="C15" s="221" t="s">
        <v>306</v>
      </c>
      <c r="D15" s="220" t="s">
        <v>166</v>
      </c>
      <c r="E15" s="220" t="s">
        <v>305</v>
      </c>
      <c r="F15" s="219" t="s">
        <v>304</v>
      </c>
    </row>
    <row r="16" spans="2:6" ht="11.25" customHeight="1" x14ac:dyDescent="0.2">
      <c r="B16" s="218" t="s">
        <v>221</v>
      </c>
      <c r="C16" s="217"/>
      <c r="D16" s="216"/>
      <c r="E16" s="215">
        <v>0</v>
      </c>
      <c r="F16" s="214">
        <f t="shared" ref="F16:F25" si="1">IFERROR(D16/$D$25,0)</f>
        <v>0</v>
      </c>
    </row>
    <row r="17" spans="2:6" ht="11.25" customHeight="1" x14ac:dyDescent="0.2">
      <c r="B17" s="218" t="s">
        <v>223</v>
      </c>
      <c r="C17" s="217"/>
      <c r="D17" s="216"/>
      <c r="E17" s="215">
        <v>0</v>
      </c>
      <c r="F17" s="214">
        <f t="shared" si="1"/>
        <v>0</v>
      </c>
    </row>
    <row r="18" spans="2:6" ht="11.25" customHeight="1" x14ac:dyDescent="0.2">
      <c r="B18" s="218" t="s">
        <v>225</v>
      </c>
      <c r="C18" s="217"/>
      <c r="D18" s="216"/>
      <c r="E18" s="215">
        <v>0</v>
      </c>
      <c r="F18" s="214">
        <f t="shared" si="1"/>
        <v>0</v>
      </c>
    </row>
    <row r="19" spans="2:6" ht="11.25" customHeight="1" x14ac:dyDescent="0.2">
      <c r="B19" s="218" t="s">
        <v>227</v>
      </c>
      <c r="C19" s="217"/>
      <c r="D19" s="216"/>
      <c r="E19" s="215">
        <v>0</v>
      </c>
      <c r="F19" s="214">
        <f t="shared" si="1"/>
        <v>0</v>
      </c>
    </row>
    <row r="20" spans="2:6" ht="11.25" customHeight="1" x14ac:dyDescent="0.2">
      <c r="B20" s="218" t="s">
        <v>228</v>
      </c>
      <c r="C20" s="217"/>
      <c r="D20" s="216"/>
      <c r="E20" s="215">
        <v>0</v>
      </c>
      <c r="F20" s="214">
        <f t="shared" si="1"/>
        <v>0</v>
      </c>
    </row>
    <row r="21" spans="2:6" ht="11.25" customHeight="1" x14ac:dyDescent="0.2">
      <c r="B21" s="218" t="s">
        <v>229</v>
      </c>
      <c r="C21" s="217"/>
      <c r="D21" s="216"/>
      <c r="E21" s="215">
        <v>0</v>
      </c>
      <c r="F21" s="214">
        <f t="shared" si="1"/>
        <v>0</v>
      </c>
    </row>
    <row r="22" spans="2:6" ht="11.25" customHeight="1" x14ac:dyDescent="0.2">
      <c r="B22" s="218" t="s">
        <v>230</v>
      </c>
      <c r="C22" s="217"/>
      <c r="D22" s="216"/>
      <c r="E22" s="215">
        <v>0</v>
      </c>
      <c r="F22" s="214">
        <f t="shared" si="1"/>
        <v>0</v>
      </c>
    </row>
    <row r="23" spans="2:6" ht="11.25" customHeight="1" x14ac:dyDescent="0.2">
      <c r="B23" s="218"/>
      <c r="C23" s="217"/>
      <c r="D23" s="216"/>
      <c r="E23" s="215">
        <v>0</v>
      </c>
      <c r="F23" s="214">
        <f t="shared" si="1"/>
        <v>0</v>
      </c>
    </row>
    <row r="24" spans="2:6" ht="11.25" customHeight="1" x14ac:dyDescent="0.2">
      <c r="B24" s="218"/>
      <c r="C24" s="217"/>
      <c r="D24" s="216"/>
      <c r="E24" s="215">
        <v>0</v>
      </c>
      <c r="F24" s="214">
        <f t="shared" si="1"/>
        <v>0</v>
      </c>
    </row>
    <row r="25" spans="2:6" ht="11.25" customHeight="1" x14ac:dyDescent="0.2">
      <c r="B25" s="213" t="s">
        <v>45</v>
      </c>
      <c r="C25" s="212"/>
      <c r="D25" s="211">
        <v>0</v>
      </c>
      <c r="E25" s="211">
        <v>0</v>
      </c>
      <c r="F25" s="210">
        <f t="shared" si="1"/>
        <v>0</v>
      </c>
    </row>
    <row r="26" spans="2:6" ht="11.25" customHeight="1" x14ac:dyDescent="0.2"/>
    <row r="27" spans="2:6" ht="11.25" hidden="1" customHeight="1" x14ac:dyDescent="0.2"/>
    <row r="28" spans="2:6" ht="11.25" hidden="1" customHeight="1" x14ac:dyDescent="0.2"/>
    <row r="29" spans="2:6" ht="11.25" hidden="1" customHeight="1" x14ac:dyDescent="0.2"/>
    <row r="30" spans="2:6" ht="11.25" hidden="1" customHeight="1" x14ac:dyDescent="0.2"/>
    <row r="31" spans="2:6" ht="11.25" hidden="1" customHeight="1" x14ac:dyDescent="0.2"/>
    <row r="32" spans="2:6" ht="11.25" hidden="1" customHeight="1" x14ac:dyDescent="0.2"/>
    <row r="33" ht="11.25" hidden="1" customHeight="1" x14ac:dyDescent="0.2"/>
    <row r="34" ht="11.25" hidden="1" customHeight="1" x14ac:dyDescent="0.2"/>
    <row r="35" ht="11.25" hidden="1" customHeight="1" x14ac:dyDescent="0.2"/>
    <row r="36" ht="11.25" hidden="1" customHeight="1" x14ac:dyDescent="0.2"/>
    <row r="37" ht="11.25" hidden="1" customHeight="1" x14ac:dyDescent="0.2"/>
    <row r="38" ht="11.25" hidden="1" customHeight="1" x14ac:dyDescent="0.2"/>
    <row r="39" ht="11.25" hidden="1" customHeight="1" x14ac:dyDescent="0.2"/>
    <row r="40" ht="11.25" hidden="1" customHeight="1" x14ac:dyDescent="0.2"/>
    <row r="41" ht="11.25" hidden="1" customHeight="1" x14ac:dyDescent="0.2"/>
    <row r="42" ht="11.25" hidden="1" customHeight="1" x14ac:dyDescent="0.2"/>
    <row r="43" ht="11.25" hidden="1" customHeight="1" x14ac:dyDescent="0.2"/>
    <row r="44" ht="11.25" hidden="1" customHeight="1" x14ac:dyDescent="0.2"/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Validation!$K$11:$K$14</xm:f>
          </x14:formula1>
          <xm:sqref>B6:B11</xm:sqref>
        </x14:dataValidation>
        <x14:dataValidation type="list" allowBlank="1" showInputMessage="1" showErrorMessage="1" xr:uid="{00000000-0002-0000-0400-000001000000}">
          <x14:formula1>
            <xm:f>Validation!$M$11:$M$17</xm:f>
          </x14:formula1>
          <xm:sqref>B16:B24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theme="2" tint="-0.499984740745262"/>
  </sheetPr>
  <dimension ref="A1:HA34"/>
  <sheetViews>
    <sheetView showGridLines="0" zoomScaleNormal="100" workbookViewId="0">
      <pane xSplit="5" ySplit="7" topLeftCell="V8" activePane="bottomRight" state="frozen"/>
      <selection pane="topRight" activeCell="F1" sqref="F1"/>
      <selection pane="bottomLeft" activeCell="A8" sqref="A8"/>
      <selection pane="bottomRight"/>
    </sheetView>
  </sheetViews>
  <sheetFormatPr defaultColWidth="0" defaultRowHeight="11.45" customHeight="1" outlineLevelCol="1" x14ac:dyDescent="0.2"/>
  <cols>
    <col min="1" max="1" width="2.28515625" style="1" customWidth="1"/>
    <col min="2" max="2" width="14.7109375" style="1" customWidth="1"/>
    <col min="3" max="3" width="21" style="1" bestFit="1" customWidth="1"/>
    <col min="4" max="4" width="26.7109375" style="1" hidden="1" customWidth="1"/>
    <col min="5" max="5" width="31.7109375" style="1" customWidth="1"/>
    <col min="6" max="6" width="0.7109375" style="1" customWidth="1"/>
    <col min="7" max="18" width="16.7109375" style="1" hidden="1" customWidth="1" outlineLevel="1"/>
    <col min="19" max="19" width="0.5703125" style="1" hidden="1" customWidth="1" outlineLevel="1"/>
    <col min="20" max="21" width="16.7109375" style="1" hidden="1" customWidth="1" outlineLevel="1"/>
    <col min="22" max="22" width="16.7109375" style="1" customWidth="1" collapsed="1"/>
    <col min="23" max="23" width="0.5703125" style="1" customWidth="1"/>
    <col min="24" max="26" width="16.7109375" style="1" hidden="1" customWidth="1" outlineLevel="1"/>
    <col min="27" max="27" width="13.42578125" style="1" hidden="1" customWidth="1" outlineLevel="1"/>
    <col min="28" max="35" width="16.7109375" style="1" hidden="1" customWidth="1" outlineLevel="1"/>
    <col min="36" max="36" width="0.5703125" style="1" hidden="1" customWidth="1" outlineLevel="1"/>
    <col min="37" max="38" width="16.7109375" style="1" hidden="1" customWidth="1" outlineLevel="1"/>
    <col min="39" max="39" width="16.7109375" style="1" customWidth="1" collapsed="1"/>
    <col min="40" max="40" width="0.7109375" style="1" customWidth="1"/>
    <col min="41" max="43" width="16.7109375" style="1" hidden="1" customWidth="1" outlineLevel="1"/>
    <col min="44" max="44" width="0.5703125" style="1" hidden="1" customWidth="1" outlineLevel="1"/>
    <col min="45" max="52" width="16.7109375" style="1" hidden="1" customWidth="1" outlineLevel="1"/>
    <col min="53" max="53" width="0.5703125" style="1" hidden="1" customWidth="1" outlineLevel="1"/>
    <col min="54" max="55" width="16.7109375" style="1" hidden="1" customWidth="1" outlineLevel="1"/>
    <col min="56" max="56" width="16.7109375" style="1" customWidth="1" collapsed="1"/>
    <col min="57" max="57" width="0.5703125" style="1" customWidth="1"/>
    <col min="58" max="60" width="16.7109375" style="1" hidden="1" customWidth="1" outlineLevel="1"/>
    <col min="61" max="61" width="0.5703125" style="1" hidden="1" customWidth="1" outlineLevel="1"/>
    <col min="62" max="69" width="16.7109375" style="1" hidden="1" customWidth="1" outlineLevel="1"/>
    <col min="70" max="70" width="0.5703125" style="1" hidden="1" customWidth="1" outlineLevel="1"/>
    <col min="71" max="72" width="16.7109375" style="1" hidden="1" customWidth="1" outlineLevel="1"/>
    <col min="73" max="73" width="16.7109375" style="1" customWidth="1" collapsed="1"/>
    <col min="74" max="74" width="0.7109375" style="1" customWidth="1"/>
    <col min="75" max="77" width="16.7109375" style="1" hidden="1" customWidth="1" outlineLevel="1"/>
    <col min="78" max="78" width="0.5703125" style="1" hidden="1" customWidth="1" outlineLevel="1"/>
    <col min="79" max="86" width="16.7109375" style="1" hidden="1" customWidth="1" outlineLevel="1"/>
    <col min="87" max="87" width="0.5703125" style="1" hidden="1" customWidth="1" outlineLevel="1"/>
    <col min="88" max="89" width="16.7109375" style="1" hidden="1" customWidth="1" outlineLevel="1"/>
    <col min="90" max="90" width="16.7109375" style="1" customWidth="1" collapsed="1"/>
    <col min="91" max="91" width="0.7109375" style="1" customWidth="1"/>
    <col min="92" max="94" width="16.7109375" style="1" hidden="1" customWidth="1" outlineLevel="1"/>
    <col min="95" max="95" width="0.5703125" style="1" hidden="1" customWidth="1" outlineLevel="1"/>
    <col min="96" max="103" width="16.7109375" style="1" hidden="1" customWidth="1" outlineLevel="1"/>
    <col min="104" max="104" width="0.5703125" style="1" hidden="1" customWidth="1" outlineLevel="1"/>
    <col min="105" max="106" width="16.7109375" style="1" hidden="1" customWidth="1" outlineLevel="1"/>
    <col min="107" max="107" width="16.7109375" style="1" customWidth="1" collapsed="1"/>
    <col min="108" max="108" width="0.7109375" style="1" customWidth="1"/>
    <col min="109" max="111" width="16.7109375" style="1" hidden="1" customWidth="1" outlineLevel="1"/>
    <col min="112" max="112" width="0.5703125" style="1" hidden="1" customWidth="1" outlineLevel="1"/>
    <col min="113" max="120" width="16.7109375" style="1" hidden="1" customWidth="1" outlineLevel="1"/>
    <col min="121" max="121" width="0.5703125" style="1" hidden="1" customWidth="1" outlineLevel="1"/>
    <col min="122" max="123" width="16.7109375" style="1" hidden="1" customWidth="1" outlineLevel="1"/>
    <col min="124" max="124" width="16.7109375" style="1" customWidth="1" collapsed="1"/>
    <col min="125" max="125" width="0.7109375" style="1" customWidth="1"/>
    <col min="126" max="128" width="16.7109375" style="1" hidden="1" customWidth="1" outlineLevel="1"/>
    <col min="129" max="129" width="0.5703125" style="1" hidden="1" customWidth="1" outlineLevel="1"/>
    <col min="130" max="137" width="16.7109375" style="1" hidden="1" customWidth="1" outlineLevel="1"/>
    <col min="138" max="138" width="0.5703125" style="1" hidden="1" customWidth="1" outlineLevel="1"/>
    <col min="139" max="140" width="16.7109375" style="1" hidden="1" customWidth="1" outlineLevel="1"/>
    <col min="141" max="141" width="16.7109375" style="1" customWidth="1" collapsed="1"/>
    <col min="142" max="142" width="0.7109375" style="1" customWidth="1"/>
    <col min="143" max="145" width="16.7109375" style="1" hidden="1" customWidth="1" outlineLevel="1"/>
    <col min="146" max="146" width="0.5703125" style="1" hidden="1" customWidth="1" outlineLevel="1"/>
    <col min="147" max="154" width="16.7109375" style="1" hidden="1" customWidth="1" outlineLevel="1"/>
    <col min="155" max="155" width="0.5703125" style="1" hidden="1" customWidth="1" outlineLevel="1"/>
    <col min="156" max="157" width="16.7109375" style="1" hidden="1" customWidth="1" outlineLevel="1"/>
    <col min="158" max="158" width="16.7109375" style="1" customWidth="1" collapsed="1"/>
    <col min="159" max="159" width="0.5703125" style="1" customWidth="1"/>
    <col min="160" max="171" width="16.7109375" style="1" hidden="1" customWidth="1" outlineLevel="1"/>
    <col min="172" max="172" width="0.5703125" style="1" hidden="1" customWidth="1" outlineLevel="1"/>
    <col min="173" max="174" width="16.7109375" style="1" hidden="1" customWidth="1" outlineLevel="1"/>
    <col min="175" max="175" width="16.7109375" style="1" customWidth="1" collapsed="1"/>
    <col min="176" max="176" width="0.5703125" style="1" customWidth="1"/>
    <col min="177" max="188" width="16.7109375" style="1" customWidth="1"/>
    <col min="189" max="189" width="0.5703125" style="1" customWidth="1"/>
    <col min="190" max="191" width="16.7109375" style="1" hidden="1" customWidth="1" outlineLevel="1"/>
    <col min="192" max="192" width="20.85546875" style="1" bestFit="1" customWidth="1" collapsed="1"/>
    <col min="193" max="193" width="0.5703125" style="1" customWidth="1"/>
    <col min="194" max="195" width="20.85546875" style="1" hidden="1" customWidth="1" outlineLevel="1"/>
    <col min="196" max="196" width="20.85546875" style="1" customWidth="1" collapsed="1"/>
    <col min="197" max="197" width="0.5703125" style="1" customWidth="1"/>
    <col min="198" max="199" width="16.7109375" style="1" hidden="1" customWidth="1" outlineLevel="1"/>
    <col min="200" max="200" width="16.7109375" style="1" customWidth="1" collapsed="1"/>
    <col min="201" max="201" width="0.5703125" style="1" customWidth="1" collapsed="1"/>
    <col min="202" max="203" width="16.7109375" style="1" hidden="1" customWidth="1" outlineLevel="1"/>
    <col min="204" max="204" width="16.7109375" style="1" customWidth="1" collapsed="1"/>
    <col min="205" max="205" width="0.5703125" style="1" customWidth="1" collapsed="1"/>
    <col min="206" max="207" width="16.7109375" style="1" hidden="1" customWidth="1" outlineLevel="1"/>
    <col min="208" max="208" width="16.7109375" style="1" customWidth="1" collapsed="1"/>
    <col min="209" max="209" width="2.28515625" style="1" customWidth="1" collapsed="1"/>
    <col min="210" max="16384" width="8.7109375" style="1" hidden="1"/>
  </cols>
  <sheetData>
    <row r="1" spans="2:208" ht="11.45" customHeight="1" x14ac:dyDescent="0.2">
      <c r="FC1" s="209"/>
      <c r="FT1" s="209"/>
    </row>
    <row r="5" spans="2:208" ht="11.45" customHeight="1" x14ac:dyDescent="0.2">
      <c r="B5" s="346" t="s">
        <v>388</v>
      </c>
      <c r="C5" s="347"/>
      <c r="D5" s="347"/>
      <c r="E5" s="348"/>
      <c r="G5" s="230"/>
      <c r="H5" s="230"/>
      <c r="I5" s="230"/>
      <c r="J5" s="230"/>
      <c r="K5" s="230"/>
      <c r="L5" s="230"/>
      <c r="M5" s="230"/>
      <c r="N5" s="230"/>
      <c r="O5" s="230"/>
      <c r="P5" s="230"/>
      <c r="Q5" s="230"/>
      <c r="R5" s="230"/>
      <c r="S5" s="230"/>
      <c r="T5" s="230"/>
      <c r="U5" s="230"/>
      <c r="V5" s="232"/>
      <c r="W5" s="233"/>
      <c r="X5" s="233"/>
      <c r="Y5" s="233"/>
      <c r="Z5" s="233"/>
      <c r="AA5" s="233"/>
      <c r="AB5" s="233"/>
      <c r="AC5" s="233"/>
      <c r="AD5" s="233"/>
      <c r="AE5" s="233"/>
      <c r="AF5" s="233"/>
      <c r="AG5" s="233"/>
      <c r="AH5" s="233"/>
      <c r="AI5" s="233"/>
      <c r="AJ5" s="233"/>
      <c r="AK5" s="233"/>
      <c r="AL5" s="233"/>
      <c r="AM5" s="232"/>
      <c r="AN5" s="233"/>
      <c r="AO5" s="233"/>
      <c r="AP5" s="233"/>
      <c r="AQ5" s="233"/>
      <c r="AR5" s="233"/>
      <c r="AS5" s="233"/>
      <c r="AT5" s="233"/>
      <c r="AU5" s="233"/>
      <c r="AV5" s="233"/>
      <c r="AW5" s="233"/>
      <c r="AX5" s="233"/>
      <c r="AY5" s="233"/>
      <c r="AZ5" s="233"/>
      <c r="BA5" s="233"/>
      <c r="BB5" s="233"/>
      <c r="BC5" s="233"/>
      <c r="BD5" s="232"/>
      <c r="BE5" s="233"/>
      <c r="BF5" s="233"/>
      <c r="BG5" s="233"/>
      <c r="BH5" s="233"/>
      <c r="BI5" s="233"/>
      <c r="BJ5" s="233"/>
      <c r="BK5" s="233"/>
      <c r="BL5" s="233"/>
      <c r="BM5" s="233"/>
      <c r="BN5" s="233"/>
      <c r="BO5" s="233"/>
      <c r="BP5" s="233"/>
      <c r="BQ5" s="233"/>
      <c r="BR5" s="233"/>
      <c r="BS5" s="233"/>
      <c r="BT5" s="233"/>
      <c r="BU5" s="232"/>
      <c r="BV5" s="233"/>
      <c r="BW5" s="233"/>
      <c r="BX5" s="233"/>
      <c r="BY5" s="233"/>
      <c r="BZ5" s="233"/>
      <c r="CA5" s="233"/>
      <c r="CB5" s="233"/>
      <c r="CC5" s="233"/>
      <c r="CD5" s="233"/>
      <c r="CE5" s="233"/>
      <c r="CF5" s="233"/>
      <c r="CG5" s="233"/>
      <c r="CH5" s="233"/>
      <c r="CI5" s="233"/>
      <c r="CJ5" s="233"/>
      <c r="CK5" s="233"/>
      <c r="CL5" s="232"/>
      <c r="CM5" s="233"/>
      <c r="CN5" s="233"/>
      <c r="CO5" s="233"/>
      <c r="CP5" s="233"/>
      <c r="CQ5" s="233"/>
      <c r="CR5" s="233"/>
      <c r="CS5" s="233"/>
      <c r="CT5" s="233"/>
      <c r="CU5" s="233"/>
      <c r="CV5" s="233"/>
      <c r="CW5" s="233"/>
      <c r="CX5" s="233"/>
      <c r="CY5" s="233"/>
      <c r="CZ5" s="233"/>
      <c r="DA5" s="233"/>
      <c r="DB5" s="233"/>
      <c r="DC5" s="232"/>
      <c r="DD5" s="233"/>
      <c r="DE5" s="233"/>
      <c r="DF5" s="233"/>
      <c r="DG5" s="233"/>
      <c r="DH5" s="233"/>
      <c r="DI5" s="233"/>
      <c r="DJ5" s="233"/>
      <c r="DK5" s="233"/>
      <c r="DL5" s="233"/>
      <c r="DM5" s="233"/>
      <c r="DN5" s="233"/>
      <c r="DO5" s="233"/>
      <c r="DP5" s="233"/>
      <c r="DQ5" s="233"/>
      <c r="DR5" s="233"/>
      <c r="DS5" s="233"/>
      <c r="DT5" s="232"/>
      <c r="DU5" s="233"/>
      <c r="DV5" s="233"/>
      <c r="DW5" s="233"/>
      <c r="DX5" s="233"/>
      <c r="DY5" s="233"/>
      <c r="DZ5" s="233"/>
      <c r="EA5" s="233"/>
      <c r="EB5" s="233"/>
      <c r="EC5" s="233"/>
      <c r="ED5" s="233"/>
      <c r="EE5" s="233"/>
      <c r="EF5" s="233"/>
      <c r="EG5" s="233"/>
      <c r="EH5" s="233"/>
      <c r="EI5" s="233"/>
      <c r="EJ5" s="233"/>
      <c r="EK5" s="232"/>
      <c r="EL5" s="233"/>
      <c r="EM5" s="233"/>
      <c r="EN5" s="233"/>
      <c r="EO5" s="233"/>
      <c r="EP5" s="233"/>
      <c r="EQ5" s="233"/>
      <c r="ER5" s="233"/>
      <c r="ES5" s="233"/>
      <c r="ET5" s="233"/>
      <c r="EU5" s="233"/>
      <c r="EV5" s="233"/>
      <c r="EW5" s="233"/>
      <c r="EX5" s="233"/>
      <c r="EY5" s="233"/>
      <c r="EZ5" s="233"/>
      <c r="FA5" s="233"/>
      <c r="FB5" s="232"/>
      <c r="FC5" s="233"/>
      <c r="FD5" s="233"/>
      <c r="FE5" s="233"/>
      <c r="FF5" s="233"/>
      <c r="FG5" s="233"/>
      <c r="FH5" s="233"/>
      <c r="FI5" s="233"/>
      <c r="FJ5" s="233"/>
      <c r="FK5" s="233"/>
      <c r="FL5" s="233"/>
      <c r="FM5" s="233"/>
      <c r="FN5" s="233"/>
      <c r="FO5" s="233"/>
      <c r="FP5" s="233"/>
      <c r="FQ5" s="233"/>
      <c r="FR5" s="233"/>
      <c r="FS5" s="232"/>
      <c r="FT5" s="233"/>
      <c r="GD5" s="290"/>
      <c r="GG5" s="233"/>
      <c r="GH5" s="233"/>
      <c r="GI5" s="233"/>
      <c r="GJ5" s="232"/>
      <c r="GN5" s="232"/>
    </row>
    <row r="7" spans="2:208" s="5" customFormat="1" ht="11.45" customHeight="1" x14ac:dyDescent="0.2">
      <c r="B7" s="184" t="s">
        <v>11</v>
      </c>
      <c r="C7" s="184" t="s">
        <v>12</v>
      </c>
      <c r="D7" s="184" t="s">
        <v>13</v>
      </c>
      <c r="E7" s="184" t="s">
        <v>14</v>
      </c>
      <c r="F7" s="185"/>
      <c r="G7" s="237" t="str">
        <f>IFERROR(DATE(V7,1,31),"")</f>
        <v/>
      </c>
      <c r="H7" s="237" t="str">
        <f t="shared" ref="H7:R7" si="0">IFERROR(EOMONTH(G7,1),"")</f>
        <v/>
      </c>
      <c r="I7" s="237" t="str">
        <f t="shared" si="0"/>
        <v/>
      </c>
      <c r="J7" s="237" t="str">
        <f t="shared" si="0"/>
        <v/>
      </c>
      <c r="K7" s="237" t="str">
        <f t="shared" si="0"/>
        <v/>
      </c>
      <c r="L7" s="237" t="str">
        <f t="shared" si="0"/>
        <v/>
      </c>
      <c r="M7" s="237" t="str">
        <f t="shared" si="0"/>
        <v/>
      </c>
      <c r="N7" s="237" t="str">
        <f t="shared" si="0"/>
        <v/>
      </c>
      <c r="O7" s="237" t="str">
        <f t="shared" si="0"/>
        <v/>
      </c>
      <c r="P7" s="237" t="str">
        <f t="shared" si="0"/>
        <v/>
      </c>
      <c r="Q7" s="237" t="str">
        <f t="shared" si="0"/>
        <v/>
      </c>
      <c r="R7" s="237" t="str">
        <f t="shared" si="0"/>
        <v/>
      </c>
      <c r="S7" s="1"/>
      <c r="T7" s="184" t="s">
        <v>15</v>
      </c>
      <c r="U7" s="184" t="s">
        <v>16</v>
      </c>
      <c r="V7" s="184" t="str">
        <f>IF(AM7="","",AM7-1)</f>
        <v/>
      </c>
      <c r="W7" s="185"/>
      <c r="X7" s="237" t="str">
        <f>IFERROR(DATE(AM7,1,31),"")</f>
        <v/>
      </c>
      <c r="Y7" s="237" t="str">
        <f t="shared" ref="Y7:AI7" si="1">IFERROR(EOMONTH(X7,1),"")</f>
        <v/>
      </c>
      <c r="Z7" s="237" t="str">
        <f t="shared" si="1"/>
        <v/>
      </c>
      <c r="AA7" s="237" t="str">
        <f t="shared" si="1"/>
        <v/>
      </c>
      <c r="AB7" s="237" t="str">
        <f t="shared" si="1"/>
        <v/>
      </c>
      <c r="AC7" s="237" t="str">
        <f t="shared" si="1"/>
        <v/>
      </c>
      <c r="AD7" s="237" t="str">
        <f t="shared" si="1"/>
        <v/>
      </c>
      <c r="AE7" s="237" t="str">
        <f t="shared" si="1"/>
        <v/>
      </c>
      <c r="AF7" s="237" t="str">
        <f t="shared" si="1"/>
        <v/>
      </c>
      <c r="AG7" s="237" t="str">
        <f t="shared" si="1"/>
        <v/>
      </c>
      <c r="AH7" s="237" t="str">
        <f t="shared" si="1"/>
        <v/>
      </c>
      <c r="AI7" s="237" t="str">
        <f t="shared" si="1"/>
        <v/>
      </c>
      <c r="AJ7" s="1"/>
      <c r="AK7" s="184" t="s">
        <v>15</v>
      </c>
      <c r="AL7" s="184" t="s">
        <v>16</v>
      </c>
      <c r="AM7" s="184" t="str">
        <f>IF(BD7="","",BD7-1)</f>
        <v/>
      </c>
      <c r="AN7" s="185"/>
      <c r="AO7" s="237" t="str">
        <f>IFERROR(DATE(BD7,1,31),"")</f>
        <v/>
      </c>
      <c r="AP7" s="237" t="str">
        <f>IFERROR(EOMONTH(AO7,1),"")</f>
        <v/>
      </c>
      <c r="AQ7" s="237" t="str">
        <f>IFERROR(EOMONTH(AP7,1),"")</f>
        <v/>
      </c>
      <c r="AR7" s="237" t="e">
        <f t="shared" ref="AR7" si="2">EOMONTH(AQ7,1)</f>
        <v>#VALUE!</v>
      </c>
      <c r="AS7" s="237" t="str">
        <f t="shared" ref="AS7:AZ7" si="3">IFERROR(EOMONTH(AR7,1),"")</f>
        <v/>
      </c>
      <c r="AT7" s="237" t="str">
        <f t="shared" si="3"/>
        <v/>
      </c>
      <c r="AU7" s="237" t="str">
        <f t="shared" si="3"/>
        <v/>
      </c>
      <c r="AV7" s="237" t="str">
        <f t="shared" si="3"/>
        <v/>
      </c>
      <c r="AW7" s="237" t="str">
        <f t="shared" si="3"/>
        <v/>
      </c>
      <c r="AX7" s="237" t="str">
        <f t="shared" si="3"/>
        <v/>
      </c>
      <c r="AY7" s="237" t="str">
        <f t="shared" si="3"/>
        <v/>
      </c>
      <c r="AZ7" s="237" t="str">
        <f t="shared" si="3"/>
        <v/>
      </c>
      <c r="BA7" s="1"/>
      <c r="BB7" s="184" t="s">
        <v>16</v>
      </c>
      <c r="BC7" s="184" t="s">
        <v>15</v>
      </c>
      <c r="BD7" s="184" t="str">
        <f>IF(BU7="","",BU7-1)</f>
        <v/>
      </c>
      <c r="BE7" s="186"/>
      <c r="BF7" s="237" t="str">
        <f>IFERROR(DATE(BU7,1,31),"")</f>
        <v/>
      </c>
      <c r="BG7" s="237" t="str">
        <f>IFERROR(EOMONTH(BF7,1),"")</f>
        <v/>
      </c>
      <c r="BH7" s="237" t="str">
        <f>IFERROR(EOMONTH(BG7,1),"")</f>
        <v/>
      </c>
      <c r="BI7" s="237" t="e">
        <f t="shared" ref="BI7" si="4">EOMONTH(BH7,1)</f>
        <v>#VALUE!</v>
      </c>
      <c r="BJ7" s="237" t="str">
        <f t="shared" ref="BJ7:BQ7" si="5">IFERROR(EOMONTH(BI7,1),"")</f>
        <v/>
      </c>
      <c r="BK7" s="237" t="str">
        <f t="shared" si="5"/>
        <v/>
      </c>
      <c r="BL7" s="237" t="str">
        <f t="shared" si="5"/>
        <v/>
      </c>
      <c r="BM7" s="237" t="str">
        <f t="shared" si="5"/>
        <v/>
      </c>
      <c r="BN7" s="237" t="str">
        <f t="shared" si="5"/>
        <v/>
      </c>
      <c r="BO7" s="237" t="str">
        <f t="shared" si="5"/>
        <v/>
      </c>
      <c r="BP7" s="237" t="str">
        <f t="shared" si="5"/>
        <v/>
      </c>
      <c r="BQ7" s="237" t="str">
        <f t="shared" si="5"/>
        <v/>
      </c>
      <c r="BR7" s="1"/>
      <c r="BS7" s="184" t="s">
        <v>15</v>
      </c>
      <c r="BT7" s="184" t="s">
        <v>16</v>
      </c>
      <c r="BU7" s="184" t="str">
        <f>IF(CL7="","",CL7-1)</f>
        <v/>
      </c>
      <c r="BV7" s="186"/>
      <c r="BW7" s="237" t="str">
        <f>IFERROR(DATE(CL7,1,31),"")</f>
        <v/>
      </c>
      <c r="BX7" s="237" t="str">
        <f t="shared" ref="BX7:CH7" si="6">IFERROR(EOMONTH(BW7,1),"")</f>
        <v/>
      </c>
      <c r="BY7" s="237" t="str">
        <f t="shared" si="6"/>
        <v/>
      </c>
      <c r="BZ7" s="237" t="str">
        <f t="shared" si="6"/>
        <v/>
      </c>
      <c r="CA7" s="237" t="str">
        <f t="shared" si="6"/>
        <v/>
      </c>
      <c r="CB7" s="237" t="str">
        <f t="shared" si="6"/>
        <v/>
      </c>
      <c r="CC7" s="237" t="str">
        <f t="shared" si="6"/>
        <v/>
      </c>
      <c r="CD7" s="237" t="str">
        <f t="shared" si="6"/>
        <v/>
      </c>
      <c r="CE7" s="237" t="str">
        <f t="shared" si="6"/>
        <v/>
      </c>
      <c r="CF7" s="237" t="str">
        <f t="shared" si="6"/>
        <v/>
      </c>
      <c r="CG7" s="237" t="str">
        <f t="shared" si="6"/>
        <v/>
      </c>
      <c r="CH7" s="237" t="str">
        <f t="shared" si="6"/>
        <v/>
      </c>
      <c r="CI7" s="1"/>
      <c r="CJ7" s="184" t="s">
        <v>15</v>
      </c>
      <c r="CK7" s="184" t="s">
        <v>16</v>
      </c>
      <c r="CL7" s="184" t="str">
        <f>IF(DC7="","",DC7-1)</f>
        <v/>
      </c>
      <c r="CM7" s="186"/>
      <c r="CN7" s="237" t="str">
        <f>IFERROR(DATE(DC7,1,31),"")</f>
        <v/>
      </c>
      <c r="CO7" s="237" t="str">
        <f t="shared" ref="CO7:CY7" si="7">IFERROR(EOMONTH(CN7,1),"")</f>
        <v/>
      </c>
      <c r="CP7" s="237" t="str">
        <f t="shared" si="7"/>
        <v/>
      </c>
      <c r="CQ7" s="237" t="str">
        <f t="shared" si="7"/>
        <v/>
      </c>
      <c r="CR7" s="237" t="str">
        <f t="shared" si="7"/>
        <v/>
      </c>
      <c r="CS7" s="237" t="str">
        <f t="shared" si="7"/>
        <v/>
      </c>
      <c r="CT7" s="237" t="str">
        <f t="shared" si="7"/>
        <v/>
      </c>
      <c r="CU7" s="237" t="str">
        <f t="shared" si="7"/>
        <v/>
      </c>
      <c r="CV7" s="237" t="str">
        <f t="shared" si="7"/>
        <v/>
      </c>
      <c r="CW7" s="237" t="str">
        <f t="shared" si="7"/>
        <v/>
      </c>
      <c r="CX7" s="237" t="str">
        <f t="shared" si="7"/>
        <v/>
      </c>
      <c r="CY7" s="237" t="str">
        <f t="shared" si="7"/>
        <v/>
      </c>
      <c r="CZ7" s="1"/>
      <c r="DA7" s="184" t="s">
        <v>15</v>
      </c>
      <c r="DB7" s="184" t="s">
        <v>16</v>
      </c>
      <c r="DC7" s="184" t="str">
        <f>IF(DT7="","",DT7-1)</f>
        <v/>
      </c>
      <c r="DD7" s="186"/>
      <c r="DE7" s="237" t="str">
        <f>IFERROR(DATE(DT7,1,31),"")</f>
        <v/>
      </c>
      <c r="DF7" s="237" t="str">
        <f t="shared" ref="DF7:DP7" si="8">IFERROR(EOMONTH(DE7,1),"")</f>
        <v/>
      </c>
      <c r="DG7" s="237" t="str">
        <f t="shared" si="8"/>
        <v/>
      </c>
      <c r="DH7" s="237" t="str">
        <f t="shared" si="8"/>
        <v/>
      </c>
      <c r="DI7" s="237" t="str">
        <f t="shared" si="8"/>
        <v/>
      </c>
      <c r="DJ7" s="237" t="str">
        <f t="shared" si="8"/>
        <v/>
      </c>
      <c r="DK7" s="237" t="str">
        <f t="shared" si="8"/>
        <v/>
      </c>
      <c r="DL7" s="237" t="str">
        <f t="shared" si="8"/>
        <v/>
      </c>
      <c r="DM7" s="237" t="str">
        <f t="shared" si="8"/>
        <v/>
      </c>
      <c r="DN7" s="237" t="str">
        <f t="shared" si="8"/>
        <v/>
      </c>
      <c r="DO7" s="237" t="str">
        <f t="shared" si="8"/>
        <v/>
      </c>
      <c r="DP7" s="237" t="str">
        <f t="shared" si="8"/>
        <v/>
      </c>
      <c r="DQ7" s="1"/>
      <c r="DR7" s="184" t="s">
        <v>16</v>
      </c>
      <c r="DS7" s="184" t="s">
        <v>16</v>
      </c>
      <c r="DT7" s="184" t="str">
        <f>IF(EK7="","",EK7-1)</f>
        <v/>
      </c>
      <c r="DU7" s="186"/>
      <c r="DV7" s="237" t="str">
        <f>IFERROR(DATE(EK7,1,31),"")</f>
        <v/>
      </c>
      <c r="DW7" s="237" t="str">
        <f>IFERROR(EOMONTH(DV7,1),"")</f>
        <v/>
      </c>
      <c r="DX7" s="237" t="str">
        <f>IFERROR(EOMONTH(DW7,1),"")</f>
        <v/>
      </c>
      <c r="DY7" s="237" t="e">
        <f t="shared" ref="DY7" si="9">EOMONTH(DX7,1)</f>
        <v>#VALUE!</v>
      </c>
      <c r="DZ7" s="237" t="str">
        <f t="shared" ref="DZ7:EG7" si="10">IFERROR(EOMONTH(DY7,1),"")</f>
        <v/>
      </c>
      <c r="EA7" s="237" t="str">
        <f t="shared" si="10"/>
        <v/>
      </c>
      <c r="EB7" s="237" t="str">
        <f t="shared" si="10"/>
        <v/>
      </c>
      <c r="EC7" s="237" t="str">
        <f t="shared" si="10"/>
        <v/>
      </c>
      <c r="ED7" s="237" t="str">
        <f t="shared" si="10"/>
        <v/>
      </c>
      <c r="EE7" s="237" t="str">
        <f t="shared" si="10"/>
        <v/>
      </c>
      <c r="EF7" s="237" t="str">
        <f t="shared" si="10"/>
        <v/>
      </c>
      <c r="EG7" s="237" t="str">
        <f t="shared" si="10"/>
        <v/>
      </c>
      <c r="EH7" s="1"/>
      <c r="EI7" s="184" t="s">
        <v>15</v>
      </c>
      <c r="EJ7" s="184" t="s">
        <v>16</v>
      </c>
      <c r="EK7" s="184" t="str">
        <f>IF(FB7="","",FB7-1)</f>
        <v/>
      </c>
      <c r="EL7" s="186"/>
      <c r="EM7" s="237" t="str">
        <f>IFERROR(DATE(FB7,1,31),"")</f>
        <v/>
      </c>
      <c r="EN7" s="237" t="str">
        <f t="shared" ref="EN7:EX7" si="11">IFERROR(EOMONTH(EM7,1),"")</f>
        <v/>
      </c>
      <c r="EO7" s="237" t="str">
        <f t="shared" si="11"/>
        <v/>
      </c>
      <c r="EP7" s="237" t="str">
        <f t="shared" si="11"/>
        <v/>
      </c>
      <c r="EQ7" s="237" t="str">
        <f t="shared" si="11"/>
        <v/>
      </c>
      <c r="ER7" s="237" t="str">
        <f t="shared" si="11"/>
        <v/>
      </c>
      <c r="ES7" s="237" t="str">
        <f t="shared" si="11"/>
        <v/>
      </c>
      <c r="ET7" s="237" t="str">
        <f t="shared" si="11"/>
        <v/>
      </c>
      <c r="EU7" s="237" t="str">
        <f t="shared" si="11"/>
        <v/>
      </c>
      <c r="EV7" s="237" t="str">
        <f t="shared" si="11"/>
        <v/>
      </c>
      <c r="EW7" s="237" t="str">
        <f t="shared" si="11"/>
        <v/>
      </c>
      <c r="EX7" s="237" t="str">
        <f t="shared" si="11"/>
        <v/>
      </c>
      <c r="EY7" s="1"/>
      <c r="EZ7" s="184" t="s">
        <v>15</v>
      </c>
      <c r="FA7" s="184" t="s">
        <v>16</v>
      </c>
      <c r="FB7" s="184" t="str">
        <f>IF(FS7="","",FS7-1)</f>
        <v/>
      </c>
      <c r="FC7" s="1"/>
      <c r="FD7" s="237">
        <f>IFERROR(DATE(FS7,1,31),"")</f>
        <v>31</v>
      </c>
      <c r="FE7" s="237">
        <f t="shared" ref="FE7:FO7" si="12">IFERROR(EOMONTH(FD7,1),"")</f>
        <v>59</v>
      </c>
      <c r="FF7" s="237">
        <f t="shared" si="12"/>
        <v>91</v>
      </c>
      <c r="FG7" s="237">
        <f t="shared" si="12"/>
        <v>121</v>
      </c>
      <c r="FH7" s="237">
        <f t="shared" si="12"/>
        <v>152</v>
      </c>
      <c r="FI7" s="237">
        <f t="shared" si="12"/>
        <v>182</v>
      </c>
      <c r="FJ7" s="237">
        <f t="shared" si="12"/>
        <v>213</v>
      </c>
      <c r="FK7" s="237">
        <f t="shared" si="12"/>
        <v>244</v>
      </c>
      <c r="FL7" s="237">
        <f t="shared" si="12"/>
        <v>274</v>
      </c>
      <c r="FM7" s="237">
        <f t="shared" si="12"/>
        <v>305</v>
      </c>
      <c r="FN7" s="237">
        <f t="shared" si="12"/>
        <v>335</v>
      </c>
      <c r="FO7" s="237">
        <f t="shared" si="12"/>
        <v>366</v>
      </c>
      <c r="FP7" s="186"/>
      <c r="FQ7" s="184" t="s">
        <v>15</v>
      </c>
      <c r="FR7" s="184" t="s">
        <v>16</v>
      </c>
      <c r="FS7" s="184"/>
      <c r="FT7" s="1"/>
      <c r="FU7" s="237" t="str">
        <f t="shared" ref="FU7:GE7" si="13">IFERROR(DATE(YEAR(FV7),MONTH(FV7)-1,1),"")</f>
        <v/>
      </c>
      <c r="FV7" s="237" t="str">
        <f t="shared" si="13"/>
        <v/>
      </c>
      <c r="FW7" s="237" t="str">
        <f t="shared" si="13"/>
        <v/>
      </c>
      <c r="FX7" s="237" t="str">
        <f t="shared" si="13"/>
        <v/>
      </c>
      <c r="FY7" s="237" t="str">
        <f t="shared" si="13"/>
        <v/>
      </c>
      <c r="FZ7" s="237" t="str">
        <f t="shared" si="13"/>
        <v/>
      </c>
      <c r="GA7" s="237" t="str">
        <f t="shared" si="13"/>
        <v/>
      </c>
      <c r="GB7" s="237" t="str">
        <f t="shared" si="13"/>
        <v/>
      </c>
      <c r="GC7" s="237" t="str">
        <f t="shared" si="13"/>
        <v/>
      </c>
      <c r="GD7" s="237" t="str">
        <f t="shared" si="13"/>
        <v/>
      </c>
      <c r="GE7" s="237" t="str">
        <f t="shared" si="13"/>
        <v/>
      </c>
      <c r="GF7" s="237"/>
      <c r="GG7" s="186"/>
      <c r="GH7" s="184" t="s">
        <v>15</v>
      </c>
      <c r="GI7" s="184" t="s">
        <v>16</v>
      </c>
      <c r="GJ7" s="184" t="s">
        <v>420</v>
      </c>
      <c r="GK7" s="1"/>
      <c r="GL7" s="184" t="s">
        <v>15</v>
      </c>
      <c r="GM7" s="184" t="s">
        <v>16</v>
      </c>
      <c r="GN7" s="184" t="s">
        <v>427</v>
      </c>
      <c r="GO7" s="1"/>
      <c r="GP7" s="184" t="s">
        <v>15</v>
      </c>
      <c r="GQ7" s="184" t="s">
        <v>16</v>
      </c>
      <c r="GR7" s="184" t="s">
        <v>17</v>
      </c>
      <c r="GS7" s="186"/>
      <c r="GT7" s="184" t="s">
        <v>15</v>
      </c>
      <c r="GU7" s="184" t="s">
        <v>16</v>
      </c>
      <c r="GV7" s="184" t="s">
        <v>18</v>
      </c>
      <c r="GW7" s="186"/>
      <c r="GX7" s="184" t="s">
        <v>15</v>
      </c>
      <c r="GY7" s="184" t="s">
        <v>16</v>
      </c>
      <c r="GZ7" s="184" t="s">
        <v>19</v>
      </c>
    </row>
    <row r="8" spans="2:208" ht="11.45" customHeight="1" x14ac:dyDescent="0.2">
      <c r="B8" s="183"/>
      <c r="C8" s="183"/>
      <c r="D8" s="209"/>
      <c r="E8" s="183"/>
      <c r="F8" s="183"/>
      <c r="G8" s="190"/>
      <c r="H8" s="190"/>
      <c r="I8" s="190"/>
      <c r="J8" s="190"/>
      <c r="K8" s="190"/>
      <c r="L8" s="190"/>
      <c r="M8" s="190"/>
      <c r="N8" s="190"/>
      <c r="O8" s="190"/>
      <c r="P8" s="190"/>
      <c r="Q8" s="190"/>
      <c r="R8" s="190"/>
      <c r="S8" s="190"/>
      <c r="T8" s="190">
        <f>SUM(G8:R8)</f>
        <v>0</v>
      </c>
      <c r="U8" s="190"/>
      <c r="V8" s="190">
        <f>IFERROR(IF($V$5=12,SUM(T8:U8),SUM(T8:U8)*12/$V$5),0)</f>
        <v>0</v>
      </c>
      <c r="W8" s="187"/>
      <c r="X8" s="190"/>
      <c r="Y8" s="190"/>
      <c r="Z8" s="190"/>
      <c r="AA8" s="190"/>
      <c r="AB8" s="190"/>
      <c r="AC8" s="190"/>
      <c r="AD8" s="190"/>
      <c r="AE8" s="190"/>
      <c r="AF8" s="190"/>
      <c r="AG8" s="190"/>
      <c r="AH8" s="190"/>
      <c r="AI8" s="190"/>
      <c r="AJ8" s="190"/>
      <c r="AK8" s="190">
        <f>SUM(X8:AI8)</f>
        <v>0</v>
      </c>
      <c r="AL8" s="190"/>
      <c r="AM8" s="190">
        <f>IFERROR(IF($AM$5=12,SUM(AK8:AL8),SUM(AK8:AL8)*12/$AM$5),0)</f>
        <v>0</v>
      </c>
      <c r="AN8" s="187"/>
      <c r="AO8" s="190"/>
      <c r="AP8" s="190"/>
      <c r="AQ8" s="190"/>
      <c r="AR8" s="190"/>
      <c r="AS8" s="190"/>
      <c r="AT8" s="190"/>
      <c r="AU8" s="190"/>
      <c r="AV8" s="190"/>
      <c r="AW8" s="190"/>
      <c r="AX8" s="190"/>
      <c r="AY8" s="190"/>
      <c r="AZ8" s="190"/>
      <c r="BA8" s="190"/>
      <c r="BB8" s="190">
        <f>SUM(AP8:AZ8)</f>
        <v>0</v>
      </c>
      <c r="BC8" s="190"/>
      <c r="BD8" s="190">
        <f>IFERROR(IF($BD$5=12,SUM(BB8:BC8),SUM(BB8:BC8)*12/$BD$5),0)</f>
        <v>0</v>
      </c>
      <c r="BE8" s="187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>
        <f>SUM(BG8:BQ8)</f>
        <v>0</v>
      </c>
      <c r="BT8" s="190"/>
      <c r="BU8" s="190">
        <f>IFERROR(IF($BU$5=12,SUM(BS8:BT8),SUM(BS8:BT8)*12/$BU$5),0)</f>
        <v>0</v>
      </c>
      <c r="BV8" s="187"/>
      <c r="BW8" s="190"/>
      <c r="BX8" s="190"/>
      <c r="BY8" s="190"/>
      <c r="BZ8" s="190"/>
      <c r="CA8" s="190"/>
      <c r="CB8" s="190"/>
      <c r="CC8" s="190"/>
      <c r="CD8" s="190"/>
      <c r="CE8" s="190"/>
      <c r="CF8" s="190"/>
      <c r="CG8" s="190"/>
      <c r="CH8" s="190"/>
      <c r="CI8" s="190"/>
      <c r="CJ8" s="190">
        <f>SUM(BX8:CH8)</f>
        <v>0</v>
      </c>
      <c r="CK8" s="190"/>
      <c r="CL8" s="190">
        <f>IFERROR(IF($CL$5=12,SUM(CJ8:CK8),SUM(CJ8:CK8)*12/$CL$5),0)</f>
        <v>0</v>
      </c>
      <c r="CM8" s="187"/>
      <c r="CN8" s="190"/>
      <c r="CO8" s="190"/>
      <c r="CP8" s="190"/>
      <c r="CQ8" s="190"/>
      <c r="CR8" s="190"/>
      <c r="CS8" s="190"/>
      <c r="CT8" s="190"/>
      <c r="CU8" s="190"/>
      <c r="CV8" s="190"/>
      <c r="CW8" s="190"/>
      <c r="CX8" s="190"/>
      <c r="CY8" s="190"/>
      <c r="CZ8" s="190"/>
      <c r="DA8" s="190">
        <f>SUM(CN8:CY8)</f>
        <v>0</v>
      </c>
      <c r="DB8" s="190"/>
      <c r="DC8" s="190">
        <f>IFERROR(IF($DC$5=12,SUM(DA8:DB8),SUM(DA8:DB8)*12/$DC$5),0)</f>
        <v>0</v>
      </c>
      <c r="DD8" s="187"/>
      <c r="DE8" s="190"/>
      <c r="DF8" s="190"/>
      <c r="DG8" s="190"/>
      <c r="DH8" s="190"/>
      <c r="DI8" s="190"/>
      <c r="DJ8" s="190"/>
      <c r="DK8" s="190"/>
      <c r="DL8" s="190"/>
      <c r="DM8" s="190"/>
      <c r="DN8" s="190"/>
      <c r="DO8" s="190"/>
      <c r="DP8" s="190"/>
      <c r="DQ8" s="190"/>
      <c r="DR8" s="190">
        <f>SUM(DF8:DP8)</f>
        <v>0</v>
      </c>
      <c r="DS8" s="190"/>
      <c r="DT8" s="190">
        <f>IFERROR(IF($DT$5=12,SUM(DR8:DS8),SUM(DR8:DS8)*12/$DT$5),0)</f>
        <v>0</v>
      </c>
      <c r="DU8" s="187"/>
      <c r="DV8" s="190"/>
      <c r="DW8" s="190"/>
      <c r="DX8" s="190"/>
      <c r="DY8" s="190"/>
      <c r="DZ8" s="190"/>
      <c r="EA8" s="190"/>
      <c r="EB8" s="190"/>
      <c r="EC8" s="190"/>
      <c r="ED8" s="190"/>
      <c r="EE8" s="190"/>
      <c r="EF8" s="190"/>
      <c r="EG8" s="190"/>
      <c r="EH8" s="190"/>
      <c r="EI8" s="190">
        <f>SUM(DV8:EG8)</f>
        <v>0</v>
      </c>
      <c r="EJ8" s="190"/>
      <c r="EK8" s="190">
        <f>IFERROR(IF($EK$5=12,SUM(EI8:EJ8),SUM(EI8:EJ8)*12/$EK$5),0)</f>
        <v>0</v>
      </c>
      <c r="EL8" s="187"/>
      <c r="EM8" s="190"/>
      <c r="EN8" s="190"/>
      <c r="EO8" s="190"/>
      <c r="EP8" s="190"/>
      <c r="EQ8" s="190"/>
      <c r="ER8" s="190"/>
      <c r="ES8" s="190"/>
      <c r="ET8" s="190"/>
      <c r="EU8" s="190"/>
      <c r="EV8" s="190"/>
      <c r="EW8" s="190"/>
      <c r="EX8" s="190"/>
      <c r="EY8" s="190"/>
      <c r="EZ8" s="190">
        <f>SUM(EM8:EX8)</f>
        <v>0</v>
      </c>
      <c r="FA8" s="190"/>
      <c r="FB8" s="190">
        <f>IFERROR(IF($FB$5=12,SUM(EZ8:FA8),SUM(EZ8:FA8)*12/$FB$5),0)</f>
        <v>0</v>
      </c>
      <c r="FC8" s="190"/>
      <c r="FD8" s="190"/>
      <c r="FE8" s="190"/>
      <c r="FF8" s="190"/>
      <c r="FG8" s="190"/>
      <c r="FH8" s="190"/>
      <c r="FI8" s="190"/>
      <c r="FJ8" s="190"/>
      <c r="FK8" s="190"/>
      <c r="FL8" s="190"/>
      <c r="FM8" s="190"/>
      <c r="FN8" s="190"/>
      <c r="FO8" s="190"/>
      <c r="FP8" s="190"/>
      <c r="FQ8" s="190">
        <f t="shared" ref="FQ8:FQ27" si="14">SUM(FD8:FO8)</f>
        <v>0</v>
      </c>
      <c r="FR8" s="190"/>
      <c r="FS8" s="190">
        <f>IFERROR(IF($FS$5=12,SUM(FQ8:FR8),SUM(FQ8:FR8)*12/$FS$5),0)</f>
        <v>0</v>
      </c>
      <c r="FT8" s="190"/>
      <c r="FU8" s="190"/>
      <c r="FV8" s="190"/>
      <c r="FW8" s="190"/>
      <c r="FX8" s="190"/>
      <c r="FY8" s="190"/>
      <c r="FZ8" s="190"/>
      <c r="GA8" s="190"/>
      <c r="GB8" s="190"/>
      <c r="GC8" s="190"/>
      <c r="GD8" s="190"/>
      <c r="GE8" s="190"/>
      <c r="GF8" s="190"/>
      <c r="GG8" s="190"/>
      <c r="GH8" s="190"/>
      <c r="GI8" s="190"/>
      <c r="GJ8" s="190">
        <f>IFERROR(IF($GJ$5=12,SUM(GH8:GI8),SUM(GH8:GI8)*12/$GJ$5),0)</f>
        <v>0</v>
      </c>
      <c r="GK8" s="190"/>
      <c r="GL8" s="190"/>
      <c r="GM8" s="190"/>
      <c r="GN8" s="190">
        <f>IFERROR(IF($GN$5=12,SUM(GL8:GM8),SUM(GL8:GM8)*12/$GN$5),0)</f>
        <v>0</v>
      </c>
      <c r="GO8" s="190"/>
      <c r="GP8" s="190"/>
      <c r="GQ8" s="190"/>
      <c r="GR8" s="190">
        <f t="shared" ref="GR8:GR27" si="15">SUM(GP8:GQ8)</f>
        <v>0</v>
      </c>
      <c r="GS8" s="190"/>
      <c r="GT8" s="190"/>
      <c r="GU8" s="190"/>
      <c r="GV8" s="190">
        <f t="shared" ref="GV8:GV27" si="16">SUM(GT8:GU8)</f>
        <v>0</v>
      </c>
      <c r="GW8" s="190"/>
      <c r="GX8" s="190"/>
      <c r="GY8" s="190"/>
      <c r="GZ8" s="190">
        <f t="shared" ref="GZ8:GZ27" si="17">SUM(GX8:GY8)</f>
        <v>0</v>
      </c>
    </row>
    <row r="9" spans="2:208" ht="11.45" customHeight="1" x14ac:dyDescent="0.2">
      <c r="B9" s="183"/>
      <c r="C9" s="183"/>
      <c r="D9" s="209"/>
      <c r="E9" s="183"/>
      <c r="F9" s="183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0"/>
      <c r="R9" s="190"/>
      <c r="S9" s="190"/>
      <c r="T9" s="190">
        <f t="shared" ref="T9:T27" si="18">SUM(G9:R9)</f>
        <v>0</v>
      </c>
      <c r="U9" s="190"/>
      <c r="V9" s="190">
        <f t="shared" ref="V9:V27" si="19">IFERROR(IF($V$5=12,SUM(T9:U9),SUM(T9:U9)*12/$V$5),0)</f>
        <v>0</v>
      </c>
      <c r="W9" s="187"/>
      <c r="X9" s="190"/>
      <c r="Y9" s="190"/>
      <c r="Z9" s="190"/>
      <c r="AA9" s="190"/>
      <c r="AB9" s="190"/>
      <c r="AC9" s="190"/>
      <c r="AD9" s="190"/>
      <c r="AE9" s="190"/>
      <c r="AF9" s="190"/>
      <c r="AG9" s="190"/>
      <c r="AH9" s="190"/>
      <c r="AI9" s="190"/>
      <c r="AJ9" s="190"/>
      <c r="AK9" s="190">
        <f t="shared" ref="AK9:AK27" si="20">SUM(X9:AI9)</f>
        <v>0</v>
      </c>
      <c r="AL9" s="190"/>
      <c r="AM9" s="190">
        <f t="shared" ref="AM9:AM27" si="21">IFERROR(IF($AM$5=12,SUM(AK9:AL9),SUM(AK9:AL9)*12/$AM$5),0)</f>
        <v>0</v>
      </c>
      <c r="AN9" s="187"/>
      <c r="AO9" s="190"/>
      <c r="AP9" s="190"/>
      <c r="AQ9" s="190"/>
      <c r="AR9" s="190"/>
      <c r="AS9" s="190"/>
      <c r="AT9" s="190"/>
      <c r="AU9" s="190"/>
      <c r="AV9" s="190"/>
      <c r="AW9" s="190"/>
      <c r="AX9" s="190"/>
      <c r="AY9" s="190"/>
      <c r="AZ9" s="190"/>
      <c r="BA9" s="190"/>
      <c r="BB9" s="190">
        <f t="shared" ref="BB9:BB27" si="22">SUM(AP9:AZ9)</f>
        <v>0</v>
      </c>
      <c r="BC9" s="190"/>
      <c r="BD9" s="190">
        <f t="shared" ref="BD9:BD27" si="23">IFERROR(IF($BD$5=12,SUM(BB9:BC9),SUM(BB9:BC9)*12/$BD$5),0)</f>
        <v>0</v>
      </c>
      <c r="BE9" s="187"/>
      <c r="BF9" s="190"/>
      <c r="BG9" s="190"/>
      <c r="BH9" s="190"/>
      <c r="BI9" s="190"/>
      <c r="BJ9" s="190"/>
      <c r="BK9" s="190"/>
      <c r="BL9" s="190"/>
      <c r="BM9" s="190"/>
      <c r="BN9" s="190"/>
      <c r="BO9" s="190"/>
      <c r="BP9" s="190"/>
      <c r="BQ9" s="190"/>
      <c r="BR9" s="190"/>
      <c r="BS9" s="190">
        <f t="shared" ref="BS9:BS27" si="24">SUM(BG9:BQ9)</f>
        <v>0</v>
      </c>
      <c r="BT9" s="190"/>
      <c r="BU9" s="190">
        <f t="shared" ref="BU9:BU27" si="25">IFERROR(IF($BU$5=12,SUM(BS9:BT9),SUM(BS9:BT9)*12/$BU$5),0)</f>
        <v>0</v>
      </c>
      <c r="BV9" s="187"/>
      <c r="BW9" s="190"/>
      <c r="BX9" s="190"/>
      <c r="BY9" s="190"/>
      <c r="BZ9" s="190"/>
      <c r="CA9" s="190"/>
      <c r="CB9" s="190"/>
      <c r="CC9" s="190"/>
      <c r="CD9" s="190"/>
      <c r="CE9" s="190"/>
      <c r="CF9" s="190"/>
      <c r="CG9" s="190"/>
      <c r="CH9" s="190"/>
      <c r="CI9" s="190"/>
      <c r="CJ9" s="190">
        <f t="shared" ref="CJ9:CJ27" si="26">SUM(BX9:CH9)</f>
        <v>0</v>
      </c>
      <c r="CK9" s="190"/>
      <c r="CL9" s="190">
        <f t="shared" ref="CL9:CL27" si="27">IFERROR(IF($CL$5=12,SUM(CJ9:CK9),SUM(CJ9:CK9)*12/$CL$5),0)</f>
        <v>0</v>
      </c>
      <c r="CM9" s="187"/>
      <c r="CN9" s="190"/>
      <c r="CO9" s="190"/>
      <c r="CP9" s="190"/>
      <c r="CQ9" s="190"/>
      <c r="CR9" s="190"/>
      <c r="CS9" s="190"/>
      <c r="CT9" s="190"/>
      <c r="CU9" s="190"/>
      <c r="CV9" s="190"/>
      <c r="CW9" s="190"/>
      <c r="CX9" s="190"/>
      <c r="CY9" s="190"/>
      <c r="CZ9" s="190"/>
      <c r="DA9" s="190">
        <f t="shared" ref="DA9:DA27" si="28">SUM(CN9:CY9)</f>
        <v>0</v>
      </c>
      <c r="DB9" s="190"/>
      <c r="DC9" s="190">
        <f t="shared" ref="DC9:DC27" si="29">IFERROR(IF($DC$5=12,SUM(DA9:DB9),SUM(DA9:DB9)*12/$DC$5),0)</f>
        <v>0</v>
      </c>
      <c r="DD9" s="187"/>
      <c r="DE9" s="190"/>
      <c r="DF9" s="190"/>
      <c r="DG9" s="190"/>
      <c r="DH9" s="190"/>
      <c r="DI9" s="190"/>
      <c r="DJ9" s="190"/>
      <c r="DK9" s="190"/>
      <c r="DL9" s="190"/>
      <c r="DM9" s="190"/>
      <c r="DN9" s="190"/>
      <c r="DO9" s="190"/>
      <c r="DP9" s="190"/>
      <c r="DQ9" s="190"/>
      <c r="DR9" s="190">
        <f t="shared" ref="DR9:DR27" si="30">SUM(DF9:DP9)</f>
        <v>0</v>
      </c>
      <c r="DS9" s="190"/>
      <c r="DT9" s="190">
        <f t="shared" ref="DT9:DT27" si="31">IFERROR(IF($DT$5=12,SUM(DR9:DS9),SUM(DR9:DS9)*12/$DT$5),0)</f>
        <v>0</v>
      </c>
      <c r="DU9" s="187"/>
      <c r="DV9" s="190"/>
      <c r="DW9" s="190"/>
      <c r="DX9" s="190"/>
      <c r="DY9" s="190"/>
      <c r="DZ9" s="190"/>
      <c r="EA9" s="190"/>
      <c r="EB9" s="190"/>
      <c r="EC9" s="190"/>
      <c r="ED9" s="190"/>
      <c r="EE9" s="190"/>
      <c r="EF9" s="190"/>
      <c r="EG9" s="190"/>
      <c r="EH9" s="190"/>
      <c r="EI9" s="190">
        <f t="shared" ref="EI9:EI27" si="32">SUM(DV9:EG9)</f>
        <v>0</v>
      </c>
      <c r="EJ9" s="190"/>
      <c r="EK9" s="190">
        <f t="shared" ref="EK9:EK27" si="33">IFERROR(IF($EK$5=12,SUM(EI9:EJ9),SUM(EI9:EJ9)*12/$EK$5),0)</f>
        <v>0</v>
      </c>
      <c r="EL9" s="187"/>
      <c r="EM9" s="190"/>
      <c r="EN9" s="190"/>
      <c r="EO9" s="190"/>
      <c r="EP9" s="190"/>
      <c r="EQ9" s="190"/>
      <c r="ER9" s="190"/>
      <c r="ES9" s="190"/>
      <c r="ET9" s="190"/>
      <c r="EU9" s="190"/>
      <c r="EV9" s="190"/>
      <c r="EW9" s="190"/>
      <c r="EX9" s="190"/>
      <c r="EY9" s="190"/>
      <c r="EZ9" s="190">
        <f t="shared" ref="EZ9:EZ27" si="34">SUM(EM9:EX9)</f>
        <v>0</v>
      </c>
      <c r="FA9" s="190"/>
      <c r="FB9" s="190">
        <f t="shared" ref="FB9:FB27" si="35">IFERROR(IF($FB$5=12,SUM(EZ9:FA9),SUM(EZ9:FA9)*12/$FB$5),0)</f>
        <v>0</v>
      </c>
      <c r="FC9" s="190"/>
      <c r="FD9" s="190"/>
      <c r="FE9" s="190"/>
      <c r="FF9" s="190"/>
      <c r="FG9" s="190"/>
      <c r="FH9" s="190"/>
      <c r="FI9" s="190"/>
      <c r="FJ9" s="190"/>
      <c r="FK9" s="190"/>
      <c r="FL9" s="190"/>
      <c r="FM9" s="190"/>
      <c r="FN9" s="190"/>
      <c r="FO9" s="190"/>
      <c r="FP9" s="190"/>
      <c r="FQ9" s="190">
        <f t="shared" si="14"/>
        <v>0</v>
      </c>
      <c r="FR9" s="190"/>
      <c r="FS9" s="190">
        <f t="shared" ref="FS9:FS27" si="36">IFERROR(IF($FS$5=12,SUM(FQ9:FR9),SUM(FQ9:FR9)*12/$FS$5),0)</f>
        <v>0</v>
      </c>
      <c r="FT9" s="190"/>
      <c r="FU9" s="190"/>
      <c r="FV9" s="190"/>
      <c r="FW9" s="190"/>
      <c r="FX9" s="190"/>
      <c r="FY9" s="190"/>
      <c r="FZ9" s="190"/>
      <c r="GA9" s="190"/>
      <c r="GB9" s="190"/>
      <c r="GC9" s="190"/>
      <c r="GD9" s="190"/>
      <c r="GE9" s="190"/>
      <c r="GF9" s="190"/>
      <c r="GG9" s="190"/>
      <c r="GH9" s="190"/>
      <c r="GI9" s="190"/>
      <c r="GJ9" s="190">
        <f t="shared" ref="GJ9:GJ27" si="37">IFERROR(IF($GJ$5=12,SUM(GH9:GI9),SUM(GH9:GI9)*12/$GJ$5),0)</f>
        <v>0</v>
      </c>
      <c r="GK9" s="190"/>
      <c r="GL9" s="190"/>
      <c r="GM9" s="190"/>
      <c r="GN9" s="190">
        <f t="shared" ref="GN9:GN27" si="38">IFERROR(IF($GN$5=12,SUM(GL9:GM9),SUM(GL9:GM9)*12/$GN$5),0)</f>
        <v>0</v>
      </c>
      <c r="GO9" s="190"/>
      <c r="GP9" s="190"/>
      <c r="GQ9" s="190"/>
      <c r="GR9" s="190">
        <f t="shared" si="15"/>
        <v>0</v>
      </c>
      <c r="GS9" s="190"/>
      <c r="GT9" s="190"/>
      <c r="GU9" s="190"/>
      <c r="GV9" s="190">
        <f t="shared" si="16"/>
        <v>0</v>
      </c>
      <c r="GW9" s="190"/>
      <c r="GX9" s="190"/>
      <c r="GY9" s="190"/>
      <c r="GZ9" s="190">
        <f t="shared" si="17"/>
        <v>0</v>
      </c>
    </row>
    <row r="10" spans="2:208" ht="11.45" customHeight="1" x14ac:dyDescent="0.2">
      <c r="B10" s="183"/>
      <c r="C10" s="183"/>
      <c r="D10" s="209"/>
      <c r="E10" s="183"/>
      <c r="F10" s="183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>
        <f t="shared" si="18"/>
        <v>0</v>
      </c>
      <c r="U10" s="190"/>
      <c r="V10" s="190">
        <f t="shared" si="19"/>
        <v>0</v>
      </c>
      <c r="W10" s="187"/>
      <c r="X10" s="190"/>
      <c r="Y10" s="190"/>
      <c r="Z10" s="190"/>
      <c r="AA10" s="190"/>
      <c r="AB10" s="190"/>
      <c r="AC10" s="190"/>
      <c r="AD10" s="190"/>
      <c r="AE10" s="190"/>
      <c r="AF10" s="190"/>
      <c r="AG10" s="190"/>
      <c r="AH10" s="190"/>
      <c r="AI10" s="190"/>
      <c r="AJ10" s="190"/>
      <c r="AK10" s="190">
        <f t="shared" si="20"/>
        <v>0</v>
      </c>
      <c r="AL10" s="190"/>
      <c r="AM10" s="190">
        <f t="shared" si="21"/>
        <v>0</v>
      </c>
      <c r="AN10" s="187"/>
      <c r="AO10" s="190"/>
      <c r="AP10" s="190"/>
      <c r="AQ10" s="190"/>
      <c r="AR10" s="190"/>
      <c r="AS10" s="190"/>
      <c r="AT10" s="190"/>
      <c r="AU10" s="190"/>
      <c r="AV10" s="190"/>
      <c r="AW10" s="190"/>
      <c r="AX10" s="190"/>
      <c r="AY10" s="190"/>
      <c r="AZ10" s="190"/>
      <c r="BA10" s="190"/>
      <c r="BB10" s="190">
        <f t="shared" si="22"/>
        <v>0</v>
      </c>
      <c r="BC10" s="190"/>
      <c r="BD10" s="190">
        <f t="shared" si="23"/>
        <v>0</v>
      </c>
      <c r="BE10" s="187"/>
      <c r="BF10" s="190"/>
      <c r="BG10" s="190"/>
      <c r="BH10" s="190"/>
      <c r="BI10" s="190"/>
      <c r="BJ10" s="190"/>
      <c r="BK10" s="190"/>
      <c r="BL10" s="190"/>
      <c r="BM10" s="190"/>
      <c r="BN10" s="190"/>
      <c r="BO10" s="190"/>
      <c r="BP10" s="190"/>
      <c r="BQ10" s="190"/>
      <c r="BR10" s="190"/>
      <c r="BS10" s="190">
        <f t="shared" si="24"/>
        <v>0</v>
      </c>
      <c r="BT10" s="190"/>
      <c r="BU10" s="190">
        <f t="shared" si="25"/>
        <v>0</v>
      </c>
      <c r="BV10" s="187"/>
      <c r="BW10" s="190"/>
      <c r="BX10" s="190"/>
      <c r="BY10" s="190"/>
      <c r="BZ10" s="190"/>
      <c r="CA10" s="190"/>
      <c r="CB10" s="190"/>
      <c r="CC10" s="190"/>
      <c r="CD10" s="190"/>
      <c r="CE10" s="190"/>
      <c r="CF10" s="190"/>
      <c r="CG10" s="190"/>
      <c r="CH10" s="190"/>
      <c r="CI10" s="190"/>
      <c r="CJ10" s="190">
        <f t="shared" si="26"/>
        <v>0</v>
      </c>
      <c r="CK10" s="190"/>
      <c r="CL10" s="190">
        <f t="shared" si="27"/>
        <v>0</v>
      </c>
      <c r="CM10" s="187"/>
      <c r="CN10" s="190"/>
      <c r="CO10" s="190"/>
      <c r="CP10" s="190"/>
      <c r="CQ10" s="190"/>
      <c r="CR10" s="190"/>
      <c r="CS10" s="190"/>
      <c r="CT10" s="190"/>
      <c r="CU10" s="190"/>
      <c r="CV10" s="190"/>
      <c r="CW10" s="190"/>
      <c r="CX10" s="190"/>
      <c r="CY10" s="190"/>
      <c r="CZ10" s="190"/>
      <c r="DA10" s="190">
        <f t="shared" si="28"/>
        <v>0</v>
      </c>
      <c r="DB10" s="190"/>
      <c r="DC10" s="190">
        <f t="shared" si="29"/>
        <v>0</v>
      </c>
      <c r="DD10" s="187"/>
      <c r="DE10" s="190"/>
      <c r="DF10" s="190"/>
      <c r="DG10" s="190"/>
      <c r="DH10" s="190"/>
      <c r="DI10" s="190"/>
      <c r="DJ10" s="190"/>
      <c r="DK10" s="190"/>
      <c r="DL10" s="190"/>
      <c r="DM10" s="190"/>
      <c r="DN10" s="190"/>
      <c r="DO10" s="190"/>
      <c r="DP10" s="190"/>
      <c r="DQ10" s="190"/>
      <c r="DR10" s="190">
        <f t="shared" si="30"/>
        <v>0</v>
      </c>
      <c r="DS10" s="190"/>
      <c r="DT10" s="190">
        <f t="shared" si="31"/>
        <v>0</v>
      </c>
      <c r="DU10" s="187"/>
      <c r="DV10" s="190"/>
      <c r="DW10" s="190"/>
      <c r="DX10" s="190"/>
      <c r="DY10" s="190"/>
      <c r="DZ10" s="190"/>
      <c r="EA10" s="190"/>
      <c r="EB10" s="190"/>
      <c r="EC10" s="190"/>
      <c r="ED10" s="190"/>
      <c r="EE10" s="190"/>
      <c r="EF10" s="190"/>
      <c r="EG10" s="190"/>
      <c r="EH10" s="190"/>
      <c r="EI10" s="190">
        <f t="shared" si="32"/>
        <v>0</v>
      </c>
      <c r="EJ10" s="190"/>
      <c r="EK10" s="190">
        <f t="shared" si="33"/>
        <v>0</v>
      </c>
      <c r="EL10" s="187"/>
      <c r="EM10" s="190"/>
      <c r="EN10" s="190"/>
      <c r="EO10" s="190"/>
      <c r="EP10" s="190"/>
      <c r="EQ10" s="190"/>
      <c r="ER10" s="190"/>
      <c r="ES10" s="190"/>
      <c r="ET10" s="190"/>
      <c r="EU10" s="190"/>
      <c r="EV10" s="190"/>
      <c r="EW10" s="190"/>
      <c r="EX10" s="190"/>
      <c r="EY10" s="190"/>
      <c r="EZ10" s="190">
        <f t="shared" si="34"/>
        <v>0</v>
      </c>
      <c r="FA10" s="190"/>
      <c r="FB10" s="190">
        <f t="shared" si="35"/>
        <v>0</v>
      </c>
      <c r="FC10" s="190"/>
      <c r="FD10" s="190"/>
      <c r="FE10" s="190"/>
      <c r="FF10" s="190"/>
      <c r="FG10" s="190"/>
      <c r="FH10" s="190"/>
      <c r="FI10" s="190"/>
      <c r="FJ10" s="190"/>
      <c r="FK10" s="190"/>
      <c r="FL10" s="190"/>
      <c r="FM10" s="190"/>
      <c r="FN10" s="190"/>
      <c r="FO10" s="190"/>
      <c r="FP10" s="190"/>
      <c r="FQ10" s="190">
        <f t="shared" si="14"/>
        <v>0</v>
      </c>
      <c r="FR10" s="190"/>
      <c r="FS10" s="190">
        <f t="shared" si="36"/>
        <v>0</v>
      </c>
      <c r="FT10" s="190"/>
      <c r="FU10" s="190"/>
      <c r="FV10" s="190"/>
      <c r="FW10" s="190"/>
      <c r="FX10" s="190"/>
      <c r="FY10" s="190"/>
      <c r="FZ10" s="190"/>
      <c r="GA10" s="190"/>
      <c r="GB10" s="190"/>
      <c r="GC10" s="190"/>
      <c r="GD10" s="190"/>
      <c r="GE10" s="190"/>
      <c r="GF10" s="190"/>
      <c r="GG10" s="190"/>
      <c r="GH10" s="190"/>
      <c r="GI10" s="190"/>
      <c r="GJ10" s="190">
        <f t="shared" si="37"/>
        <v>0</v>
      </c>
      <c r="GK10" s="190"/>
      <c r="GL10" s="190"/>
      <c r="GM10" s="190"/>
      <c r="GN10" s="190">
        <f t="shared" si="38"/>
        <v>0</v>
      </c>
      <c r="GO10" s="190"/>
      <c r="GP10" s="190"/>
      <c r="GQ10" s="190"/>
      <c r="GR10" s="190">
        <f t="shared" si="15"/>
        <v>0</v>
      </c>
      <c r="GS10" s="190"/>
      <c r="GT10" s="190"/>
      <c r="GU10" s="190"/>
      <c r="GV10" s="190">
        <f t="shared" si="16"/>
        <v>0</v>
      </c>
      <c r="GW10" s="190"/>
      <c r="GX10" s="190"/>
      <c r="GY10" s="190"/>
      <c r="GZ10" s="190">
        <f t="shared" si="17"/>
        <v>0</v>
      </c>
    </row>
    <row r="11" spans="2:208" ht="11.45" customHeight="1" x14ac:dyDescent="0.2">
      <c r="B11" s="183"/>
      <c r="C11" s="183"/>
      <c r="D11" s="209"/>
      <c r="E11" s="183"/>
      <c r="F11" s="183"/>
      <c r="G11" s="190"/>
      <c r="H11" s="190"/>
      <c r="I11" s="190"/>
      <c r="J11" s="190"/>
      <c r="K11" s="190"/>
      <c r="L11" s="190"/>
      <c r="M11" s="190"/>
      <c r="N11" s="190"/>
      <c r="O11" s="190"/>
      <c r="P11" s="190"/>
      <c r="Q11" s="190"/>
      <c r="R11" s="190"/>
      <c r="S11" s="190"/>
      <c r="T11" s="190">
        <f t="shared" si="18"/>
        <v>0</v>
      </c>
      <c r="U11" s="190"/>
      <c r="V11" s="190">
        <f t="shared" si="19"/>
        <v>0</v>
      </c>
      <c r="W11" s="187"/>
      <c r="X11" s="190"/>
      <c r="Y11" s="190"/>
      <c r="Z11" s="190"/>
      <c r="AA11" s="190"/>
      <c r="AB11" s="190"/>
      <c r="AC11" s="190"/>
      <c r="AD11" s="190"/>
      <c r="AE11" s="190"/>
      <c r="AF11" s="190"/>
      <c r="AG11" s="190"/>
      <c r="AH11" s="190"/>
      <c r="AI11" s="190"/>
      <c r="AJ11" s="190"/>
      <c r="AK11" s="190">
        <f t="shared" si="20"/>
        <v>0</v>
      </c>
      <c r="AL11" s="190"/>
      <c r="AM11" s="190">
        <f t="shared" si="21"/>
        <v>0</v>
      </c>
      <c r="AN11" s="187"/>
      <c r="AO11" s="190"/>
      <c r="AP11" s="190"/>
      <c r="AQ11" s="190"/>
      <c r="AR11" s="190"/>
      <c r="AS11" s="190"/>
      <c r="AT11" s="190"/>
      <c r="AU11" s="190"/>
      <c r="AV11" s="190"/>
      <c r="AW11" s="190"/>
      <c r="AX11" s="190"/>
      <c r="AY11" s="190"/>
      <c r="AZ11" s="190"/>
      <c r="BA11" s="190"/>
      <c r="BB11" s="190">
        <f t="shared" si="22"/>
        <v>0</v>
      </c>
      <c r="BC11" s="190"/>
      <c r="BD11" s="190">
        <f t="shared" si="23"/>
        <v>0</v>
      </c>
      <c r="BE11" s="187"/>
      <c r="BF11" s="190"/>
      <c r="BG11" s="190"/>
      <c r="BH11" s="190"/>
      <c r="BI11" s="190"/>
      <c r="BJ11" s="190"/>
      <c r="BK11" s="190"/>
      <c r="BL11" s="190"/>
      <c r="BM11" s="190"/>
      <c r="BN11" s="190"/>
      <c r="BO11" s="190"/>
      <c r="BP11" s="190"/>
      <c r="BQ11" s="190"/>
      <c r="BR11" s="190"/>
      <c r="BS11" s="190">
        <f t="shared" si="24"/>
        <v>0</v>
      </c>
      <c r="BT11" s="190"/>
      <c r="BU11" s="190">
        <f t="shared" si="25"/>
        <v>0</v>
      </c>
      <c r="BV11" s="187"/>
      <c r="BW11" s="190"/>
      <c r="BX11" s="190"/>
      <c r="BY11" s="190"/>
      <c r="BZ11" s="190"/>
      <c r="CA11" s="190"/>
      <c r="CB11" s="190"/>
      <c r="CC11" s="190"/>
      <c r="CD11" s="190"/>
      <c r="CE11" s="190"/>
      <c r="CF11" s="190"/>
      <c r="CG11" s="190"/>
      <c r="CH11" s="190"/>
      <c r="CI11" s="190"/>
      <c r="CJ11" s="190">
        <f t="shared" si="26"/>
        <v>0</v>
      </c>
      <c r="CK11" s="190"/>
      <c r="CL11" s="190">
        <f t="shared" si="27"/>
        <v>0</v>
      </c>
      <c r="CM11" s="187"/>
      <c r="CN11" s="190"/>
      <c r="CO11" s="190"/>
      <c r="CP11" s="190"/>
      <c r="CQ11" s="190"/>
      <c r="CR11" s="190"/>
      <c r="CS11" s="190"/>
      <c r="CT11" s="190"/>
      <c r="CU11" s="190"/>
      <c r="CV11" s="190"/>
      <c r="CW11" s="190"/>
      <c r="CX11" s="190"/>
      <c r="CY11" s="190"/>
      <c r="CZ11" s="190"/>
      <c r="DA11" s="190">
        <f t="shared" si="28"/>
        <v>0</v>
      </c>
      <c r="DB11" s="190"/>
      <c r="DC11" s="190">
        <f t="shared" si="29"/>
        <v>0</v>
      </c>
      <c r="DD11" s="187"/>
      <c r="DE11" s="190"/>
      <c r="DF11" s="190"/>
      <c r="DG11" s="190"/>
      <c r="DH11" s="190"/>
      <c r="DI11" s="190"/>
      <c r="DJ11" s="190"/>
      <c r="DK11" s="190"/>
      <c r="DL11" s="190"/>
      <c r="DM11" s="190"/>
      <c r="DN11" s="190"/>
      <c r="DO11" s="190"/>
      <c r="DP11" s="190"/>
      <c r="DQ11" s="190"/>
      <c r="DR11" s="190">
        <f t="shared" si="30"/>
        <v>0</v>
      </c>
      <c r="DS11" s="190"/>
      <c r="DT11" s="190">
        <f t="shared" si="31"/>
        <v>0</v>
      </c>
      <c r="DU11" s="187"/>
      <c r="DV11" s="190"/>
      <c r="DW11" s="190"/>
      <c r="DX11" s="190"/>
      <c r="DY11" s="190"/>
      <c r="DZ11" s="190"/>
      <c r="EA11" s="190"/>
      <c r="EB11" s="190"/>
      <c r="EC11" s="190"/>
      <c r="ED11" s="190"/>
      <c r="EE11" s="190"/>
      <c r="EF11" s="190"/>
      <c r="EG11" s="190"/>
      <c r="EH11" s="190"/>
      <c r="EI11" s="190">
        <f t="shared" si="32"/>
        <v>0</v>
      </c>
      <c r="EJ11" s="190"/>
      <c r="EK11" s="190">
        <f t="shared" si="33"/>
        <v>0</v>
      </c>
      <c r="EL11" s="187"/>
      <c r="EM11" s="190"/>
      <c r="EN11" s="190"/>
      <c r="EO11" s="190"/>
      <c r="EP11" s="190"/>
      <c r="EQ11" s="190"/>
      <c r="ER11" s="190"/>
      <c r="ES11" s="190"/>
      <c r="ET11" s="190"/>
      <c r="EU11" s="190"/>
      <c r="EV11" s="190"/>
      <c r="EW11" s="190"/>
      <c r="EX11" s="190"/>
      <c r="EY11" s="190"/>
      <c r="EZ11" s="190">
        <f t="shared" si="34"/>
        <v>0</v>
      </c>
      <c r="FA11" s="190"/>
      <c r="FB11" s="190">
        <f t="shared" si="35"/>
        <v>0</v>
      </c>
      <c r="FC11" s="190"/>
      <c r="FD11" s="190"/>
      <c r="FE11" s="190"/>
      <c r="FF11" s="190"/>
      <c r="FG11" s="190"/>
      <c r="FH11" s="190"/>
      <c r="FI11" s="190"/>
      <c r="FJ11" s="190"/>
      <c r="FK11" s="190"/>
      <c r="FL11" s="190"/>
      <c r="FM11" s="190"/>
      <c r="FN11" s="190"/>
      <c r="FO11" s="190"/>
      <c r="FP11" s="190"/>
      <c r="FQ11" s="190">
        <f t="shared" si="14"/>
        <v>0</v>
      </c>
      <c r="FR11" s="190"/>
      <c r="FS11" s="190">
        <f t="shared" si="36"/>
        <v>0</v>
      </c>
      <c r="FT11" s="190"/>
      <c r="FU11" s="190"/>
      <c r="FV11" s="190"/>
      <c r="FW11" s="190"/>
      <c r="FX11" s="190"/>
      <c r="FY11" s="190"/>
      <c r="FZ11" s="190"/>
      <c r="GA11" s="190"/>
      <c r="GB11" s="190"/>
      <c r="GC11" s="190"/>
      <c r="GD11" s="190"/>
      <c r="GE11" s="190"/>
      <c r="GF11" s="190"/>
      <c r="GG11" s="190"/>
      <c r="GH11" s="190"/>
      <c r="GI11" s="190"/>
      <c r="GJ11" s="190">
        <f t="shared" si="37"/>
        <v>0</v>
      </c>
      <c r="GK11" s="190"/>
      <c r="GL11" s="190"/>
      <c r="GM11" s="190"/>
      <c r="GN11" s="190">
        <f t="shared" si="38"/>
        <v>0</v>
      </c>
      <c r="GO11" s="190"/>
      <c r="GP11" s="190"/>
      <c r="GQ11" s="190"/>
      <c r="GR11" s="190">
        <f t="shared" si="15"/>
        <v>0</v>
      </c>
      <c r="GS11" s="190"/>
      <c r="GT11" s="190"/>
      <c r="GU11" s="190"/>
      <c r="GV11" s="190">
        <f t="shared" si="16"/>
        <v>0</v>
      </c>
      <c r="GW11" s="190"/>
      <c r="GX11" s="190"/>
      <c r="GY11" s="190"/>
      <c r="GZ11" s="190">
        <f t="shared" si="17"/>
        <v>0</v>
      </c>
    </row>
    <row r="12" spans="2:208" ht="11.45" customHeight="1" x14ac:dyDescent="0.2">
      <c r="B12" s="183"/>
      <c r="C12" s="183"/>
      <c r="D12" s="209"/>
      <c r="E12" s="183"/>
      <c r="F12" s="183"/>
      <c r="G12" s="190"/>
      <c r="H12" s="190"/>
      <c r="I12" s="190"/>
      <c r="J12" s="190"/>
      <c r="K12" s="190"/>
      <c r="L12" s="190"/>
      <c r="M12" s="190"/>
      <c r="N12" s="190"/>
      <c r="O12" s="190"/>
      <c r="P12" s="190"/>
      <c r="Q12" s="190"/>
      <c r="R12" s="190"/>
      <c r="S12" s="190"/>
      <c r="T12" s="190">
        <f t="shared" si="18"/>
        <v>0</v>
      </c>
      <c r="U12" s="190"/>
      <c r="V12" s="190">
        <f t="shared" si="19"/>
        <v>0</v>
      </c>
      <c r="W12" s="187"/>
      <c r="X12" s="190"/>
      <c r="Y12" s="190"/>
      <c r="Z12" s="190"/>
      <c r="AA12" s="190"/>
      <c r="AB12" s="190"/>
      <c r="AC12" s="190"/>
      <c r="AD12" s="190"/>
      <c r="AE12" s="190"/>
      <c r="AF12" s="190"/>
      <c r="AG12" s="190"/>
      <c r="AH12" s="190"/>
      <c r="AI12" s="190"/>
      <c r="AJ12" s="190"/>
      <c r="AK12" s="190">
        <f t="shared" si="20"/>
        <v>0</v>
      </c>
      <c r="AL12" s="190"/>
      <c r="AM12" s="190">
        <f t="shared" si="21"/>
        <v>0</v>
      </c>
      <c r="AN12" s="187"/>
      <c r="AO12" s="190"/>
      <c r="AP12" s="190"/>
      <c r="AQ12" s="190"/>
      <c r="AR12" s="190"/>
      <c r="AS12" s="190"/>
      <c r="AT12" s="190"/>
      <c r="AU12" s="190"/>
      <c r="AV12" s="190"/>
      <c r="AW12" s="190"/>
      <c r="AX12" s="190"/>
      <c r="AY12" s="190"/>
      <c r="AZ12" s="190"/>
      <c r="BA12" s="190"/>
      <c r="BB12" s="190">
        <f t="shared" si="22"/>
        <v>0</v>
      </c>
      <c r="BC12" s="190"/>
      <c r="BD12" s="190">
        <f t="shared" si="23"/>
        <v>0</v>
      </c>
      <c r="BE12" s="187"/>
      <c r="BF12" s="190"/>
      <c r="BG12" s="190"/>
      <c r="BH12" s="190"/>
      <c r="BI12" s="190"/>
      <c r="BJ12" s="190"/>
      <c r="BK12" s="190"/>
      <c r="BL12" s="190"/>
      <c r="BM12" s="190"/>
      <c r="BN12" s="190"/>
      <c r="BO12" s="190"/>
      <c r="BP12" s="190"/>
      <c r="BQ12" s="190"/>
      <c r="BR12" s="190"/>
      <c r="BS12" s="190">
        <f t="shared" si="24"/>
        <v>0</v>
      </c>
      <c r="BT12" s="190"/>
      <c r="BU12" s="190">
        <f t="shared" si="25"/>
        <v>0</v>
      </c>
      <c r="BV12" s="187"/>
      <c r="BW12" s="190"/>
      <c r="BX12" s="190"/>
      <c r="BY12" s="190"/>
      <c r="BZ12" s="190"/>
      <c r="CA12" s="190"/>
      <c r="CB12" s="190"/>
      <c r="CC12" s="190"/>
      <c r="CD12" s="190"/>
      <c r="CE12" s="190"/>
      <c r="CF12" s="190"/>
      <c r="CG12" s="190"/>
      <c r="CH12" s="190"/>
      <c r="CI12" s="190"/>
      <c r="CJ12" s="190">
        <f t="shared" si="26"/>
        <v>0</v>
      </c>
      <c r="CK12" s="190"/>
      <c r="CL12" s="190">
        <f t="shared" si="27"/>
        <v>0</v>
      </c>
      <c r="CM12" s="187"/>
      <c r="CN12" s="190"/>
      <c r="CO12" s="190"/>
      <c r="CP12" s="190"/>
      <c r="CQ12" s="190"/>
      <c r="CR12" s="190"/>
      <c r="CS12" s="190"/>
      <c r="CT12" s="190"/>
      <c r="CU12" s="190"/>
      <c r="CV12" s="190"/>
      <c r="CW12" s="190"/>
      <c r="CX12" s="190"/>
      <c r="CY12" s="190"/>
      <c r="CZ12" s="190"/>
      <c r="DA12" s="190">
        <f t="shared" si="28"/>
        <v>0</v>
      </c>
      <c r="DB12" s="190"/>
      <c r="DC12" s="190">
        <f t="shared" si="29"/>
        <v>0</v>
      </c>
      <c r="DD12" s="187"/>
      <c r="DE12" s="190"/>
      <c r="DF12" s="190"/>
      <c r="DG12" s="190"/>
      <c r="DH12" s="190"/>
      <c r="DI12" s="190"/>
      <c r="DJ12" s="190"/>
      <c r="DK12" s="190"/>
      <c r="DL12" s="190"/>
      <c r="DM12" s="190"/>
      <c r="DN12" s="190"/>
      <c r="DO12" s="190"/>
      <c r="DP12" s="190"/>
      <c r="DQ12" s="190"/>
      <c r="DR12" s="190">
        <f t="shared" si="30"/>
        <v>0</v>
      </c>
      <c r="DS12" s="190"/>
      <c r="DT12" s="190">
        <f t="shared" si="31"/>
        <v>0</v>
      </c>
      <c r="DU12" s="187"/>
      <c r="DV12" s="190"/>
      <c r="DW12" s="190"/>
      <c r="DX12" s="190"/>
      <c r="DY12" s="190"/>
      <c r="DZ12" s="190"/>
      <c r="EA12" s="190"/>
      <c r="EB12" s="190"/>
      <c r="EC12" s="190"/>
      <c r="ED12" s="190"/>
      <c r="EE12" s="190"/>
      <c r="EF12" s="190"/>
      <c r="EG12" s="190"/>
      <c r="EH12" s="190"/>
      <c r="EI12" s="190">
        <f t="shared" si="32"/>
        <v>0</v>
      </c>
      <c r="EJ12" s="190"/>
      <c r="EK12" s="190">
        <f t="shared" si="33"/>
        <v>0</v>
      </c>
      <c r="EL12" s="187"/>
      <c r="EM12" s="190"/>
      <c r="EN12" s="190"/>
      <c r="EO12" s="190"/>
      <c r="EP12" s="190"/>
      <c r="EQ12" s="190"/>
      <c r="ER12" s="190"/>
      <c r="ES12" s="190"/>
      <c r="ET12" s="190"/>
      <c r="EU12" s="190"/>
      <c r="EV12" s="190"/>
      <c r="EW12" s="190"/>
      <c r="EX12" s="190"/>
      <c r="EY12" s="190"/>
      <c r="EZ12" s="190">
        <f t="shared" si="34"/>
        <v>0</v>
      </c>
      <c r="FA12" s="190"/>
      <c r="FB12" s="190">
        <f t="shared" si="35"/>
        <v>0</v>
      </c>
      <c r="FC12" s="190"/>
      <c r="FD12" s="190"/>
      <c r="FE12" s="190"/>
      <c r="FF12" s="190"/>
      <c r="FG12" s="190"/>
      <c r="FH12" s="190"/>
      <c r="FI12" s="190"/>
      <c r="FJ12" s="190"/>
      <c r="FK12" s="190"/>
      <c r="FL12" s="190"/>
      <c r="FM12" s="190"/>
      <c r="FN12" s="190"/>
      <c r="FO12" s="190"/>
      <c r="FP12" s="190"/>
      <c r="FQ12" s="190">
        <f t="shared" si="14"/>
        <v>0</v>
      </c>
      <c r="FR12" s="190"/>
      <c r="FS12" s="190">
        <f t="shared" si="36"/>
        <v>0</v>
      </c>
      <c r="FT12" s="190"/>
      <c r="FU12" s="190"/>
      <c r="FV12" s="190"/>
      <c r="FW12" s="190"/>
      <c r="FX12" s="190"/>
      <c r="FY12" s="190"/>
      <c r="FZ12" s="190"/>
      <c r="GA12" s="190"/>
      <c r="GB12" s="190"/>
      <c r="GC12" s="190"/>
      <c r="GD12" s="190"/>
      <c r="GE12" s="190"/>
      <c r="GF12" s="190"/>
      <c r="GG12" s="190"/>
      <c r="GH12" s="190"/>
      <c r="GI12" s="190"/>
      <c r="GJ12" s="190">
        <f t="shared" si="37"/>
        <v>0</v>
      </c>
      <c r="GK12" s="190"/>
      <c r="GL12" s="190"/>
      <c r="GM12" s="190"/>
      <c r="GN12" s="190">
        <f t="shared" si="38"/>
        <v>0</v>
      </c>
      <c r="GO12" s="190"/>
      <c r="GP12" s="190"/>
      <c r="GQ12" s="190"/>
      <c r="GR12" s="190">
        <f t="shared" si="15"/>
        <v>0</v>
      </c>
      <c r="GS12" s="190"/>
      <c r="GT12" s="190"/>
      <c r="GU12" s="190"/>
      <c r="GV12" s="190">
        <f t="shared" si="16"/>
        <v>0</v>
      </c>
      <c r="GW12" s="190"/>
      <c r="GX12" s="190"/>
      <c r="GY12" s="190"/>
      <c r="GZ12" s="190">
        <f t="shared" si="17"/>
        <v>0</v>
      </c>
    </row>
    <row r="13" spans="2:208" ht="11.45" customHeight="1" x14ac:dyDescent="0.2">
      <c r="B13" s="183"/>
      <c r="C13" s="183"/>
      <c r="D13" s="209"/>
      <c r="E13" s="183"/>
      <c r="F13" s="183"/>
      <c r="G13" s="190"/>
      <c r="H13" s="190"/>
      <c r="I13" s="190"/>
      <c r="J13" s="190"/>
      <c r="K13" s="190"/>
      <c r="L13" s="190"/>
      <c r="M13" s="190"/>
      <c r="N13" s="190"/>
      <c r="O13" s="190"/>
      <c r="P13" s="190"/>
      <c r="Q13" s="190"/>
      <c r="R13" s="190"/>
      <c r="S13" s="190"/>
      <c r="T13" s="190">
        <f t="shared" si="18"/>
        <v>0</v>
      </c>
      <c r="U13" s="190"/>
      <c r="V13" s="190">
        <f t="shared" si="19"/>
        <v>0</v>
      </c>
      <c r="W13" s="187"/>
      <c r="X13" s="190"/>
      <c r="Y13" s="190"/>
      <c r="Z13" s="190"/>
      <c r="AA13" s="190"/>
      <c r="AB13" s="190"/>
      <c r="AC13" s="190"/>
      <c r="AD13" s="190"/>
      <c r="AE13" s="190"/>
      <c r="AF13" s="190"/>
      <c r="AG13" s="190"/>
      <c r="AH13" s="190"/>
      <c r="AI13" s="190"/>
      <c r="AJ13" s="190"/>
      <c r="AK13" s="190">
        <f t="shared" si="20"/>
        <v>0</v>
      </c>
      <c r="AL13" s="190"/>
      <c r="AM13" s="190">
        <f t="shared" si="21"/>
        <v>0</v>
      </c>
      <c r="AN13" s="187"/>
      <c r="AO13" s="190"/>
      <c r="AP13" s="190"/>
      <c r="AQ13" s="190"/>
      <c r="AR13" s="190"/>
      <c r="AS13" s="190"/>
      <c r="AT13" s="190"/>
      <c r="AU13" s="190"/>
      <c r="AV13" s="190"/>
      <c r="AW13" s="190"/>
      <c r="AX13" s="190"/>
      <c r="AY13" s="190"/>
      <c r="AZ13" s="190"/>
      <c r="BA13" s="190"/>
      <c r="BB13" s="190">
        <f t="shared" si="22"/>
        <v>0</v>
      </c>
      <c r="BC13" s="190"/>
      <c r="BD13" s="190">
        <f t="shared" si="23"/>
        <v>0</v>
      </c>
      <c r="BE13" s="187"/>
      <c r="BF13" s="190"/>
      <c r="BG13" s="190"/>
      <c r="BH13" s="190"/>
      <c r="BI13" s="190"/>
      <c r="BJ13" s="190"/>
      <c r="BK13" s="190"/>
      <c r="BL13" s="190"/>
      <c r="BM13" s="190"/>
      <c r="BN13" s="190"/>
      <c r="BO13" s="190"/>
      <c r="BP13" s="190"/>
      <c r="BQ13" s="190"/>
      <c r="BR13" s="190"/>
      <c r="BS13" s="190">
        <f t="shared" si="24"/>
        <v>0</v>
      </c>
      <c r="BT13" s="190"/>
      <c r="BU13" s="190">
        <f t="shared" si="25"/>
        <v>0</v>
      </c>
      <c r="BV13" s="187"/>
      <c r="BW13" s="190"/>
      <c r="BX13" s="190"/>
      <c r="BY13" s="190"/>
      <c r="BZ13" s="190"/>
      <c r="CA13" s="190"/>
      <c r="CB13" s="190"/>
      <c r="CC13" s="190"/>
      <c r="CD13" s="190"/>
      <c r="CE13" s="190"/>
      <c r="CF13" s="190"/>
      <c r="CG13" s="190"/>
      <c r="CH13" s="190"/>
      <c r="CI13" s="190"/>
      <c r="CJ13" s="190">
        <f t="shared" si="26"/>
        <v>0</v>
      </c>
      <c r="CK13" s="190"/>
      <c r="CL13" s="190">
        <f t="shared" si="27"/>
        <v>0</v>
      </c>
      <c r="CM13" s="187"/>
      <c r="CN13" s="190"/>
      <c r="CO13" s="190"/>
      <c r="CP13" s="190"/>
      <c r="CQ13" s="190"/>
      <c r="CR13" s="190"/>
      <c r="CS13" s="190"/>
      <c r="CT13" s="190"/>
      <c r="CU13" s="190"/>
      <c r="CV13" s="190"/>
      <c r="CW13" s="190"/>
      <c r="CX13" s="190"/>
      <c r="CY13" s="190"/>
      <c r="CZ13" s="190"/>
      <c r="DA13" s="190">
        <f t="shared" si="28"/>
        <v>0</v>
      </c>
      <c r="DB13" s="190"/>
      <c r="DC13" s="190">
        <f t="shared" si="29"/>
        <v>0</v>
      </c>
      <c r="DD13" s="187"/>
      <c r="DE13" s="190"/>
      <c r="DF13" s="190"/>
      <c r="DG13" s="190"/>
      <c r="DH13" s="190"/>
      <c r="DI13" s="190"/>
      <c r="DJ13" s="190"/>
      <c r="DK13" s="190"/>
      <c r="DL13" s="190"/>
      <c r="DM13" s="190"/>
      <c r="DN13" s="190"/>
      <c r="DO13" s="190"/>
      <c r="DP13" s="190"/>
      <c r="DQ13" s="190"/>
      <c r="DR13" s="190">
        <f t="shared" si="30"/>
        <v>0</v>
      </c>
      <c r="DS13" s="190"/>
      <c r="DT13" s="190">
        <f t="shared" si="31"/>
        <v>0</v>
      </c>
      <c r="DU13" s="187"/>
      <c r="DV13" s="190"/>
      <c r="DW13" s="190"/>
      <c r="DX13" s="190"/>
      <c r="DY13" s="190"/>
      <c r="DZ13" s="190"/>
      <c r="EA13" s="190"/>
      <c r="EB13" s="190"/>
      <c r="EC13" s="190"/>
      <c r="ED13" s="190"/>
      <c r="EE13" s="190"/>
      <c r="EF13" s="190"/>
      <c r="EG13" s="190"/>
      <c r="EH13" s="190"/>
      <c r="EI13" s="190">
        <f t="shared" si="32"/>
        <v>0</v>
      </c>
      <c r="EJ13" s="190"/>
      <c r="EK13" s="190">
        <f t="shared" si="33"/>
        <v>0</v>
      </c>
      <c r="EL13" s="187"/>
      <c r="EM13" s="190"/>
      <c r="EN13" s="190"/>
      <c r="EO13" s="190"/>
      <c r="EP13" s="190"/>
      <c r="EQ13" s="190"/>
      <c r="ER13" s="190"/>
      <c r="ES13" s="190"/>
      <c r="ET13" s="190"/>
      <c r="EU13" s="190"/>
      <c r="EV13" s="190"/>
      <c r="EW13" s="190"/>
      <c r="EX13" s="190"/>
      <c r="EY13" s="190"/>
      <c r="EZ13" s="190">
        <f t="shared" si="34"/>
        <v>0</v>
      </c>
      <c r="FA13" s="190"/>
      <c r="FB13" s="190">
        <f t="shared" si="35"/>
        <v>0</v>
      </c>
      <c r="FC13" s="190"/>
      <c r="FD13" s="190"/>
      <c r="FE13" s="190"/>
      <c r="FF13" s="190"/>
      <c r="FG13" s="190"/>
      <c r="FH13" s="190"/>
      <c r="FI13" s="190"/>
      <c r="FJ13" s="190"/>
      <c r="FK13" s="190"/>
      <c r="FL13" s="190"/>
      <c r="FM13" s="190"/>
      <c r="FN13" s="190"/>
      <c r="FO13" s="190"/>
      <c r="FP13" s="190"/>
      <c r="FQ13" s="190">
        <f t="shared" si="14"/>
        <v>0</v>
      </c>
      <c r="FR13" s="190"/>
      <c r="FS13" s="190">
        <f t="shared" si="36"/>
        <v>0</v>
      </c>
      <c r="FT13" s="190"/>
      <c r="FU13" s="190"/>
      <c r="FV13" s="190"/>
      <c r="FW13" s="190"/>
      <c r="FX13" s="190"/>
      <c r="FY13" s="190"/>
      <c r="FZ13" s="190"/>
      <c r="GA13" s="190"/>
      <c r="GB13" s="190"/>
      <c r="GC13" s="190"/>
      <c r="GD13" s="190"/>
      <c r="GE13" s="190"/>
      <c r="GF13" s="190"/>
      <c r="GG13" s="190"/>
      <c r="GH13" s="190"/>
      <c r="GI13" s="190"/>
      <c r="GJ13" s="190">
        <f t="shared" si="37"/>
        <v>0</v>
      </c>
      <c r="GK13" s="190"/>
      <c r="GL13" s="190"/>
      <c r="GM13" s="190"/>
      <c r="GN13" s="190">
        <f t="shared" si="38"/>
        <v>0</v>
      </c>
      <c r="GO13" s="190"/>
      <c r="GP13" s="190"/>
      <c r="GQ13" s="190"/>
      <c r="GR13" s="190">
        <f t="shared" si="15"/>
        <v>0</v>
      </c>
      <c r="GS13" s="190"/>
      <c r="GT13" s="190"/>
      <c r="GU13" s="190"/>
      <c r="GV13" s="190">
        <f t="shared" si="16"/>
        <v>0</v>
      </c>
      <c r="GW13" s="190"/>
      <c r="GX13" s="190"/>
      <c r="GY13" s="190"/>
      <c r="GZ13" s="190">
        <f t="shared" si="17"/>
        <v>0</v>
      </c>
    </row>
    <row r="14" spans="2:208" ht="11.45" customHeight="1" x14ac:dyDescent="0.2">
      <c r="B14" s="183"/>
      <c r="C14" s="183"/>
      <c r="D14" s="209"/>
      <c r="E14" s="183"/>
      <c r="F14" s="183"/>
      <c r="G14" s="190"/>
      <c r="H14" s="190"/>
      <c r="I14" s="190"/>
      <c r="J14" s="190"/>
      <c r="K14" s="190"/>
      <c r="L14" s="190"/>
      <c r="M14" s="190"/>
      <c r="N14" s="190"/>
      <c r="O14" s="190"/>
      <c r="P14" s="190"/>
      <c r="Q14" s="190"/>
      <c r="R14" s="190"/>
      <c r="S14" s="190"/>
      <c r="T14" s="190">
        <f t="shared" si="18"/>
        <v>0</v>
      </c>
      <c r="U14" s="190"/>
      <c r="V14" s="190">
        <f t="shared" si="19"/>
        <v>0</v>
      </c>
      <c r="W14" s="187"/>
      <c r="X14" s="190"/>
      <c r="Y14" s="190"/>
      <c r="Z14" s="190"/>
      <c r="AA14" s="190"/>
      <c r="AB14" s="190"/>
      <c r="AC14" s="190"/>
      <c r="AD14" s="190"/>
      <c r="AE14" s="190"/>
      <c r="AF14" s="190"/>
      <c r="AG14" s="190"/>
      <c r="AH14" s="190"/>
      <c r="AI14" s="190"/>
      <c r="AJ14" s="190"/>
      <c r="AK14" s="190">
        <f t="shared" si="20"/>
        <v>0</v>
      </c>
      <c r="AL14" s="190"/>
      <c r="AM14" s="190">
        <f t="shared" si="21"/>
        <v>0</v>
      </c>
      <c r="AN14" s="187"/>
      <c r="AO14" s="190"/>
      <c r="AP14" s="190"/>
      <c r="AQ14" s="190"/>
      <c r="AR14" s="190"/>
      <c r="AS14" s="190"/>
      <c r="AT14" s="190"/>
      <c r="AU14" s="190"/>
      <c r="AV14" s="190"/>
      <c r="AW14" s="190"/>
      <c r="AX14" s="190"/>
      <c r="AY14" s="190"/>
      <c r="AZ14" s="190"/>
      <c r="BA14" s="190"/>
      <c r="BB14" s="190">
        <f t="shared" si="22"/>
        <v>0</v>
      </c>
      <c r="BC14" s="190"/>
      <c r="BD14" s="190">
        <f t="shared" si="23"/>
        <v>0</v>
      </c>
      <c r="BE14" s="187"/>
      <c r="BF14" s="190"/>
      <c r="BG14" s="190"/>
      <c r="BH14" s="190"/>
      <c r="BI14" s="190"/>
      <c r="BJ14" s="190"/>
      <c r="BK14" s="190"/>
      <c r="BL14" s="190"/>
      <c r="BM14" s="190"/>
      <c r="BN14" s="190"/>
      <c r="BO14" s="190"/>
      <c r="BP14" s="190"/>
      <c r="BQ14" s="190"/>
      <c r="BR14" s="190"/>
      <c r="BS14" s="190">
        <f t="shared" si="24"/>
        <v>0</v>
      </c>
      <c r="BT14" s="190"/>
      <c r="BU14" s="190">
        <f t="shared" si="25"/>
        <v>0</v>
      </c>
      <c r="BV14" s="187"/>
      <c r="BW14" s="190"/>
      <c r="BX14" s="190"/>
      <c r="BY14" s="190"/>
      <c r="BZ14" s="190"/>
      <c r="CA14" s="190"/>
      <c r="CB14" s="190"/>
      <c r="CC14" s="190"/>
      <c r="CD14" s="190"/>
      <c r="CE14" s="190"/>
      <c r="CF14" s="190"/>
      <c r="CG14" s="190"/>
      <c r="CH14" s="190"/>
      <c r="CI14" s="190"/>
      <c r="CJ14" s="190">
        <f t="shared" si="26"/>
        <v>0</v>
      </c>
      <c r="CK14" s="190"/>
      <c r="CL14" s="190">
        <f t="shared" si="27"/>
        <v>0</v>
      </c>
      <c r="CM14" s="187"/>
      <c r="CN14" s="190"/>
      <c r="CO14" s="190"/>
      <c r="CP14" s="190"/>
      <c r="CQ14" s="190"/>
      <c r="CR14" s="190"/>
      <c r="CS14" s="190"/>
      <c r="CT14" s="190"/>
      <c r="CU14" s="190"/>
      <c r="CV14" s="190"/>
      <c r="CW14" s="190"/>
      <c r="CX14" s="190"/>
      <c r="CY14" s="190"/>
      <c r="CZ14" s="190"/>
      <c r="DA14" s="190">
        <f t="shared" si="28"/>
        <v>0</v>
      </c>
      <c r="DB14" s="190"/>
      <c r="DC14" s="190">
        <f t="shared" si="29"/>
        <v>0</v>
      </c>
      <c r="DD14" s="187"/>
      <c r="DE14" s="190"/>
      <c r="DF14" s="190"/>
      <c r="DG14" s="190"/>
      <c r="DH14" s="190"/>
      <c r="DI14" s="190"/>
      <c r="DJ14" s="190"/>
      <c r="DK14" s="190"/>
      <c r="DL14" s="190"/>
      <c r="DM14" s="190"/>
      <c r="DN14" s="190"/>
      <c r="DO14" s="190"/>
      <c r="DP14" s="190"/>
      <c r="DQ14" s="190"/>
      <c r="DR14" s="190">
        <f t="shared" si="30"/>
        <v>0</v>
      </c>
      <c r="DS14" s="190"/>
      <c r="DT14" s="190">
        <f t="shared" si="31"/>
        <v>0</v>
      </c>
      <c r="DU14" s="187"/>
      <c r="DV14" s="190"/>
      <c r="DW14" s="190"/>
      <c r="DX14" s="190"/>
      <c r="DY14" s="190"/>
      <c r="DZ14" s="190"/>
      <c r="EA14" s="190"/>
      <c r="EB14" s="190"/>
      <c r="EC14" s="190"/>
      <c r="ED14" s="190"/>
      <c r="EE14" s="190"/>
      <c r="EF14" s="190"/>
      <c r="EG14" s="190"/>
      <c r="EH14" s="190"/>
      <c r="EI14" s="190">
        <f t="shared" si="32"/>
        <v>0</v>
      </c>
      <c r="EJ14" s="190"/>
      <c r="EK14" s="190">
        <f t="shared" si="33"/>
        <v>0</v>
      </c>
      <c r="EL14" s="187"/>
      <c r="EM14" s="190"/>
      <c r="EN14" s="190"/>
      <c r="EO14" s="190"/>
      <c r="EP14" s="190"/>
      <c r="EQ14" s="190"/>
      <c r="ER14" s="190"/>
      <c r="ES14" s="190"/>
      <c r="ET14" s="190"/>
      <c r="EU14" s="190"/>
      <c r="EV14" s="190"/>
      <c r="EW14" s="190"/>
      <c r="EX14" s="190"/>
      <c r="EY14" s="190"/>
      <c r="EZ14" s="190">
        <f t="shared" si="34"/>
        <v>0</v>
      </c>
      <c r="FA14" s="190"/>
      <c r="FB14" s="190">
        <f t="shared" si="35"/>
        <v>0</v>
      </c>
      <c r="FC14" s="190"/>
      <c r="FD14" s="190"/>
      <c r="FE14" s="190"/>
      <c r="FF14" s="190"/>
      <c r="FG14" s="190"/>
      <c r="FH14" s="190"/>
      <c r="FI14" s="190"/>
      <c r="FJ14" s="190"/>
      <c r="FK14" s="190"/>
      <c r="FL14" s="190"/>
      <c r="FM14" s="190"/>
      <c r="FN14" s="190"/>
      <c r="FO14" s="190"/>
      <c r="FP14" s="190"/>
      <c r="FQ14" s="190">
        <f t="shared" si="14"/>
        <v>0</v>
      </c>
      <c r="FR14" s="190"/>
      <c r="FS14" s="190">
        <f t="shared" si="36"/>
        <v>0</v>
      </c>
      <c r="FT14" s="190"/>
      <c r="FU14" s="190"/>
      <c r="FV14" s="190"/>
      <c r="FW14" s="190"/>
      <c r="FX14" s="190"/>
      <c r="FY14" s="190"/>
      <c r="FZ14" s="190"/>
      <c r="GA14" s="190"/>
      <c r="GB14" s="190"/>
      <c r="GC14" s="190"/>
      <c r="GD14" s="190"/>
      <c r="GE14" s="190"/>
      <c r="GF14" s="190"/>
      <c r="GG14" s="190"/>
      <c r="GH14" s="190"/>
      <c r="GI14" s="190"/>
      <c r="GJ14" s="190">
        <f t="shared" si="37"/>
        <v>0</v>
      </c>
      <c r="GK14" s="190"/>
      <c r="GL14" s="190"/>
      <c r="GM14" s="190"/>
      <c r="GN14" s="190">
        <f t="shared" si="38"/>
        <v>0</v>
      </c>
      <c r="GO14" s="190"/>
      <c r="GP14" s="190"/>
      <c r="GQ14" s="190"/>
      <c r="GR14" s="190">
        <f t="shared" si="15"/>
        <v>0</v>
      </c>
      <c r="GS14" s="190"/>
      <c r="GT14" s="190"/>
      <c r="GU14" s="190"/>
      <c r="GV14" s="190">
        <f t="shared" si="16"/>
        <v>0</v>
      </c>
      <c r="GW14" s="190"/>
      <c r="GX14" s="190"/>
      <c r="GY14" s="190"/>
      <c r="GZ14" s="190">
        <f t="shared" si="17"/>
        <v>0</v>
      </c>
    </row>
    <row r="15" spans="2:208" ht="11.45" customHeight="1" x14ac:dyDescent="0.2">
      <c r="B15" s="183"/>
      <c r="C15" s="183"/>
      <c r="D15" s="209"/>
      <c r="E15" s="183"/>
      <c r="F15" s="183"/>
      <c r="G15" s="190"/>
      <c r="H15" s="190"/>
      <c r="I15" s="190"/>
      <c r="J15" s="190"/>
      <c r="K15" s="190"/>
      <c r="L15" s="190"/>
      <c r="M15" s="190"/>
      <c r="N15" s="190"/>
      <c r="O15" s="190"/>
      <c r="P15" s="190"/>
      <c r="Q15" s="190"/>
      <c r="R15" s="190"/>
      <c r="S15" s="190"/>
      <c r="T15" s="190">
        <f t="shared" si="18"/>
        <v>0</v>
      </c>
      <c r="U15" s="190"/>
      <c r="V15" s="190">
        <f t="shared" si="19"/>
        <v>0</v>
      </c>
      <c r="W15" s="187"/>
      <c r="X15" s="190"/>
      <c r="Y15" s="190"/>
      <c r="Z15" s="190"/>
      <c r="AA15" s="190"/>
      <c r="AB15" s="190"/>
      <c r="AC15" s="190"/>
      <c r="AD15" s="190"/>
      <c r="AE15" s="190"/>
      <c r="AF15" s="190"/>
      <c r="AG15" s="190"/>
      <c r="AH15" s="190"/>
      <c r="AI15" s="190"/>
      <c r="AJ15" s="190"/>
      <c r="AK15" s="190">
        <f t="shared" si="20"/>
        <v>0</v>
      </c>
      <c r="AL15" s="190"/>
      <c r="AM15" s="190">
        <f t="shared" si="21"/>
        <v>0</v>
      </c>
      <c r="AN15" s="187"/>
      <c r="AO15" s="190"/>
      <c r="AP15" s="190"/>
      <c r="AQ15" s="190"/>
      <c r="AR15" s="190"/>
      <c r="AS15" s="190"/>
      <c r="AT15" s="190"/>
      <c r="AU15" s="190"/>
      <c r="AV15" s="190"/>
      <c r="AW15" s="190"/>
      <c r="AX15" s="190"/>
      <c r="AY15" s="190"/>
      <c r="AZ15" s="190"/>
      <c r="BA15" s="190"/>
      <c r="BB15" s="190">
        <f t="shared" si="22"/>
        <v>0</v>
      </c>
      <c r="BC15" s="190"/>
      <c r="BD15" s="190">
        <f t="shared" si="23"/>
        <v>0</v>
      </c>
      <c r="BE15" s="187"/>
      <c r="BF15" s="190"/>
      <c r="BG15" s="190"/>
      <c r="BH15" s="190"/>
      <c r="BI15" s="190"/>
      <c r="BJ15" s="190"/>
      <c r="BK15" s="190"/>
      <c r="BL15" s="190"/>
      <c r="BM15" s="190"/>
      <c r="BN15" s="190"/>
      <c r="BO15" s="190"/>
      <c r="BP15" s="190"/>
      <c r="BQ15" s="190"/>
      <c r="BR15" s="190"/>
      <c r="BS15" s="190">
        <f t="shared" si="24"/>
        <v>0</v>
      </c>
      <c r="BT15" s="190"/>
      <c r="BU15" s="190">
        <f t="shared" si="25"/>
        <v>0</v>
      </c>
      <c r="BV15" s="187"/>
      <c r="BW15" s="190"/>
      <c r="BX15" s="190"/>
      <c r="BY15" s="190"/>
      <c r="BZ15" s="190"/>
      <c r="CA15" s="190"/>
      <c r="CB15" s="190"/>
      <c r="CC15" s="190"/>
      <c r="CD15" s="190"/>
      <c r="CE15" s="190"/>
      <c r="CF15" s="190"/>
      <c r="CG15" s="190"/>
      <c r="CH15" s="190"/>
      <c r="CI15" s="190"/>
      <c r="CJ15" s="190">
        <f t="shared" si="26"/>
        <v>0</v>
      </c>
      <c r="CK15" s="190"/>
      <c r="CL15" s="190">
        <f t="shared" si="27"/>
        <v>0</v>
      </c>
      <c r="CM15" s="187"/>
      <c r="CN15" s="190"/>
      <c r="CO15" s="190"/>
      <c r="CP15" s="190"/>
      <c r="CQ15" s="190"/>
      <c r="CR15" s="190"/>
      <c r="CS15" s="190"/>
      <c r="CT15" s="190"/>
      <c r="CU15" s="190"/>
      <c r="CV15" s="190"/>
      <c r="CW15" s="190"/>
      <c r="CX15" s="190"/>
      <c r="CY15" s="190"/>
      <c r="CZ15" s="190"/>
      <c r="DA15" s="190">
        <f t="shared" si="28"/>
        <v>0</v>
      </c>
      <c r="DB15" s="190"/>
      <c r="DC15" s="190">
        <f t="shared" si="29"/>
        <v>0</v>
      </c>
      <c r="DD15" s="187"/>
      <c r="DE15" s="190"/>
      <c r="DF15" s="190"/>
      <c r="DG15" s="190"/>
      <c r="DH15" s="190"/>
      <c r="DI15" s="190"/>
      <c r="DJ15" s="190"/>
      <c r="DK15" s="190"/>
      <c r="DL15" s="190"/>
      <c r="DM15" s="190"/>
      <c r="DN15" s="190"/>
      <c r="DO15" s="190"/>
      <c r="DP15" s="190"/>
      <c r="DQ15" s="190"/>
      <c r="DR15" s="190">
        <f t="shared" si="30"/>
        <v>0</v>
      </c>
      <c r="DS15" s="190"/>
      <c r="DT15" s="190">
        <f t="shared" si="31"/>
        <v>0</v>
      </c>
      <c r="DU15" s="187"/>
      <c r="DV15" s="190"/>
      <c r="DW15" s="190"/>
      <c r="DX15" s="190"/>
      <c r="DY15" s="190"/>
      <c r="DZ15" s="190"/>
      <c r="EA15" s="190"/>
      <c r="EB15" s="190"/>
      <c r="EC15" s="190"/>
      <c r="ED15" s="190"/>
      <c r="EE15" s="190"/>
      <c r="EF15" s="190"/>
      <c r="EG15" s="190"/>
      <c r="EH15" s="190"/>
      <c r="EI15" s="190">
        <f t="shared" si="32"/>
        <v>0</v>
      </c>
      <c r="EJ15" s="190"/>
      <c r="EK15" s="190">
        <f t="shared" si="33"/>
        <v>0</v>
      </c>
      <c r="EL15" s="187"/>
      <c r="EM15" s="190"/>
      <c r="EN15" s="190"/>
      <c r="EO15" s="190"/>
      <c r="EP15" s="190"/>
      <c r="EQ15" s="190"/>
      <c r="ER15" s="190"/>
      <c r="ES15" s="190"/>
      <c r="ET15" s="190"/>
      <c r="EU15" s="190"/>
      <c r="EV15" s="190"/>
      <c r="EW15" s="190"/>
      <c r="EX15" s="190"/>
      <c r="EY15" s="190"/>
      <c r="EZ15" s="190">
        <f t="shared" si="34"/>
        <v>0</v>
      </c>
      <c r="FA15" s="190"/>
      <c r="FB15" s="190">
        <f t="shared" si="35"/>
        <v>0</v>
      </c>
      <c r="FC15" s="190"/>
      <c r="FD15" s="190"/>
      <c r="FE15" s="190"/>
      <c r="FF15" s="190"/>
      <c r="FG15" s="190"/>
      <c r="FH15" s="190"/>
      <c r="FI15" s="190"/>
      <c r="FJ15" s="190"/>
      <c r="FK15" s="190"/>
      <c r="FL15" s="190"/>
      <c r="FM15" s="190"/>
      <c r="FN15" s="190"/>
      <c r="FO15" s="190"/>
      <c r="FP15" s="190"/>
      <c r="FQ15" s="190">
        <f t="shared" si="14"/>
        <v>0</v>
      </c>
      <c r="FR15" s="190"/>
      <c r="FS15" s="190">
        <f t="shared" si="36"/>
        <v>0</v>
      </c>
      <c r="FT15" s="190"/>
      <c r="FU15" s="190"/>
      <c r="FV15" s="190"/>
      <c r="FW15" s="190"/>
      <c r="FX15" s="190"/>
      <c r="FY15" s="190"/>
      <c r="FZ15" s="190"/>
      <c r="GA15" s="190"/>
      <c r="GB15" s="190"/>
      <c r="GC15" s="190"/>
      <c r="GD15" s="190"/>
      <c r="GE15" s="190"/>
      <c r="GF15" s="190"/>
      <c r="GG15" s="190"/>
      <c r="GH15" s="190"/>
      <c r="GI15" s="190"/>
      <c r="GJ15" s="190">
        <f t="shared" si="37"/>
        <v>0</v>
      </c>
      <c r="GK15" s="190"/>
      <c r="GL15" s="190"/>
      <c r="GM15" s="190"/>
      <c r="GN15" s="190">
        <f t="shared" si="38"/>
        <v>0</v>
      </c>
      <c r="GO15" s="190"/>
      <c r="GP15" s="190"/>
      <c r="GQ15" s="190"/>
      <c r="GR15" s="190">
        <f t="shared" si="15"/>
        <v>0</v>
      </c>
      <c r="GS15" s="190"/>
      <c r="GT15" s="190"/>
      <c r="GU15" s="190"/>
      <c r="GV15" s="190">
        <f t="shared" si="16"/>
        <v>0</v>
      </c>
      <c r="GW15" s="190"/>
      <c r="GX15" s="190"/>
      <c r="GY15" s="190"/>
      <c r="GZ15" s="190">
        <f t="shared" si="17"/>
        <v>0</v>
      </c>
    </row>
    <row r="16" spans="2:208" ht="11.45" customHeight="1" x14ac:dyDescent="0.2">
      <c r="B16" s="183"/>
      <c r="C16" s="183"/>
      <c r="D16" s="209"/>
      <c r="E16" s="183"/>
      <c r="F16" s="183"/>
      <c r="G16" s="190"/>
      <c r="H16" s="190"/>
      <c r="I16" s="190"/>
      <c r="J16" s="190"/>
      <c r="K16" s="190"/>
      <c r="L16" s="190"/>
      <c r="M16" s="190"/>
      <c r="N16" s="190"/>
      <c r="O16" s="190"/>
      <c r="P16" s="190"/>
      <c r="Q16" s="190"/>
      <c r="R16" s="190"/>
      <c r="S16" s="190"/>
      <c r="T16" s="190">
        <f t="shared" si="18"/>
        <v>0</v>
      </c>
      <c r="U16" s="190"/>
      <c r="V16" s="190">
        <f t="shared" si="19"/>
        <v>0</v>
      </c>
      <c r="W16" s="187"/>
      <c r="X16" s="190"/>
      <c r="Y16" s="190"/>
      <c r="Z16" s="190"/>
      <c r="AA16" s="190"/>
      <c r="AB16" s="190"/>
      <c r="AC16" s="190"/>
      <c r="AD16" s="190"/>
      <c r="AE16" s="190"/>
      <c r="AF16" s="190"/>
      <c r="AG16" s="190"/>
      <c r="AH16" s="190"/>
      <c r="AI16" s="190"/>
      <c r="AJ16" s="190"/>
      <c r="AK16" s="190">
        <f t="shared" si="20"/>
        <v>0</v>
      </c>
      <c r="AL16" s="190"/>
      <c r="AM16" s="190">
        <f t="shared" si="21"/>
        <v>0</v>
      </c>
      <c r="AN16" s="187"/>
      <c r="AO16" s="190"/>
      <c r="AP16" s="190"/>
      <c r="AQ16" s="190"/>
      <c r="AR16" s="190"/>
      <c r="AS16" s="190"/>
      <c r="AT16" s="190"/>
      <c r="AU16" s="190"/>
      <c r="AV16" s="190"/>
      <c r="AW16" s="190"/>
      <c r="AX16" s="190"/>
      <c r="AY16" s="190"/>
      <c r="AZ16" s="190"/>
      <c r="BA16" s="190"/>
      <c r="BB16" s="190">
        <f t="shared" si="22"/>
        <v>0</v>
      </c>
      <c r="BC16" s="190"/>
      <c r="BD16" s="190">
        <f t="shared" si="23"/>
        <v>0</v>
      </c>
      <c r="BE16" s="187"/>
      <c r="BF16" s="190"/>
      <c r="BG16" s="190"/>
      <c r="BH16" s="190"/>
      <c r="BI16" s="190"/>
      <c r="BJ16" s="190"/>
      <c r="BK16" s="190"/>
      <c r="BL16" s="190"/>
      <c r="BM16" s="190"/>
      <c r="BN16" s="190"/>
      <c r="BO16" s="190"/>
      <c r="BP16" s="190"/>
      <c r="BQ16" s="190"/>
      <c r="BR16" s="190"/>
      <c r="BS16" s="190">
        <f t="shared" si="24"/>
        <v>0</v>
      </c>
      <c r="BT16" s="190"/>
      <c r="BU16" s="190">
        <f t="shared" si="25"/>
        <v>0</v>
      </c>
      <c r="BV16" s="187"/>
      <c r="BW16" s="190"/>
      <c r="BX16" s="190"/>
      <c r="BY16" s="190"/>
      <c r="BZ16" s="190"/>
      <c r="CA16" s="190"/>
      <c r="CB16" s="190"/>
      <c r="CC16" s="190"/>
      <c r="CD16" s="190"/>
      <c r="CE16" s="190"/>
      <c r="CF16" s="190"/>
      <c r="CG16" s="190"/>
      <c r="CH16" s="190"/>
      <c r="CI16" s="190"/>
      <c r="CJ16" s="190">
        <f t="shared" si="26"/>
        <v>0</v>
      </c>
      <c r="CK16" s="190"/>
      <c r="CL16" s="190">
        <f t="shared" si="27"/>
        <v>0</v>
      </c>
      <c r="CM16" s="187"/>
      <c r="CN16" s="190"/>
      <c r="CO16" s="190"/>
      <c r="CP16" s="190"/>
      <c r="CQ16" s="190"/>
      <c r="CR16" s="190"/>
      <c r="CS16" s="190"/>
      <c r="CT16" s="190"/>
      <c r="CU16" s="190"/>
      <c r="CV16" s="190"/>
      <c r="CW16" s="190"/>
      <c r="CX16" s="190"/>
      <c r="CY16" s="190"/>
      <c r="CZ16" s="190"/>
      <c r="DA16" s="190">
        <f t="shared" si="28"/>
        <v>0</v>
      </c>
      <c r="DB16" s="190"/>
      <c r="DC16" s="190">
        <f t="shared" si="29"/>
        <v>0</v>
      </c>
      <c r="DD16" s="187"/>
      <c r="DE16" s="190"/>
      <c r="DF16" s="190"/>
      <c r="DG16" s="190"/>
      <c r="DH16" s="190"/>
      <c r="DI16" s="190"/>
      <c r="DJ16" s="190"/>
      <c r="DK16" s="190"/>
      <c r="DL16" s="190"/>
      <c r="DM16" s="190"/>
      <c r="DN16" s="190"/>
      <c r="DO16" s="190"/>
      <c r="DP16" s="190"/>
      <c r="DQ16" s="190"/>
      <c r="DR16" s="190">
        <f t="shared" si="30"/>
        <v>0</v>
      </c>
      <c r="DS16" s="190"/>
      <c r="DT16" s="190">
        <f t="shared" si="31"/>
        <v>0</v>
      </c>
      <c r="DU16" s="187"/>
      <c r="DV16" s="190"/>
      <c r="DW16" s="190"/>
      <c r="DX16" s="190"/>
      <c r="DY16" s="190"/>
      <c r="DZ16" s="190"/>
      <c r="EA16" s="190"/>
      <c r="EB16" s="190"/>
      <c r="EC16" s="190"/>
      <c r="ED16" s="190"/>
      <c r="EE16" s="190"/>
      <c r="EF16" s="190"/>
      <c r="EG16" s="190"/>
      <c r="EH16" s="190"/>
      <c r="EI16" s="190">
        <f t="shared" si="32"/>
        <v>0</v>
      </c>
      <c r="EJ16" s="190"/>
      <c r="EK16" s="190">
        <f t="shared" si="33"/>
        <v>0</v>
      </c>
      <c r="EL16" s="187"/>
      <c r="EM16" s="190"/>
      <c r="EN16" s="190"/>
      <c r="EO16" s="190"/>
      <c r="EP16" s="190"/>
      <c r="EQ16" s="190"/>
      <c r="ER16" s="190"/>
      <c r="ES16" s="190"/>
      <c r="ET16" s="190"/>
      <c r="EU16" s="190"/>
      <c r="EV16" s="190"/>
      <c r="EW16" s="190"/>
      <c r="EX16" s="190"/>
      <c r="EY16" s="190"/>
      <c r="EZ16" s="190">
        <f t="shared" si="34"/>
        <v>0</v>
      </c>
      <c r="FA16" s="190"/>
      <c r="FB16" s="190">
        <f t="shared" si="35"/>
        <v>0</v>
      </c>
      <c r="FC16" s="190"/>
      <c r="FD16" s="190"/>
      <c r="FE16" s="190"/>
      <c r="FF16" s="190"/>
      <c r="FG16" s="190"/>
      <c r="FH16" s="190"/>
      <c r="FI16" s="190"/>
      <c r="FJ16" s="190"/>
      <c r="FK16" s="190"/>
      <c r="FL16" s="190"/>
      <c r="FM16" s="190"/>
      <c r="FN16" s="190"/>
      <c r="FO16" s="190"/>
      <c r="FP16" s="190"/>
      <c r="FQ16" s="190">
        <f t="shared" si="14"/>
        <v>0</v>
      </c>
      <c r="FR16" s="190"/>
      <c r="FS16" s="190">
        <f t="shared" si="36"/>
        <v>0</v>
      </c>
      <c r="FT16" s="190"/>
      <c r="FU16" s="190"/>
      <c r="FV16" s="190"/>
      <c r="FW16" s="190"/>
      <c r="FX16" s="190"/>
      <c r="FY16" s="190"/>
      <c r="FZ16" s="190"/>
      <c r="GA16" s="190"/>
      <c r="GB16" s="190"/>
      <c r="GC16" s="190"/>
      <c r="GD16" s="190"/>
      <c r="GE16" s="190"/>
      <c r="GF16" s="190"/>
      <c r="GG16" s="190"/>
      <c r="GH16" s="190"/>
      <c r="GI16" s="190"/>
      <c r="GJ16" s="190">
        <f t="shared" si="37"/>
        <v>0</v>
      </c>
      <c r="GK16" s="190"/>
      <c r="GL16" s="190"/>
      <c r="GM16" s="190"/>
      <c r="GN16" s="190">
        <f t="shared" si="38"/>
        <v>0</v>
      </c>
      <c r="GO16" s="190"/>
      <c r="GP16" s="190"/>
      <c r="GQ16" s="190"/>
      <c r="GR16" s="190">
        <f t="shared" si="15"/>
        <v>0</v>
      </c>
      <c r="GS16" s="190"/>
      <c r="GT16" s="190"/>
      <c r="GU16" s="190"/>
      <c r="GV16" s="190">
        <f t="shared" si="16"/>
        <v>0</v>
      </c>
      <c r="GW16" s="190"/>
      <c r="GX16" s="190"/>
      <c r="GY16" s="190"/>
      <c r="GZ16" s="190">
        <f t="shared" si="17"/>
        <v>0</v>
      </c>
    </row>
    <row r="17" spans="2:208" ht="11.45" customHeight="1" x14ac:dyDescent="0.2">
      <c r="B17" s="183"/>
      <c r="C17" s="183"/>
      <c r="D17" s="209"/>
      <c r="E17" s="183"/>
      <c r="F17" s="183"/>
      <c r="G17" s="190"/>
      <c r="H17" s="190"/>
      <c r="I17" s="190"/>
      <c r="J17" s="190"/>
      <c r="K17" s="190"/>
      <c r="L17" s="190"/>
      <c r="M17" s="190"/>
      <c r="N17" s="190"/>
      <c r="O17" s="190"/>
      <c r="P17" s="190"/>
      <c r="Q17" s="190"/>
      <c r="R17" s="190"/>
      <c r="S17" s="190"/>
      <c r="T17" s="190">
        <f t="shared" si="18"/>
        <v>0</v>
      </c>
      <c r="U17" s="190"/>
      <c r="V17" s="190">
        <f t="shared" si="19"/>
        <v>0</v>
      </c>
      <c r="W17" s="187"/>
      <c r="X17" s="190"/>
      <c r="Y17" s="190"/>
      <c r="Z17" s="190"/>
      <c r="AA17" s="190"/>
      <c r="AB17" s="190"/>
      <c r="AC17" s="190"/>
      <c r="AD17" s="190"/>
      <c r="AE17" s="190"/>
      <c r="AF17" s="190"/>
      <c r="AG17" s="190"/>
      <c r="AH17" s="190"/>
      <c r="AI17" s="190"/>
      <c r="AJ17" s="190"/>
      <c r="AK17" s="190">
        <f t="shared" si="20"/>
        <v>0</v>
      </c>
      <c r="AL17" s="190"/>
      <c r="AM17" s="190">
        <f t="shared" si="21"/>
        <v>0</v>
      </c>
      <c r="AN17" s="187"/>
      <c r="AO17" s="190"/>
      <c r="AP17" s="190"/>
      <c r="AQ17" s="190"/>
      <c r="AR17" s="190"/>
      <c r="AS17" s="190"/>
      <c r="AT17" s="190"/>
      <c r="AU17" s="190"/>
      <c r="AV17" s="190"/>
      <c r="AW17" s="190"/>
      <c r="AX17" s="190"/>
      <c r="AY17" s="190"/>
      <c r="AZ17" s="190"/>
      <c r="BA17" s="190"/>
      <c r="BB17" s="190">
        <f t="shared" si="22"/>
        <v>0</v>
      </c>
      <c r="BC17" s="190"/>
      <c r="BD17" s="190">
        <f t="shared" si="23"/>
        <v>0</v>
      </c>
      <c r="BE17" s="187"/>
      <c r="BF17" s="190"/>
      <c r="BG17" s="190"/>
      <c r="BH17" s="190"/>
      <c r="BI17" s="190"/>
      <c r="BJ17" s="190"/>
      <c r="BK17" s="190"/>
      <c r="BL17" s="190"/>
      <c r="BM17" s="190"/>
      <c r="BN17" s="190"/>
      <c r="BO17" s="190"/>
      <c r="BP17" s="190"/>
      <c r="BQ17" s="190"/>
      <c r="BR17" s="190"/>
      <c r="BS17" s="190">
        <f t="shared" si="24"/>
        <v>0</v>
      </c>
      <c r="BT17" s="190"/>
      <c r="BU17" s="190">
        <f t="shared" si="25"/>
        <v>0</v>
      </c>
      <c r="BV17" s="187"/>
      <c r="BW17" s="190"/>
      <c r="BX17" s="190"/>
      <c r="BY17" s="190"/>
      <c r="BZ17" s="190"/>
      <c r="CA17" s="190"/>
      <c r="CB17" s="190"/>
      <c r="CC17" s="190"/>
      <c r="CD17" s="190"/>
      <c r="CE17" s="190"/>
      <c r="CF17" s="190"/>
      <c r="CG17" s="190"/>
      <c r="CH17" s="190"/>
      <c r="CI17" s="190"/>
      <c r="CJ17" s="190">
        <f t="shared" si="26"/>
        <v>0</v>
      </c>
      <c r="CK17" s="190"/>
      <c r="CL17" s="190">
        <f t="shared" si="27"/>
        <v>0</v>
      </c>
      <c r="CM17" s="187"/>
      <c r="CN17" s="190"/>
      <c r="CO17" s="190"/>
      <c r="CP17" s="190"/>
      <c r="CQ17" s="190"/>
      <c r="CR17" s="190"/>
      <c r="CS17" s="190"/>
      <c r="CT17" s="190"/>
      <c r="CU17" s="190"/>
      <c r="CV17" s="190"/>
      <c r="CW17" s="190"/>
      <c r="CX17" s="190"/>
      <c r="CY17" s="190"/>
      <c r="CZ17" s="190"/>
      <c r="DA17" s="190">
        <f t="shared" si="28"/>
        <v>0</v>
      </c>
      <c r="DB17" s="190"/>
      <c r="DC17" s="190">
        <f t="shared" si="29"/>
        <v>0</v>
      </c>
      <c r="DD17" s="187"/>
      <c r="DE17" s="190"/>
      <c r="DF17" s="190"/>
      <c r="DG17" s="190"/>
      <c r="DH17" s="190"/>
      <c r="DI17" s="190"/>
      <c r="DJ17" s="190"/>
      <c r="DK17" s="190"/>
      <c r="DL17" s="190"/>
      <c r="DM17" s="190"/>
      <c r="DN17" s="190"/>
      <c r="DO17" s="190"/>
      <c r="DP17" s="190"/>
      <c r="DQ17" s="190"/>
      <c r="DR17" s="190">
        <f t="shared" si="30"/>
        <v>0</v>
      </c>
      <c r="DS17" s="190"/>
      <c r="DT17" s="190">
        <f t="shared" si="31"/>
        <v>0</v>
      </c>
      <c r="DU17" s="187"/>
      <c r="DV17" s="190"/>
      <c r="DW17" s="190"/>
      <c r="DX17" s="190"/>
      <c r="DY17" s="190"/>
      <c r="DZ17" s="190"/>
      <c r="EA17" s="190"/>
      <c r="EB17" s="190"/>
      <c r="EC17" s="190"/>
      <c r="ED17" s="190"/>
      <c r="EE17" s="190"/>
      <c r="EF17" s="190"/>
      <c r="EG17" s="190"/>
      <c r="EH17" s="190"/>
      <c r="EI17" s="190">
        <f t="shared" si="32"/>
        <v>0</v>
      </c>
      <c r="EJ17" s="190"/>
      <c r="EK17" s="190">
        <f t="shared" si="33"/>
        <v>0</v>
      </c>
      <c r="EL17" s="187"/>
      <c r="EM17" s="190"/>
      <c r="EN17" s="190"/>
      <c r="EO17" s="190"/>
      <c r="EP17" s="190"/>
      <c r="EQ17" s="190"/>
      <c r="ER17" s="190"/>
      <c r="ES17" s="190"/>
      <c r="ET17" s="190"/>
      <c r="EU17" s="190"/>
      <c r="EV17" s="190"/>
      <c r="EW17" s="190"/>
      <c r="EX17" s="190"/>
      <c r="EY17" s="190"/>
      <c r="EZ17" s="190">
        <f t="shared" si="34"/>
        <v>0</v>
      </c>
      <c r="FA17" s="190"/>
      <c r="FB17" s="190">
        <f t="shared" si="35"/>
        <v>0</v>
      </c>
      <c r="FC17" s="190"/>
      <c r="FD17" s="190"/>
      <c r="FE17" s="190"/>
      <c r="FF17" s="190"/>
      <c r="FG17" s="190"/>
      <c r="FH17" s="190"/>
      <c r="FI17" s="190"/>
      <c r="FJ17" s="190"/>
      <c r="FK17" s="190"/>
      <c r="FL17" s="190"/>
      <c r="FM17" s="190"/>
      <c r="FN17" s="190"/>
      <c r="FO17" s="190"/>
      <c r="FP17" s="190"/>
      <c r="FQ17" s="190">
        <f t="shared" si="14"/>
        <v>0</v>
      </c>
      <c r="FR17" s="190"/>
      <c r="FS17" s="190">
        <f t="shared" si="36"/>
        <v>0</v>
      </c>
      <c r="FT17" s="190"/>
      <c r="FU17" s="190"/>
      <c r="FV17" s="190"/>
      <c r="FW17" s="190"/>
      <c r="FX17" s="190"/>
      <c r="FY17" s="190"/>
      <c r="FZ17" s="190"/>
      <c r="GA17" s="190"/>
      <c r="GB17" s="190"/>
      <c r="GC17" s="190"/>
      <c r="GD17" s="190"/>
      <c r="GE17" s="190"/>
      <c r="GF17" s="190"/>
      <c r="GG17" s="190"/>
      <c r="GH17" s="190"/>
      <c r="GI17" s="190"/>
      <c r="GJ17" s="190">
        <f t="shared" si="37"/>
        <v>0</v>
      </c>
      <c r="GK17" s="190"/>
      <c r="GL17" s="190"/>
      <c r="GM17" s="190"/>
      <c r="GN17" s="190">
        <f t="shared" si="38"/>
        <v>0</v>
      </c>
      <c r="GO17" s="190"/>
      <c r="GP17" s="190"/>
      <c r="GQ17" s="190"/>
      <c r="GR17" s="190">
        <f t="shared" si="15"/>
        <v>0</v>
      </c>
      <c r="GS17" s="190"/>
      <c r="GT17" s="190"/>
      <c r="GU17" s="190"/>
      <c r="GV17" s="190">
        <f t="shared" si="16"/>
        <v>0</v>
      </c>
      <c r="GW17" s="190"/>
      <c r="GX17" s="190"/>
      <c r="GY17" s="190"/>
      <c r="GZ17" s="190">
        <f t="shared" si="17"/>
        <v>0</v>
      </c>
    </row>
    <row r="18" spans="2:208" ht="11.45" customHeight="1" x14ac:dyDescent="0.2">
      <c r="B18" s="183"/>
      <c r="C18" s="183"/>
      <c r="D18" s="209"/>
      <c r="E18" s="183"/>
      <c r="F18" s="183"/>
      <c r="G18" s="190"/>
      <c r="H18" s="190"/>
      <c r="I18" s="190"/>
      <c r="J18" s="190"/>
      <c r="K18" s="190"/>
      <c r="L18" s="190"/>
      <c r="M18" s="190"/>
      <c r="N18" s="190"/>
      <c r="O18" s="190"/>
      <c r="P18" s="190"/>
      <c r="Q18" s="190"/>
      <c r="R18" s="190"/>
      <c r="S18" s="190"/>
      <c r="T18" s="190">
        <f t="shared" si="18"/>
        <v>0</v>
      </c>
      <c r="U18" s="190"/>
      <c r="V18" s="190">
        <f t="shared" si="19"/>
        <v>0</v>
      </c>
      <c r="W18" s="187"/>
      <c r="X18" s="190"/>
      <c r="Y18" s="190"/>
      <c r="Z18" s="190"/>
      <c r="AA18" s="190"/>
      <c r="AB18" s="190"/>
      <c r="AC18" s="190"/>
      <c r="AD18" s="190"/>
      <c r="AE18" s="190"/>
      <c r="AF18" s="190"/>
      <c r="AG18" s="190"/>
      <c r="AH18" s="190"/>
      <c r="AI18" s="190"/>
      <c r="AJ18" s="190"/>
      <c r="AK18" s="190">
        <f t="shared" si="20"/>
        <v>0</v>
      </c>
      <c r="AL18" s="190"/>
      <c r="AM18" s="190">
        <f t="shared" si="21"/>
        <v>0</v>
      </c>
      <c r="AN18" s="187"/>
      <c r="AO18" s="190"/>
      <c r="AP18" s="190"/>
      <c r="AQ18" s="190"/>
      <c r="AR18" s="190"/>
      <c r="AS18" s="190"/>
      <c r="AT18" s="190"/>
      <c r="AU18" s="190"/>
      <c r="AV18" s="190"/>
      <c r="AW18" s="190"/>
      <c r="AX18" s="190"/>
      <c r="AY18" s="190"/>
      <c r="AZ18" s="190"/>
      <c r="BA18" s="190"/>
      <c r="BB18" s="190">
        <f t="shared" si="22"/>
        <v>0</v>
      </c>
      <c r="BC18" s="190"/>
      <c r="BD18" s="190">
        <f t="shared" si="23"/>
        <v>0</v>
      </c>
      <c r="BE18" s="187"/>
      <c r="BF18" s="190"/>
      <c r="BG18" s="190"/>
      <c r="BH18" s="190"/>
      <c r="BI18" s="190"/>
      <c r="BJ18" s="190"/>
      <c r="BK18" s="190"/>
      <c r="BL18" s="190"/>
      <c r="BM18" s="190"/>
      <c r="BN18" s="190"/>
      <c r="BO18" s="190"/>
      <c r="BP18" s="190"/>
      <c r="BQ18" s="190"/>
      <c r="BR18" s="190"/>
      <c r="BS18" s="190">
        <f t="shared" si="24"/>
        <v>0</v>
      </c>
      <c r="BT18" s="190"/>
      <c r="BU18" s="190">
        <f t="shared" si="25"/>
        <v>0</v>
      </c>
      <c r="BV18" s="187"/>
      <c r="BW18" s="190"/>
      <c r="BX18" s="190"/>
      <c r="BY18" s="190"/>
      <c r="BZ18" s="190"/>
      <c r="CA18" s="190"/>
      <c r="CB18" s="190"/>
      <c r="CC18" s="190"/>
      <c r="CD18" s="190"/>
      <c r="CE18" s="190"/>
      <c r="CF18" s="190"/>
      <c r="CG18" s="190"/>
      <c r="CH18" s="190"/>
      <c r="CI18" s="190"/>
      <c r="CJ18" s="190">
        <f t="shared" si="26"/>
        <v>0</v>
      </c>
      <c r="CK18" s="190"/>
      <c r="CL18" s="190">
        <f t="shared" si="27"/>
        <v>0</v>
      </c>
      <c r="CM18" s="187"/>
      <c r="CN18" s="190"/>
      <c r="CO18" s="190"/>
      <c r="CP18" s="190"/>
      <c r="CQ18" s="190"/>
      <c r="CR18" s="190"/>
      <c r="CS18" s="190"/>
      <c r="CT18" s="190"/>
      <c r="CU18" s="190"/>
      <c r="CV18" s="190"/>
      <c r="CW18" s="190"/>
      <c r="CX18" s="190"/>
      <c r="CY18" s="190"/>
      <c r="CZ18" s="190"/>
      <c r="DA18" s="190">
        <f t="shared" si="28"/>
        <v>0</v>
      </c>
      <c r="DB18" s="190"/>
      <c r="DC18" s="190">
        <f t="shared" si="29"/>
        <v>0</v>
      </c>
      <c r="DD18" s="187"/>
      <c r="DE18" s="190"/>
      <c r="DF18" s="190"/>
      <c r="DG18" s="190"/>
      <c r="DH18" s="190"/>
      <c r="DI18" s="190"/>
      <c r="DJ18" s="190"/>
      <c r="DK18" s="190"/>
      <c r="DL18" s="190"/>
      <c r="DM18" s="190"/>
      <c r="DN18" s="190"/>
      <c r="DO18" s="190"/>
      <c r="DP18" s="190"/>
      <c r="DQ18" s="190"/>
      <c r="DR18" s="190">
        <f t="shared" si="30"/>
        <v>0</v>
      </c>
      <c r="DS18" s="190"/>
      <c r="DT18" s="190">
        <f t="shared" si="31"/>
        <v>0</v>
      </c>
      <c r="DU18" s="187"/>
      <c r="DV18" s="190"/>
      <c r="DW18" s="190"/>
      <c r="DX18" s="190"/>
      <c r="DY18" s="190"/>
      <c r="DZ18" s="190"/>
      <c r="EA18" s="190"/>
      <c r="EB18" s="190"/>
      <c r="EC18" s="190"/>
      <c r="ED18" s="190"/>
      <c r="EE18" s="190"/>
      <c r="EF18" s="190"/>
      <c r="EG18" s="190"/>
      <c r="EH18" s="190"/>
      <c r="EI18" s="190">
        <f t="shared" si="32"/>
        <v>0</v>
      </c>
      <c r="EJ18" s="190"/>
      <c r="EK18" s="190">
        <f t="shared" si="33"/>
        <v>0</v>
      </c>
      <c r="EL18" s="187"/>
      <c r="EM18" s="190"/>
      <c r="EN18" s="190"/>
      <c r="EO18" s="190"/>
      <c r="EP18" s="190"/>
      <c r="EQ18" s="190"/>
      <c r="ER18" s="190"/>
      <c r="ES18" s="190"/>
      <c r="ET18" s="190"/>
      <c r="EU18" s="190"/>
      <c r="EV18" s="190"/>
      <c r="EW18" s="190"/>
      <c r="EX18" s="190"/>
      <c r="EY18" s="190"/>
      <c r="EZ18" s="190">
        <f t="shared" si="34"/>
        <v>0</v>
      </c>
      <c r="FA18" s="190"/>
      <c r="FB18" s="190">
        <f t="shared" si="35"/>
        <v>0</v>
      </c>
      <c r="FC18" s="190"/>
      <c r="FD18" s="190"/>
      <c r="FE18" s="190"/>
      <c r="FF18" s="190"/>
      <c r="FG18" s="190"/>
      <c r="FH18" s="190"/>
      <c r="FI18" s="190"/>
      <c r="FJ18" s="190"/>
      <c r="FK18" s="190"/>
      <c r="FL18" s="190"/>
      <c r="FM18" s="190"/>
      <c r="FN18" s="190"/>
      <c r="FO18" s="190"/>
      <c r="FP18" s="190"/>
      <c r="FQ18" s="190">
        <f t="shared" si="14"/>
        <v>0</v>
      </c>
      <c r="FR18" s="190"/>
      <c r="FS18" s="190">
        <f t="shared" si="36"/>
        <v>0</v>
      </c>
      <c r="FT18" s="190"/>
      <c r="FU18" s="190"/>
      <c r="FV18" s="190"/>
      <c r="FW18" s="190"/>
      <c r="FX18" s="190"/>
      <c r="FY18" s="190"/>
      <c r="FZ18" s="190"/>
      <c r="GA18" s="190"/>
      <c r="GB18" s="190"/>
      <c r="GC18" s="190"/>
      <c r="GD18" s="190"/>
      <c r="GE18" s="190"/>
      <c r="GF18" s="190"/>
      <c r="GG18" s="190"/>
      <c r="GH18" s="190"/>
      <c r="GI18" s="190"/>
      <c r="GJ18" s="190">
        <f t="shared" si="37"/>
        <v>0</v>
      </c>
      <c r="GK18" s="190"/>
      <c r="GL18" s="190"/>
      <c r="GM18" s="190"/>
      <c r="GN18" s="190">
        <f t="shared" si="38"/>
        <v>0</v>
      </c>
      <c r="GO18" s="190"/>
      <c r="GP18" s="190"/>
      <c r="GQ18" s="190"/>
      <c r="GR18" s="190">
        <f t="shared" si="15"/>
        <v>0</v>
      </c>
      <c r="GS18" s="190"/>
      <c r="GT18" s="190"/>
      <c r="GU18" s="190"/>
      <c r="GV18" s="190">
        <f t="shared" si="16"/>
        <v>0</v>
      </c>
      <c r="GW18" s="190"/>
      <c r="GX18" s="190"/>
      <c r="GY18" s="190"/>
      <c r="GZ18" s="190">
        <f t="shared" si="17"/>
        <v>0</v>
      </c>
    </row>
    <row r="19" spans="2:208" ht="11.45" customHeight="1" x14ac:dyDescent="0.2">
      <c r="B19" s="183"/>
      <c r="C19" s="183"/>
      <c r="D19" s="209"/>
      <c r="E19" s="183"/>
      <c r="F19" s="183"/>
      <c r="G19" s="190"/>
      <c r="H19" s="190"/>
      <c r="I19" s="190"/>
      <c r="J19" s="190"/>
      <c r="K19" s="190"/>
      <c r="L19" s="190"/>
      <c r="M19" s="190"/>
      <c r="N19" s="190"/>
      <c r="O19" s="190"/>
      <c r="P19" s="190"/>
      <c r="Q19" s="190"/>
      <c r="R19" s="190"/>
      <c r="S19" s="190"/>
      <c r="T19" s="190">
        <f t="shared" si="18"/>
        <v>0</v>
      </c>
      <c r="U19" s="190"/>
      <c r="V19" s="190">
        <f t="shared" si="19"/>
        <v>0</v>
      </c>
      <c r="W19" s="187"/>
      <c r="X19" s="190"/>
      <c r="Y19" s="190"/>
      <c r="Z19" s="190"/>
      <c r="AA19" s="190"/>
      <c r="AB19" s="190"/>
      <c r="AC19" s="190"/>
      <c r="AD19" s="190"/>
      <c r="AE19" s="190"/>
      <c r="AF19" s="190"/>
      <c r="AG19" s="190"/>
      <c r="AH19" s="190"/>
      <c r="AI19" s="190"/>
      <c r="AJ19" s="190"/>
      <c r="AK19" s="190">
        <f t="shared" si="20"/>
        <v>0</v>
      </c>
      <c r="AL19" s="190"/>
      <c r="AM19" s="190">
        <f t="shared" si="21"/>
        <v>0</v>
      </c>
      <c r="AN19" s="187"/>
      <c r="AO19" s="190"/>
      <c r="AP19" s="190"/>
      <c r="AQ19" s="190"/>
      <c r="AR19" s="190"/>
      <c r="AS19" s="190"/>
      <c r="AT19" s="190"/>
      <c r="AU19" s="190"/>
      <c r="AV19" s="190"/>
      <c r="AW19" s="190"/>
      <c r="AX19" s="190"/>
      <c r="AY19" s="190"/>
      <c r="AZ19" s="190"/>
      <c r="BA19" s="190"/>
      <c r="BB19" s="190">
        <f t="shared" si="22"/>
        <v>0</v>
      </c>
      <c r="BC19" s="190"/>
      <c r="BD19" s="190">
        <f t="shared" si="23"/>
        <v>0</v>
      </c>
      <c r="BE19" s="187"/>
      <c r="BF19" s="190"/>
      <c r="BG19" s="190"/>
      <c r="BH19" s="190"/>
      <c r="BI19" s="190"/>
      <c r="BJ19" s="190"/>
      <c r="BK19" s="190"/>
      <c r="BL19" s="190"/>
      <c r="BM19" s="190"/>
      <c r="BN19" s="190"/>
      <c r="BO19" s="190"/>
      <c r="BP19" s="190"/>
      <c r="BQ19" s="190"/>
      <c r="BR19" s="190"/>
      <c r="BS19" s="190">
        <f t="shared" si="24"/>
        <v>0</v>
      </c>
      <c r="BT19" s="190"/>
      <c r="BU19" s="190">
        <f t="shared" si="25"/>
        <v>0</v>
      </c>
      <c r="BV19" s="187"/>
      <c r="BW19" s="190"/>
      <c r="BX19" s="190"/>
      <c r="BY19" s="190"/>
      <c r="BZ19" s="190"/>
      <c r="CA19" s="190"/>
      <c r="CB19" s="190"/>
      <c r="CC19" s="190"/>
      <c r="CD19" s="190"/>
      <c r="CE19" s="190"/>
      <c r="CF19" s="190"/>
      <c r="CG19" s="190"/>
      <c r="CH19" s="190"/>
      <c r="CI19" s="190"/>
      <c r="CJ19" s="190">
        <f t="shared" si="26"/>
        <v>0</v>
      </c>
      <c r="CK19" s="190"/>
      <c r="CL19" s="190">
        <f t="shared" si="27"/>
        <v>0</v>
      </c>
      <c r="CM19" s="187"/>
      <c r="CN19" s="190"/>
      <c r="CO19" s="190"/>
      <c r="CP19" s="190"/>
      <c r="CQ19" s="190"/>
      <c r="CR19" s="190"/>
      <c r="CS19" s="190"/>
      <c r="CT19" s="190"/>
      <c r="CU19" s="190"/>
      <c r="CV19" s="190"/>
      <c r="CW19" s="190"/>
      <c r="CX19" s="190"/>
      <c r="CY19" s="190"/>
      <c r="CZ19" s="190"/>
      <c r="DA19" s="190">
        <f t="shared" si="28"/>
        <v>0</v>
      </c>
      <c r="DB19" s="190"/>
      <c r="DC19" s="190">
        <f t="shared" si="29"/>
        <v>0</v>
      </c>
      <c r="DD19" s="187"/>
      <c r="DE19" s="190"/>
      <c r="DF19" s="190"/>
      <c r="DG19" s="190"/>
      <c r="DH19" s="190"/>
      <c r="DI19" s="190"/>
      <c r="DJ19" s="190"/>
      <c r="DK19" s="190"/>
      <c r="DL19" s="190"/>
      <c r="DM19" s="190"/>
      <c r="DN19" s="190"/>
      <c r="DO19" s="190"/>
      <c r="DP19" s="190"/>
      <c r="DQ19" s="190"/>
      <c r="DR19" s="190">
        <f t="shared" si="30"/>
        <v>0</v>
      </c>
      <c r="DS19" s="190"/>
      <c r="DT19" s="190">
        <f t="shared" si="31"/>
        <v>0</v>
      </c>
      <c r="DU19" s="187"/>
      <c r="DV19" s="190"/>
      <c r="DW19" s="190"/>
      <c r="DX19" s="190"/>
      <c r="DY19" s="190"/>
      <c r="DZ19" s="190"/>
      <c r="EA19" s="190"/>
      <c r="EB19" s="190"/>
      <c r="EC19" s="190"/>
      <c r="ED19" s="190"/>
      <c r="EE19" s="190"/>
      <c r="EF19" s="190"/>
      <c r="EG19" s="190"/>
      <c r="EH19" s="190"/>
      <c r="EI19" s="190">
        <f t="shared" si="32"/>
        <v>0</v>
      </c>
      <c r="EJ19" s="190"/>
      <c r="EK19" s="190">
        <f t="shared" si="33"/>
        <v>0</v>
      </c>
      <c r="EL19" s="187"/>
      <c r="EM19" s="190"/>
      <c r="EN19" s="190"/>
      <c r="EO19" s="190"/>
      <c r="EP19" s="190"/>
      <c r="EQ19" s="190"/>
      <c r="ER19" s="190"/>
      <c r="ES19" s="190"/>
      <c r="ET19" s="190"/>
      <c r="EU19" s="190"/>
      <c r="EV19" s="190"/>
      <c r="EW19" s="190"/>
      <c r="EX19" s="190"/>
      <c r="EY19" s="190"/>
      <c r="EZ19" s="190">
        <f t="shared" si="34"/>
        <v>0</v>
      </c>
      <c r="FA19" s="190"/>
      <c r="FB19" s="190">
        <f t="shared" si="35"/>
        <v>0</v>
      </c>
      <c r="FC19" s="190"/>
      <c r="FD19" s="190"/>
      <c r="FE19" s="190"/>
      <c r="FF19" s="190"/>
      <c r="FG19" s="190"/>
      <c r="FH19" s="190"/>
      <c r="FI19" s="190"/>
      <c r="FJ19" s="190"/>
      <c r="FK19" s="190"/>
      <c r="FL19" s="190"/>
      <c r="FM19" s="190"/>
      <c r="FN19" s="190"/>
      <c r="FO19" s="190"/>
      <c r="FP19" s="190"/>
      <c r="FQ19" s="190">
        <f t="shared" si="14"/>
        <v>0</v>
      </c>
      <c r="FR19" s="190"/>
      <c r="FS19" s="190">
        <f t="shared" si="36"/>
        <v>0</v>
      </c>
      <c r="FT19" s="190"/>
      <c r="FU19" s="190"/>
      <c r="FV19" s="190"/>
      <c r="FW19" s="190"/>
      <c r="FX19" s="190"/>
      <c r="FY19" s="190"/>
      <c r="FZ19" s="190"/>
      <c r="GA19" s="190"/>
      <c r="GB19" s="190"/>
      <c r="GC19" s="190"/>
      <c r="GD19" s="190"/>
      <c r="GE19" s="190"/>
      <c r="GF19" s="190"/>
      <c r="GG19" s="190"/>
      <c r="GH19" s="190"/>
      <c r="GI19" s="190"/>
      <c r="GJ19" s="190">
        <f t="shared" si="37"/>
        <v>0</v>
      </c>
      <c r="GK19" s="190"/>
      <c r="GL19" s="190"/>
      <c r="GM19" s="190"/>
      <c r="GN19" s="190">
        <f t="shared" si="38"/>
        <v>0</v>
      </c>
      <c r="GO19" s="190"/>
      <c r="GP19" s="190"/>
      <c r="GQ19" s="190"/>
      <c r="GR19" s="190">
        <f t="shared" si="15"/>
        <v>0</v>
      </c>
      <c r="GS19" s="190"/>
      <c r="GT19" s="190"/>
      <c r="GU19" s="190"/>
      <c r="GV19" s="190">
        <f t="shared" si="16"/>
        <v>0</v>
      </c>
      <c r="GW19" s="190"/>
      <c r="GX19" s="190"/>
      <c r="GY19" s="190"/>
      <c r="GZ19" s="190">
        <f t="shared" si="17"/>
        <v>0</v>
      </c>
    </row>
    <row r="20" spans="2:208" ht="11.45" customHeight="1" x14ac:dyDescent="0.2">
      <c r="B20" s="183"/>
      <c r="C20" s="183"/>
      <c r="D20" s="209"/>
      <c r="E20" s="183"/>
      <c r="F20" s="183"/>
      <c r="G20" s="190"/>
      <c r="H20" s="190"/>
      <c r="I20" s="190"/>
      <c r="J20" s="190"/>
      <c r="K20" s="190"/>
      <c r="L20" s="190"/>
      <c r="M20" s="190"/>
      <c r="N20" s="190"/>
      <c r="O20" s="190"/>
      <c r="P20" s="190"/>
      <c r="Q20" s="190"/>
      <c r="R20" s="190"/>
      <c r="S20" s="190"/>
      <c r="T20" s="190">
        <f t="shared" si="18"/>
        <v>0</v>
      </c>
      <c r="U20" s="190"/>
      <c r="V20" s="190">
        <f t="shared" si="19"/>
        <v>0</v>
      </c>
      <c r="W20" s="187"/>
      <c r="X20" s="190"/>
      <c r="Y20" s="190"/>
      <c r="Z20" s="190"/>
      <c r="AA20" s="190"/>
      <c r="AB20" s="190"/>
      <c r="AC20" s="190"/>
      <c r="AD20" s="190"/>
      <c r="AE20" s="190"/>
      <c r="AF20" s="190"/>
      <c r="AG20" s="190"/>
      <c r="AH20" s="190"/>
      <c r="AI20" s="190"/>
      <c r="AJ20" s="190"/>
      <c r="AK20" s="190">
        <f t="shared" si="20"/>
        <v>0</v>
      </c>
      <c r="AL20" s="190"/>
      <c r="AM20" s="190">
        <f t="shared" si="21"/>
        <v>0</v>
      </c>
      <c r="AN20" s="187"/>
      <c r="AO20" s="190"/>
      <c r="AP20" s="190"/>
      <c r="AQ20" s="190"/>
      <c r="AR20" s="190"/>
      <c r="AS20" s="190"/>
      <c r="AT20" s="190"/>
      <c r="AU20" s="190"/>
      <c r="AV20" s="190"/>
      <c r="AW20" s="190"/>
      <c r="AX20" s="190"/>
      <c r="AY20" s="190"/>
      <c r="AZ20" s="190"/>
      <c r="BA20" s="190"/>
      <c r="BB20" s="190">
        <f t="shared" si="22"/>
        <v>0</v>
      </c>
      <c r="BC20" s="190"/>
      <c r="BD20" s="190">
        <f t="shared" si="23"/>
        <v>0</v>
      </c>
      <c r="BE20" s="187"/>
      <c r="BF20" s="190"/>
      <c r="BG20" s="190"/>
      <c r="BH20" s="190"/>
      <c r="BI20" s="190"/>
      <c r="BJ20" s="190"/>
      <c r="BK20" s="190"/>
      <c r="BL20" s="190"/>
      <c r="BM20" s="190"/>
      <c r="BN20" s="190"/>
      <c r="BO20" s="190"/>
      <c r="BP20" s="190"/>
      <c r="BQ20" s="190"/>
      <c r="BR20" s="190"/>
      <c r="BS20" s="190">
        <f t="shared" si="24"/>
        <v>0</v>
      </c>
      <c r="BT20" s="190"/>
      <c r="BU20" s="190">
        <f t="shared" si="25"/>
        <v>0</v>
      </c>
      <c r="BV20" s="187"/>
      <c r="BW20" s="190"/>
      <c r="BX20" s="190"/>
      <c r="BY20" s="190"/>
      <c r="BZ20" s="190"/>
      <c r="CA20" s="190"/>
      <c r="CB20" s="190"/>
      <c r="CC20" s="190"/>
      <c r="CD20" s="190"/>
      <c r="CE20" s="190"/>
      <c r="CF20" s="190"/>
      <c r="CG20" s="190"/>
      <c r="CH20" s="190"/>
      <c r="CI20" s="190"/>
      <c r="CJ20" s="190">
        <f t="shared" si="26"/>
        <v>0</v>
      </c>
      <c r="CK20" s="190"/>
      <c r="CL20" s="190">
        <f t="shared" si="27"/>
        <v>0</v>
      </c>
      <c r="CM20" s="187"/>
      <c r="CN20" s="190"/>
      <c r="CO20" s="190"/>
      <c r="CP20" s="190"/>
      <c r="CQ20" s="190"/>
      <c r="CR20" s="190"/>
      <c r="CS20" s="190"/>
      <c r="CT20" s="190"/>
      <c r="CU20" s="190"/>
      <c r="CV20" s="190"/>
      <c r="CW20" s="190"/>
      <c r="CX20" s="190"/>
      <c r="CY20" s="190"/>
      <c r="CZ20" s="190"/>
      <c r="DA20" s="190">
        <f t="shared" si="28"/>
        <v>0</v>
      </c>
      <c r="DB20" s="190"/>
      <c r="DC20" s="190">
        <f t="shared" si="29"/>
        <v>0</v>
      </c>
      <c r="DD20" s="187"/>
      <c r="DE20" s="190"/>
      <c r="DF20" s="190"/>
      <c r="DG20" s="190"/>
      <c r="DH20" s="190"/>
      <c r="DI20" s="190"/>
      <c r="DJ20" s="190"/>
      <c r="DK20" s="190"/>
      <c r="DL20" s="190"/>
      <c r="DM20" s="190"/>
      <c r="DN20" s="190"/>
      <c r="DO20" s="190"/>
      <c r="DP20" s="190"/>
      <c r="DQ20" s="190"/>
      <c r="DR20" s="190">
        <f t="shared" si="30"/>
        <v>0</v>
      </c>
      <c r="DS20" s="190"/>
      <c r="DT20" s="190">
        <f t="shared" si="31"/>
        <v>0</v>
      </c>
      <c r="DU20" s="187"/>
      <c r="DV20" s="190"/>
      <c r="DW20" s="190"/>
      <c r="DX20" s="190"/>
      <c r="DY20" s="190"/>
      <c r="DZ20" s="190"/>
      <c r="EA20" s="190"/>
      <c r="EB20" s="190"/>
      <c r="EC20" s="190"/>
      <c r="ED20" s="190"/>
      <c r="EE20" s="190"/>
      <c r="EF20" s="190"/>
      <c r="EG20" s="190"/>
      <c r="EH20" s="190"/>
      <c r="EI20" s="190">
        <f t="shared" si="32"/>
        <v>0</v>
      </c>
      <c r="EJ20" s="190"/>
      <c r="EK20" s="190">
        <f t="shared" si="33"/>
        <v>0</v>
      </c>
      <c r="EL20" s="187"/>
      <c r="EM20" s="190"/>
      <c r="EN20" s="190"/>
      <c r="EO20" s="190"/>
      <c r="EP20" s="190"/>
      <c r="EQ20" s="190"/>
      <c r="ER20" s="190"/>
      <c r="ES20" s="190"/>
      <c r="ET20" s="190"/>
      <c r="EU20" s="190"/>
      <c r="EV20" s="190"/>
      <c r="EW20" s="190"/>
      <c r="EX20" s="190"/>
      <c r="EY20" s="190"/>
      <c r="EZ20" s="190">
        <f t="shared" si="34"/>
        <v>0</v>
      </c>
      <c r="FA20" s="190"/>
      <c r="FB20" s="190">
        <f t="shared" si="35"/>
        <v>0</v>
      </c>
      <c r="FC20" s="190"/>
      <c r="FD20" s="190"/>
      <c r="FE20" s="190"/>
      <c r="FF20" s="190"/>
      <c r="FG20" s="190"/>
      <c r="FH20" s="190"/>
      <c r="FI20" s="190"/>
      <c r="FJ20" s="190"/>
      <c r="FK20" s="190"/>
      <c r="FL20" s="190"/>
      <c r="FM20" s="190"/>
      <c r="FN20" s="190"/>
      <c r="FO20" s="190"/>
      <c r="FP20" s="190"/>
      <c r="FQ20" s="190">
        <f t="shared" si="14"/>
        <v>0</v>
      </c>
      <c r="FR20" s="190"/>
      <c r="FS20" s="190">
        <f t="shared" si="36"/>
        <v>0</v>
      </c>
      <c r="FT20" s="190"/>
      <c r="FU20" s="190"/>
      <c r="FV20" s="190"/>
      <c r="FW20" s="190"/>
      <c r="FX20" s="190"/>
      <c r="FY20" s="190"/>
      <c r="FZ20" s="190"/>
      <c r="GA20" s="190"/>
      <c r="GB20" s="190"/>
      <c r="GC20" s="190"/>
      <c r="GD20" s="190"/>
      <c r="GE20" s="190"/>
      <c r="GF20" s="190"/>
      <c r="GG20" s="190"/>
      <c r="GH20" s="190"/>
      <c r="GI20" s="190"/>
      <c r="GJ20" s="190">
        <f t="shared" si="37"/>
        <v>0</v>
      </c>
      <c r="GK20" s="190"/>
      <c r="GL20" s="190"/>
      <c r="GM20" s="190"/>
      <c r="GN20" s="190">
        <f t="shared" si="38"/>
        <v>0</v>
      </c>
      <c r="GO20" s="190"/>
      <c r="GP20" s="190"/>
      <c r="GQ20" s="190"/>
      <c r="GR20" s="190">
        <f t="shared" si="15"/>
        <v>0</v>
      </c>
      <c r="GS20" s="190"/>
      <c r="GT20" s="190"/>
      <c r="GU20" s="190"/>
      <c r="GV20" s="190">
        <f t="shared" si="16"/>
        <v>0</v>
      </c>
      <c r="GW20" s="190"/>
      <c r="GX20" s="190"/>
      <c r="GY20" s="190"/>
      <c r="GZ20" s="190">
        <f t="shared" si="17"/>
        <v>0</v>
      </c>
    </row>
    <row r="21" spans="2:208" ht="11.45" customHeight="1" x14ac:dyDescent="0.2">
      <c r="B21" s="183"/>
      <c r="C21" s="183"/>
      <c r="D21" s="209"/>
      <c r="E21" s="183"/>
      <c r="F21" s="183"/>
      <c r="G21" s="190"/>
      <c r="H21" s="190"/>
      <c r="I21" s="190"/>
      <c r="J21" s="190"/>
      <c r="K21" s="190"/>
      <c r="L21" s="190"/>
      <c r="M21" s="190"/>
      <c r="N21" s="190"/>
      <c r="O21" s="190"/>
      <c r="P21" s="190"/>
      <c r="Q21" s="190"/>
      <c r="R21" s="190"/>
      <c r="S21" s="190"/>
      <c r="T21" s="190">
        <f t="shared" si="18"/>
        <v>0</v>
      </c>
      <c r="U21" s="190"/>
      <c r="V21" s="190">
        <f t="shared" si="19"/>
        <v>0</v>
      </c>
      <c r="W21" s="187"/>
      <c r="X21" s="190"/>
      <c r="Y21" s="190"/>
      <c r="Z21" s="190"/>
      <c r="AA21" s="190"/>
      <c r="AB21" s="190"/>
      <c r="AC21" s="190"/>
      <c r="AD21" s="190"/>
      <c r="AE21" s="190"/>
      <c r="AF21" s="190"/>
      <c r="AG21" s="190"/>
      <c r="AH21" s="190"/>
      <c r="AI21" s="190"/>
      <c r="AJ21" s="190"/>
      <c r="AK21" s="190">
        <f t="shared" si="20"/>
        <v>0</v>
      </c>
      <c r="AL21" s="190"/>
      <c r="AM21" s="190">
        <f t="shared" si="21"/>
        <v>0</v>
      </c>
      <c r="AN21" s="187"/>
      <c r="AO21" s="190"/>
      <c r="AP21" s="190"/>
      <c r="AQ21" s="190"/>
      <c r="AR21" s="190"/>
      <c r="AS21" s="190"/>
      <c r="AT21" s="190"/>
      <c r="AU21" s="190"/>
      <c r="AV21" s="190"/>
      <c r="AW21" s="190"/>
      <c r="AX21" s="190"/>
      <c r="AY21" s="190"/>
      <c r="AZ21" s="190"/>
      <c r="BA21" s="190"/>
      <c r="BB21" s="190">
        <f t="shared" si="22"/>
        <v>0</v>
      </c>
      <c r="BC21" s="190"/>
      <c r="BD21" s="190">
        <f t="shared" si="23"/>
        <v>0</v>
      </c>
      <c r="BE21" s="187"/>
      <c r="BF21" s="190"/>
      <c r="BG21" s="190"/>
      <c r="BH21" s="190"/>
      <c r="BI21" s="190"/>
      <c r="BJ21" s="190"/>
      <c r="BK21" s="190"/>
      <c r="BL21" s="190"/>
      <c r="BM21" s="190"/>
      <c r="BN21" s="190"/>
      <c r="BO21" s="190"/>
      <c r="BP21" s="190"/>
      <c r="BQ21" s="190"/>
      <c r="BR21" s="190"/>
      <c r="BS21" s="190">
        <f t="shared" si="24"/>
        <v>0</v>
      </c>
      <c r="BT21" s="190"/>
      <c r="BU21" s="190">
        <f t="shared" si="25"/>
        <v>0</v>
      </c>
      <c r="BV21" s="187"/>
      <c r="BW21" s="190"/>
      <c r="BX21" s="190"/>
      <c r="BY21" s="190"/>
      <c r="BZ21" s="190"/>
      <c r="CA21" s="190"/>
      <c r="CB21" s="190"/>
      <c r="CC21" s="190"/>
      <c r="CD21" s="190"/>
      <c r="CE21" s="190"/>
      <c r="CF21" s="190"/>
      <c r="CG21" s="190"/>
      <c r="CH21" s="190"/>
      <c r="CI21" s="190"/>
      <c r="CJ21" s="190">
        <f t="shared" si="26"/>
        <v>0</v>
      </c>
      <c r="CK21" s="190"/>
      <c r="CL21" s="190">
        <f t="shared" si="27"/>
        <v>0</v>
      </c>
      <c r="CM21" s="187"/>
      <c r="CN21" s="190"/>
      <c r="CO21" s="190"/>
      <c r="CP21" s="190"/>
      <c r="CQ21" s="190"/>
      <c r="CR21" s="190"/>
      <c r="CS21" s="190"/>
      <c r="CT21" s="190"/>
      <c r="CU21" s="190"/>
      <c r="CV21" s="190"/>
      <c r="CW21" s="190"/>
      <c r="CX21" s="190"/>
      <c r="CY21" s="190"/>
      <c r="CZ21" s="190"/>
      <c r="DA21" s="190">
        <f t="shared" si="28"/>
        <v>0</v>
      </c>
      <c r="DB21" s="190"/>
      <c r="DC21" s="190">
        <f t="shared" si="29"/>
        <v>0</v>
      </c>
      <c r="DD21" s="187"/>
      <c r="DE21" s="190"/>
      <c r="DF21" s="190"/>
      <c r="DG21" s="190"/>
      <c r="DH21" s="190"/>
      <c r="DI21" s="190"/>
      <c r="DJ21" s="190"/>
      <c r="DK21" s="190"/>
      <c r="DL21" s="190"/>
      <c r="DM21" s="190"/>
      <c r="DN21" s="190"/>
      <c r="DO21" s="190"/>
      <c r="DP21" s="190"/>
      <c r="DQ21" s="190"/>
      <c r="DR21" s="190">
        <f t="shared" si="30"/>
        <v>0</v>
      </c>
      <c r="DS21" s="190"/>
      <c r="DT21" s="190">
        <f t="shared" si="31"/>
        <v>0</v>
      </c>
      <c r="DU21" s="187"/>
      <c r="DV21" s="190"/>
      <c r="DW21" s="190"/>
      <c r="DX21" s="190"/>
      <c r="DY21" s="190"/>
      <c r="DZ21" s="190"/>
      <c r="EA21" s="190"/>
      <c r="EB21" s="190"/>
      <c r="EC21" s="190"/>
      <c r="ED21" s="190"/>
      <c r="EE21" s="190"/>
      <c r="EF21" s="190"/>
      <c r="EG21" s="190"/>
      <c r="EH21" s="190"/>
      <c r="EI21" s="190">
        <f t="shared" si="32"/>
        <v>0</v>
      </c>
      <c r="EJ21" s="190"/>
      <c r="EK21" s="190">
        <f t="shared" si="33"/>
        <v>0</v>
      </c>
      <c r="EL21" s="187"/>
      <c r="EM21" s="190"/>
      <c r="EN21" s="190"/>
      <c r="EO21" s="190"/>
      <c r="EP21" s="190"/>
      <c r="EQ21" s="190"/>
      <c r="ER21" s="190"/>
      <c r="ES21" s="190"/>
      <c r="ET21" s="190"/>
      <c r="EU21" s="190"/>
      <c r="EV21" s="190"/>
      <c r="EW21" s="190"/>
      <c r="EX21" s="190"/>
      <c r="EY21" s="190"/>
      <c r="EZ21" s="190">
        <f t="shared" si="34"/>
        <v>0</v>
      </c>
      <c r="FA21" s="190"/>
      <c r="FB21" s="190">
        <f t="shared" si="35"/>
        <v>0</v>
      </c>
      <c r="FC21" s="190"/>
      <c r="FD21" s="190"/>
      <c r="FE21" s="190"/>
      <c r="FF21" s="190"/>
      <c r="FG21" s="190"/>
      <c r="FH21" s="190"/>
      <c r="FI21" s="190"/>
      <c r="FJ21" s="190"/>
      <c r="FK21" s="190"/>
      <c r="FL21" s="190"/>
      <c r="FM21" s="190"/>
      <c r="FN21" s="190"/>
      <c r="FO21" s="190"/>
      <c r="FP21" s="190"/>
      <c r="FQ21" s="190">
        <f t="shared" si="14"/>
        <v>0</v>
      </c>
      <c r="FR21" s="190"/>
      <c r="FS21" s="190">
        <f t="shared" si="36"/>
        <v>0</v>
      </c>
      <c r="FT21" s="190"/>
      <c r="FU21" s="190"/>
      <c r="FV21" s="190"/>
      <c r="FW21" s="190"/>
      <c r="FX21" s="190"/>
      <c r="FY21" s="190"/>
      <c r="FZ21" s="190"/>
      <c r="GA21" s="190"/>
      <c r="GB21" s="190"/>
      <c r="GC21" s="190"/>
      <c r="GD21" s="190"/>
      <c r="GE21" s="190"/>
      <c r="GF21" s="190"/>
      <c r="GG21" s="190"/>
      <c r="GH21" s="190"/>
      <c r="GI21" s="190"/>
      <c r="GJ21" s="190">
        <f t="shared" si="37"/>
        <v>0</v>
      </c>
      <c r="GK21" s="190"/>
      <c r="GL21" s="190"/>
      <c r="GM21" s="190"/>
      <c r="GN21" s="190">
        <f t="shared" si="38"/>
        <v>0</v>
      </c>
      <c r="GO21" s="190"/>
      <c r="GP21" s="190"/>
      <c r="GQ21" s="190"/>
      <c r="GR21" s="190">
        <f t="shared" si="15"/>
        <v>0</v>
      </c>
      <c r="GS21" s="190"/>
      <c r="GT21" s="190"/>
      <c r="GU21" s="190"/>
      <c r="GV21" s="190">
        <f t="shared" si="16"/>
        <v>0</v>
      </c>
      <c r="GW21" s="190"/>
      <c r="GX21" s="190"/>
      <c r="GY21" s="190"/>
      <c r="GZ21" s="190">
        <f t="shared" si="17"/>
        <v>0</v>
      </c>
    </row>
    <row r="22" spans="2:208" ht="11.45" customHeight="1" x14ac:dyDescent="0.2">
      <c r="B22" s="183"/>
      <c r="C22" s="183"/>
      <c r="D22" s="209"/>
      <c r="E22" s="183"/>
      <c r="F22" s="183"/>
      <c r="G22" s="190"/>
      <c r="H22" s="190"/>
      <c r="I22" s="190"/>
      <c r="J22" s="190"/>
      <c r="K22" s="190"/>
      <c r="L22" s="190"/>
      <c r="M22" s="190"/>
      <c r="N22" s="190"/>
      <c r="O22" s="190"/>
      <c r="P22" s="190"/>
      <c r="Q22" s="190"/>
      <c r="R22" s="190"/>
      <c r="S22" s="190"/>
      <c r="T22" s="190">
        <f t="shared" si="18"/>
        <v>0</v>
      </c>
      <c r="U22" s="190"/>
      <c r="V22" s="190">
        <f t="shared" si="19"/>
        <v>0</v>
      </c>
      <c r="W22" s="187"/>
      <c r="X22" s="190"/>
      <c r="Y22" s="190"/>
      <c r="Z22" s="190"/>
      <c r="AA22" s="190"/>
      <c r="AB22" s="190"/>
      <c r="AC22" s="190"/>
      <c r="AD22" s="190"/>
      <c r="AE22" s="190"/>
      <c r="AF22" s="190"/>
      <c r="AG22" s="190"/>
      <c r="AH22" s="190"/>
      <c r="AI22" s="190"/>
      <c r="AJ22" s="190"/>
      <c r="AK22" s="190">
        <f t="shared" si="20"/>
        <v>0</v>
      </c>
      <c r="AL22" s="190"/>
      <c r="AM22" s="190">
        <f t="shared" si="21"/>
        <v>0</v>
      </c>
      <c r="AN22" s="187"/>
      <c r="AO22" s="190"/>
      <c r="AP22" s="190"/>
      <c r="AQ22" s="190"/>
      <c r="AR22" s="190"/>
      <c r="AS22" s="190"/>
      <c r="AT22" s="190"/>
      <c r="AU22" s="190"/>
      <c r="AV22" s="190"/>
      <c r="AW22" s="190"/>
      <c r="AX22" s="190"/>
      <c r="AY22" s="190"/>
      <c r="AZ22" s="190"/>
      <c r="BA22" s="190"/>
      <c r="BB22" s="190">
        <f t="shared" si="22"/>
        <v>0</v>
      </c>
      <c r="BC22" s="190"/>
      <c r="BD22" s="190">
        <f t="shared" si="23"/>
        <v>0</v>
      </c>
      <c r="BE22" s="187"/>
      <c r="BF22" s="190"/>
      <c r="BG22" s="190"/>
      <c r="BH22" s="190"/>
      <c r="BI22" s="190"/>
      <c r="BJ22" s="190"/>
      <c r="BK22" s="190"/>
      <c r="BL22" s="190"/>
      <c r="BM22" s="190"/>
      <c r="BN22" s="190"/>
      <c r="BO22" s="190"/>
      <c r="BP22" s="190"/>
      <c r="BQ22" s="190"/>
      <c r="BR22" s="190"/>
      <c r="BS22" s="190">
        <f t="shared" si="24"/>
        <v>0</v>
      </c>
      <c r="BT22" s="190"/>
      <c r="BU22" s="190">
        <f t="shared" si="25"/>
        <v>0</v>
      </c>
      <c r="BV22" s="187"/>
      <c r="BW22" s="190"/>
      <c r="BX22" s="190"/>
      <c r="BY22" s="190"/>
      <c r="BZ22" s="190"/>
      <c r="CA22" s="190"/>
      <c r="CB22" s="190"/>
      <c r="CC22" s="190"/>
      <c r="CD22" s="190"/>
      <c r="CE22" s="190"/>
      <c r="CF22" s="190"/>
      <c r="CG22" s="190"/>
      <c r="CH22" s="190"/>
      <c r="CI22" s="190"/>
      <c r="CJ22" s="190">
        <f t="shared" si="26"/>
        <v>0</v>
      </c>
      <c r="CK22" s="190"/>
      <c r="CL22" s="190">
        <f t="shared" si="27"/>
        <v>0</v>
      </c>
      <c r="CM22" s="187"/>
      <c r="CN22" s="190"/>
      <c r="CO22" s="190"/>
      <c r="CP22" s="190"/>
      <c r="CQ22" s="190"/>
      <c r="CR22" s="190"/>
      <c r="CS22" s="190"/>
      <c r="CT22" s="190"/>
      <c r="CU22" s="190"/>
      <c r="CV22" s="190"/>
      <c r="CW22" s="190"/>
      <c r="CX22" s="190"/>
      <c r="CY22" s="190"/>
      <c r="CZ22" s="190"/>
      <c r="DA22" s="190">
        <f t="shared" si="28"/>
        <v>0</v>
      </c>
      <c r="DB22" s="190"/>
      <c r="DC22" s="190">
        <f t="shared" si="29"/>
        <v>0</v>
      </c>
      <c r="DD22" s="187"/>
      <c r="DE22" s="190"/>
      <c r="DF22" s="190"/>
      <c r="DG22" s="190"/>
      <c r="DH22" s="190"/>
      <c r="DI22" s="190"/>
      <c r="DJ22" s="190"/>
      <c r="DK22" s="190"/>
      <c r="DL22" s="190"/>
      <c r="DM22" s="190"/>
      <c r="DN22" s="190"/>
      <c r="DO22" s="190"/>
      <c r="DP22" s="190"/>
      <c r="DQ22" s="190"/>
      <c r="DR22" s="190">
        <f t="shared" si="30"/>
        <v>0</v>
      </c>
      <c r="DS22" s="190"/>
      <c r="DT22" s="190">
        <f t="shared" si="31"/>
        <v>0</v>
      </c>
      <c r="DU22" s="187"/>
      <c r="DV22" s="190"/>
      <c r="DW22" s="190"/>
      <c r="DX22" s="190"/>
      <c r="DY22" s="190"/>
      <c r="DZ22" s="190"/>
      <c r="EA22" s="190"/>
      <c r="EB22" s="190"/>
      <c r="EC22" s="190"/>
      <c r="ED22" s="190"/>
      <c r="EE22" s="190"/>
      <c r="EF22" s="190"/>
      <c r="EG22" s="190"/>
      <c r="EH22" s="190"/>
      <c r="EI22" s="190">
        <f t="shared" si="32"/>
        <v>0</v>
      </c>
      <c r="EJ22" s="190"/>
      <c r="EK22" s="190">
        <f t="shared" si="33"/>
        <v>0</v>
      </c>
      <c r="EL22" s="187"/>
      <c r="EM22" s="190"/>
      <c r="EN22" s="190"/>
      <c r="EO22" s="190"/>
      <c r="EP22" s="190"/>
      <c r="EQ22" s="190"/>
      <c r="ER22" s="190"/>
      <c r="ES22" s="190"/>
      <c r="ET22" s="190"/>
      <c r="EU22" s="190"/>
      <c r="EV22" s="190"/>
      <c r="EW22" s="190"/>
      <c r="EX22" s="190"/>
      <c r="EY22" s="190"/>
      <c r="EZ22" s="190">
        <f t="shared" si="34"/>
        <v>0</v>
      </c>
      <c r="FA22" s="190"/>
      <c r="FB22" s="190">
        <f t="shared" si="35"/>
        <v>0</v>
      </c>
      <c r="FC22" s="190"/>
      <c r="FD22" s="190"/>
      <c r="FE22" s="190"/>
      <c r="FF22" s="190"/>
      <c r="FG22" s="190"/>
      <c r="FH22" s="190"/>
      <c r="FI22" s="190"/>
      <c r="FJ22" s="190"/>
      <c r="FK22" s="190"/>
      <c r="FL22" s="190"/>
      <c r="FM22" s="190"/>
      <c r="FN22" s="190"/>
      <c r="FO22" s="190"/>
      <c r="FP22" s="190"/>
      <c r="FQ22" s="190">
        <f t="shared" si="14"/>
        <v>0</v>
      </c>
      <c r="FR22" s="190"/>
      <c r="FS22" s="190">
        <f t="shared" si="36"/>
        <v>0</v>
      </c>
      <c r="FT22" s="190"/>
      <c r="FU22" s="190"/>
      <c r="FV22" s="190"/>
      <c r="FW22" s="190"/>
      <c r="FX22" s="190"/>
      <c r="FY22" s="190"/>
      <c r="FZ22" s="190"/>
      <c r="GA22" s="190"/>
      <c r="GB22" s="190"/>
      <c r="GC22" s="190"/>
      <c r="GD22" s="190"/>
      <c r="GE22" s="190"/>
      <c r="GF22" s="190"/>
      <c r="GG22" s="190"/>
      <c r="GH22" s="190"/>
      <c r="GI22" s="190"/>
      <c r="GJ22" s="190">
        <f t="shared" si="37"/>
        <v>0</v>
      </c>
      <c r="GK22" s="190"/>
      <c r="GL22" s="190"/>
      <c r="GM22" s="190"/>
      <c r="GN22" s="190">
        <f t="shared" si="38"/>
        <v>0</v>
      </c>
      <c r="GO22" s="190"/>
      <c r="GP22" s="190"/>
      <c r="GQ22" s="190"/>
      <c r="GR22" s="190">
        <f t="shared" si="15"/>
        <v>0</v>
      </c>
      <c r="GS22" s="190"/>
      <c r="GT22" s="190"/>
      <c r="GU22" s="190"/>
      <c r="GV22" s="190">
        <f t="shared" si="16"/>
        <v>0</v>
      </c>
      <c r="GW22" s="190"/>
      <c r="GX22" s="190"/>
      <c r="GY22" s="190"/>
      <c r="GZ22" s="190">
        <f t="shared" si="17"/>
        <v>0</v>
      </c>
    </row>
    <row r="23" spans="2:208" ht="11.45" customHeight="1" x14ac:dyDescent="0.2">
      <c r="B23" s="183"/>
      <c r="C23" s="183"/>
      <c r="D23" s="209"/>
      <c r="E23" s="183"/>
      <c r="F23" s="183"/>
      <c r="G23" s="190"/>
      <c r="H23" s="190"/>
      <c r="I23" s="190"/>
      <c r="J23" s="190"/>
      <c r="K23" s="190"/>
      <c r="L23" s="190"/>
      <c r="M23" s="190"/>
      <c r="N23" s="190"/>
      <c r="O23" s="190"/>
      <c r="P23" s="190"/>
      <c r="Q23" s="190"/>
      <c r="R23" s="190"/>
      <c r="S23" s="190"/>
      <c r="T23" s="190">
        <f t="shared" si="18"/>
        <v>0</v>
      </c>
      <c r="U23" s="190"/>
      <c r="V23" s="190">
        <f t="shared" si="19"/>
        <v>0</v>
      </c>
      <c r="W23" s="187"/>
      <c r="X23" s="190"/>
      <c r="Y23" s="190"/>
      <c r="Z23" s="190"/>
      <c r="AA23" s="190"/>
      <c r="AB23" s="190"/>
      <c r="AC23" s="190"/>
      <c r="AD23" s="190"/>
      <c r="AE23" s="190"/>
      <c r="AF23" s="190"/>
      <c r="AG23" s="190"/>
      <c r="AH23" s="190"/>
      <c r="AI23" s="190"/>
      <c r="AJ23" s="190"/>
      <c r="AK23" s="190">
        <f t="shared" si="20"/>
        <v>0</v>
      </c>
      <c r="AL23" s="190"/>
      <c r="AM23" s="190">
        <f t="shared" si="21"/>
        <v>0</v>
      </c>
      <c r="AN23" s="187"/>
      <c r="AO23" s="190"/>
      <c r="AP23" s="190"/>
      <c r="AQ23" s="190"/>
      <c r="AR23" s="190"/>
      <c r="AS23" s="190"/>
      <c r="AT23" s="190"/>
      <c r="AU23" s="190"/>
      <c r="AV23" s="190"/>
      <c r="AW23" s="190"/>
      <c r="AX23" s="190"/>
      <c r="AY23" s="190"/>
      <c r="AZ23" s="190"/>
      <c r="BA23" s="190"/>
      <c r="BB23" s="190">
        <f t="shared" si="22"/>
        <v>0</v>
      </c>
      <c r="BC23" s="190"/>
      <c r="BD23" s="190">
        <f t="shared" si="23"/>
        <v>0</v>
      </c>
      <c r="BE23" s="187"/>
      <c r="BF23" s="190"/>
      <c r="BG23" s="190"/>
      <c r="BH23" s="190"/>
      <c r="BI23" s="190"/>
      <c r="BJ23" s="190"/>
      <c r="BK23" s="190"/>
      <c r="BL23" s="190"/>
      <c r="BM23" s="190"/>
      <c r="BN23" s="190"/>
      <c r="BO23" s="190"/>
      <c r="BP23" s="190"/>
      <c r="BQ23" s="190"/>
      <c r="BR23" s="190"/>
      <c r="BS23" s="190">
        <f t="shared" si="24"/>
        <v>0</v>
      </c>
      <c r="BT23" s="190"/>
      <c r="BU23" s="190">
        <f t="shared" si="25"/>
        <v>0</v>
      </c>
      <c r="BV23" s="187"/>
      <c r="BW23" s="190"/>
      <c r="BX23" s="190"/>
      <c r="BY23" s="190"/>
      <c r="BZ23" s="190"/>
      <c r="CA23" s="190"/>
      <c r="CB23" s="190"/>
      <c r="CC23" s="190"/>
      <c r="CD23" s="190"/>
      <c r="CE23" s="190"/>
      <c r="CF23" s="190"/>
      <c r="CG23" s="190"/>
      <c r="CH23" s="190"/>
      <c r="CI23" s="190"/>
      <c r="CJ23" s="190">
        <f t="shared" si="26"/>
        <v>0</v>
      </c>
      <c r="CK23" s="190"/>
      <c r="CL23" s="190">
        <f t="shared" si="27"/>
        <v>0</v>
      </c>
      <c r="CM23" s="187"/>
      <c r="CN23" s="190"/>
      <c r="CO23" s="190"/>
      <c r="CP23" s="190"/>
      <c r="CQ23" s="190"/>
      <c r="CR23" s="190"/>
      <c r="CS23" s="190"/>
      <c r="CT23" s="190"/>
      <c r="CU23" s="190"/>
      <c r="CV23" s="190"/>
      <c r="CW23" s="190"/>
      <c r="CX23" s="190"/>
      <c r="CY23" s="190"/>
      <c r="CZ23" s="190"/>
      <c r="DA23" s="190">
        <f t="shared" si="28"/>
        <v>0</v>
      </c>
      <c r="DB23" s="190"/>
      <c r="DC23" s="190">
        <f t="shared" si="29"/>
        <v>0</v>
      </c>
      <c r="DD23" s="187"/>
      <c r="DE23" s="190"/>
      <c r="DF23" s="190"/>
      <c r="DG23" s="190"/>
      <c r="DH23" s="190"/>
      <c r="DI23" s="190"/>
      <c r="DJ23" s="190"/>
      <c r="DK23" s="190"/>
      <c r="DL23" s="190"/>
      <c r="DM23" s="190"/>
      <c r="DN23" s="190"/>
      <c r="DO23" s="190"/>
      <c r="DP23" s="190"/>
      <c r="DQ23" s="190"/>
      <c r="DR23" s="190">
        <f t="shared" si="30"/>
        <v>0</v>
      </c>
      <c r="DS23" s="190"/>
      <c r="DT23" s="190">
        <f t="shared" si="31"/>
        <v>0</v>
      </c>
      <c r="DU23" s="187"/>
      <c r="DV23" s="190"/>
      <c r="DW23" s="190"/>
      <c r="DX23" s="190"/>
      <c r="DY23" s="190"/>
      <c r="DZ23" s="190"/>
      <c r="EA23" s="190"/>
      <c r="EB23" s="190"/>
      <c r="EC23" s="190"/>
      <c r="ED23" s="190"/>
      <c r="EE23" s="190"/>
      <c r="EF23" s="190"/>
      <c r="EG23" s="190"/>
      <c r="EH23" s="190"/>
      <c r="EI23" s="190">
        <f t="shared" si="32"/>
        <v>0</v>
      </c>
      <c r="EJ23" s="190"/>
      <c r="EK23" s="190">
        <f t="shared" si="33"/>
        <v>0</v>
      </c>
      <c r="EL23" s="187"/>
      <c r="EM23" s="190"/>
      <c r="EN23" s="190"/>
      <c r="EO23" s="190"/>
      <c r="EP23" s="190"/>
      <c r="EQ23" s="190"/>
      <c r="ER23" s="190"/>
      <c r="ES23" s="190"/>
      <c r="ET23" s="190"/>
      <c r="EU23" s="190"/>
      <c r="EV23" s="190"/>
      <c r="EW23" s="190"/>
      <c r="EX23" s="190"/>
      <c r="EY23" s="190"/>
      <c r="EZ23" s="190">
        <f t="shared" si="34"/>
        <v>0</v>
      </c>
      <c r="FA23" s="190"/>
      <c r="FB23" s="190">
        <f t="shared" si="35"/>
        <v>0</v>
      </c>
      <c r="FC23" s="190"/>
      <c r="FD23" s="190"/>
      <c r="FE23" s="190"/>
      <c r="FF23" s="190"/>
      <c r="FG23" s="190"/>
      <c r="FH23" s="190"/>
      <c r="FI23" s="190"/>
      <c r="FJ23" s="190"/>
      <c r="FK23" s="190"/>
      <c r="FL23" s="190"/>
      <c r="FM23" s="190"/>
      <c r="FN23" s="190"/>
      <c r="FO23" s="190"/>
      <c r="FP23" s="190"/>
      <c r="FQ23" s="190">
        <f t="shared" si="14"/>
        <v>0</v>
      </c>
      <c r="FR23" s="190"/>
      <c r="FS23" s="190">
        <f t="shared" si="36"/>
        <v>0</v>
      </c>
      <c r="FT23" s="190"/>
      <c r="FU23" s="190"/>
      <c r="FV23" s="190"/>
      <c r="FW23" s="190"/>
      <c r="FX23" s="190"/>
      <c r="FY23" s="190"/>
      <c r="FZ23" s="190"/>
      <c r="GA23" s="190"/>
      <c r="GB23" s="190"/>
      <c r="GC23" s="190"/>
      <c r="GD23" s="190"/>
      <c r="GE23" s="190"/>
      <c r="GF23" s="190"/>
      <c r="GG23" s="190"/>
      <c r="GH23" s="190"/>
      <c r="GI23" s="190"/>
      <c r="GJ23" s="190">
        <f t="shared" si="37"/>
        <v>0</v>
      </c>
      <c r="GK23" s="190"/>
      <c r="GL23" s="190"/>
      <c r="GM23" s="190"/>
      <c r="GN23" s="190">
        <f t="shared" si="38"/>
        <v>0</v>
      </c>
      <c r="GO23" s="190"/>
      <c r="GP23" s="190"/>
      <c r="GQ23" s="190"/>
      <c r="GR23" s="190">
        <f t="shared" si="15"/>
        <v>0</v>
      </c>
      <c r="GS23" s="190"/>
      <c r="GT23" s="190"/>
      <c r="GU23" s="190"/>
      <c r="GV23" s="190">
        <f t="shared" si="16"/>
        <v>0</v>
      </c>
      <c r="GW23" s="190"/>
      <c r="GX23" s="190"/>
      <c r="GY23" s="190"/>
      <c r="GZ23" s="190">
        <f t="shared" si="17"/>
        <v>0</v>
      </c>
    </row>
    <row r="24" spans="2:208" ht="11.45" customHeight="1" x14ac:dyDescent="0.2">
      <c r="B24" s="183"/>
      <c r="C24" s="183"/>
      <c r="D24" s="209"/>
      <c r="E24" s="183"/>
      <c r="F24" s="183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190"/>
      <c r="T24" s="190">
        <f t="shared" si="18"/>
        <v>0</v>
      </c>
      <c r="U24" s="190"/>
      <c r="V24" s="190">
        <f t="shared" si="19"/>
        <v>0</v>
      </c>
      <c r="W24" s="187"/>
      <c r="X24" s="190"/>
      <c r="Y24" s="190"/>
      <c r="Z24" s="190"/>
      <c r="AA24" s="190"/>
      <c r="AB24" s="190"/>
      <c r="AC24" s="190"/>
      <c r="AD24" s="190"/>
      <c r="AE24" s="190"/>
      <c r="AF24" s="190"/>
      <c r="AG24" s="190"/>
      <c r="AH24" s="190"/>
      <c r="AI24" s="190"/>
      <c r="AJ24" s="190"/>
      <c r="AK24" s="190">
        <f t="shared" si="20"/>
        <v>0</v>
      </c>
      <c r="AL24" s="190"/>
      <c r="AM24" s="190">
        <f t="shared" si="21"/>
        <v>0</v>
      </c>
      <c r="AN24" s="187"/>
      <c r="AO24" s="190"/>
      <c r="AP24" s="190"/>
      <c r="AQ24" s="190"/>
      <c r="AR24" s="190"/>
      <c r="AS24" s="190"/>
      <c r="AT24" s="190"/>
      <c r="AU24" s="190"/>
      <c r="AV24" s="190"/>
      <c r="AW24" s="190"/>
      <c r="AX24" s="190"/>
      <c r="AY24" s="190"/>
      <c r="AZ24" s="190"/>
      <c r="BA24" s="190"/>
      <c r="BB24" s="190">
        <f t="shared" si="22"/>
        <v>0</v>
      </c>
      <c r="BC24" s="190"/>
      <c r="BD24" s="190">
        <f t="shared" si="23"/>
        <v>0</v>
      </c>
      <c r="BE24" s="187"/>
      <c r="BF24" s="190"/>
      <c r="BG24" s="190"/>
      <c r="BH24" s="190"/>
      <c r="BI24" s="190"/>
      <c r="BJ24" s="190"/>
      <c r="BK24" s="190"/>
      <c r="BL24" s="190"/>
      <c r="BM24" s="190"/>
      <c r="BN24" s="190"/>
      <c r="BO24" s="190"/>
      <c r="BP24" s="190"/>
      <c r="BQ24" s="190"/>
      <c r="BR24" s="190"/>
      <c r="BS24" s="190">
        <f t="shared" si="24"/>
        <v>0</v>
      </c>
      <c r="BT24" s="190"/>
      <c r="BU24" s="190">
        <f t="shared" si="25"/>
        <v>0</v>
      </c>
      <c r="BV24" s="187"/>
      <c r="BW24" s="190"/>
      <c r="BX24" s="190"/>
      <c r="BY24" s="190"/>
      <c r="BZ24" s="190"/>
      <c r="CA24" s="190"/>
      <c r="CB24" s="190"/>
      <c r="CC24" s="190"/>
      <c r="CD24" s="190"/>
      <c r="CE24" s="190"/>
      <c r="CF24" s="190"/>
      <c r="CG24" s="190"/>
      <c r="CH24" s="190"/>
      <c r="CI24" s="190"/>
      <c r="CJ24" s="190">
        <f t="shared" si="26"/>
        <v>0</v>
      </c>
      <c r="CK24" s="190"/>
      <c r="CL24" s="190">
        <f t="shared" si="27"/>
        <v>0</v>
      </c>
      <c r="CM24" s="187"/>
      <c r="CN24" s="190"/>
      <c r="CO24" s="190"/>
      <c r="CP24" s="190"/>
      <c r="CQ24" s="190"/>
      <c r="CR24" s="190"/>
      <c r="CS24" s="190"/>
      <c r="CT24" s="190"/>
      <c r="CU24" s="190"/>
      <c r="CV24" s="190"/>
      <c r="CW24" s="190"/>
      <c r="CX24" s="190"/>
      <c r="CY24" s="190"/>
      <c r="CZ24" s="190"/>
      <c r="DA24" s="190">
        <f t="shared" si="28"/>
        <v>0</v>
      </c>
      <c r="DB24" s="190"/>
      <c r="DC24" s="190">
        <f t="shared" si="29"/>
        <v>0</v>
      </c>
      <c r="DD24" s="187"/>
      <c r="DE24" s="190"/>
      <c r="DF24" s="190"/>
      <c r="DG24" s="190"/>
      <c r="DH24" s="190"/>
      <c r="DI24" s="190"/>
      <c r="DJ24" s="190"/>
      <c r="DK24" s="190"/>
      <c r="DL24" s="190"/>
      <c r="DM24" s="190"/>
      <c r="DN24" s="190"/>
      <c r="DO24" s="190"/>
      <c r="DP24" s="190"/>
      <c r="DQ24" s="190"/>
      <c r="DR24" s="190">
        <f t="shared" si="30"/>
        <v>0</v>
      </c>
      <c r="DS24" s="190"/>
      <c r="DT24" s="190">
        <f t="shared" si="31"/>
        <v>0</v>
      </c>
      <c r="DU24" s="187"/>
      <c r="DV24" s="190"/>
      <c r="DW24" s="190"/>
      <c r="DX24" s="190"/>
      <c r="DY24" s="190"/>
      <c r="DZ24" s="190"/>
      <c r="EA24" s="190"/>
      <c r="EB24" s="190"/>
      <c r="EC24" s="190"/>
      <c r="ED24" s="190"/>
      <c r="EE24" s="190"/>
      <c r="EF24" s="190"/>
      <c r="EG24" s="190"/>
      <c r="EH24" s="190"/>
      <c r="EI24" s="190">
        <f t="shared" si="32"/>
        <v>0</v>
      </c>
      <c r="EJ24" s="190"/>
      <c r="EK24" s="190">
        <f t="shared" si="33"/>
        <v>0</v>
      </c>
      <c r="EL24" s="187"/>
      <c r="EM24" s="190"/>
      <c r="EN24" s="190"/>
      <c r="EO24" s="190"/>
      <c r="EP24" s="190"/>
      <c r="EQ24" s="190"/>
      <c r="ER24" s="190"/>
      <c r="ES24" s="190"/>
      <c r="ET24" s="190"/>
      <c r="EU24" s="190"/>
      <c r="EV24" s="190"/>
      <c r="EW24" s="190"/>
      <c r="EX24" s="190"/>
      <c r="EY24" s="190"/>
      <c r="EZ24" s="190">
        <f t="shared" si="34"/>
        <v>0</v>
      </c>
      <c r="FA24" s="190"/>
      <c r="FB24" s="190">
        <f t="shared" si="35"/>
        <v>0</v>
      </c>
      <c r="FC24" s="190"/>
      <c r="FD24" s="190"/>
      <c r="FE24" s="190"/>
      <c r="FF24" s="190"/>
      <c r="FG24" s="190"/>
      <c r="FH24" s="190"/>
      <c r="FI24" s="190"/>
      <c r="FJ24" s="190"/>
      <c r="FK24" s="190"/>
      <c r="FL24" s="190"/>
      <c r="FM24" s="190"/>
      <c r="FN24" s="190"/>
      <c r="FO24" s="190"/>
      <c r="FP24" s="190"/>
      <c r="FQ24" s="190">
        <f t="shared" si="14"/>
        <v>0</v>
      </c>
      <c r="FR24" s="190"/>
      <c r="FS24" s="190">
        <f t="shared" si="36"/>
        <v>0</v>
      </c>
      <c r="FT24" s="190"/>
      <c r="FU24" s="190"/>
      <c r="FV24" s="190"/>
      <c r="FW24" s="190"/>
      <c r="FX24" s="190"/>
      <c r="FY24" s="190"/>
      <c r="FZ24" s="190"/>
      <c r="GA24" s="190"/>
      <c r="GB24" s="190"/>
      <c r="GC24" s="190"/>
      <c r="GD24" s="190"/>
      <c r="GE24" s="190"/>
      <c r="GF24" s="190"/>
      <c r="GG24" s="190"/>
      <c r="GH24" s="190"/>
      <c r="GI24" s="190"/>
      <c r="GJ24" s="190">
        <f t="shared" si="37"/>
        <v>0</v>
      </c>
      <c r="GK24" s="190"/>
      <c r="GL24" s="190"/>
      <c r="GM24" s="190"/>
      <c r="GN24" s="190">
        <f t="shared" si="38"/>
        <v>0</v>
      </c>
      <c r="GO24" s="190"/>
      <c r="GP24" s="190"/>
      <c r="GQ24" s="190"/>
      <c r="GR24" s="190">
        <f t="shared" si="15"/>
        <v>0</v>
      </c>
      <c r="GS24" s="190"/>
      <c r="GT24" s="190"/>
      <c r="GU24" s="190"/>
      <c r="GV24" s="190">
        <f t="shared" si="16"/>
        <v>0</v>
      </c>
      <c r="GW24" s="190"/>
      <c r="GX24" s="190"/>
      <c r="GY24" s="190"/>
      <c r="GZ24" s="190">
        <f t="shared" si="17"/>
        <v>0</v>
      </c>
    </row>
    <row r="25" spans="2:208" ht="11.45" customHeight="1" x14ac:dyDescent="0.2">
      <c r="B25" s="183"/>
      <c r="C25" s="183"/>
      <c r="D25" s="209"/>
      <c r="E25" s="183"/>
      <c r="F25" s="183"/>
      <c r="G25" s="190"/>
      <c r="H25" s="190"/>
      <c r="I25" s="190"/>
      <c r="J25" s="190"/>
      <c r="K25" s="190"/>
      <c r="L25" s="190"/>
      <c r="M25" s="190"/>
      <c r="N25" s="190"/>
      <c r="O25" s="190"/>
      <c r="P25" s="190"/>
      <c r="Q25" s="190"/>
      <c r="R25" s="190"/>
      <c r="S25" s="190"/>
      <c r="T25" s="190">
        <f t="shared" si="18"/>
        <v>0</v>
      </c>
      <c r="U25" s="190"/>
      <c r="V25" s="190">
        <f t="shared" si="19"/>
        <v>0</v>
      </c>
      <c r="W25" s="187"/>
      <c r="X25" s="190"/>
      <c r="Y25" s="190"/>
      <c r="Z25" s="190"/>
      <c r="AA25" s="190"/>
      <c r="AB25" s="190"/>
      <c r="AC25" s="190"/>
      <c r="AD25" s="190"/>
      <c r="AE25" s="190"/>
      <c r="AF25" s="190"/>
      <c r="AG25" s="190"/>
      <c r="AH25" s="190"/>
      <c r="AI25" s="190"/>
      <c r="AJ25" s="190"/>
      <c r="AK25" s="190">
        <f t="shared" si="20"/>
        <v>0</v>
      </c>
      <c r="AL25" s="190"/>
      <c r="AM25" s="190">
        <f t="shared" si="21"/>
        <v>0</v>
      </c>
      <c r="AN25" s="187"/>
      <c r="AO25" s="190"/>
      <c r="AP25" s="190"/>
      <c r="AQ25" s="190"/>
      <c r="AR25" s="190"/>
      <c r="AS25" s="190"/>
      <c r="AT25" s="190"/>
      <c r="AU25" s="190"/>
      <c r="AV25" s="190"/>
      <c r="AW25" s="190"/>
      <c r="AX25" s="190"/>
      <c r="AY25" s="190"/>
      <c r="AZ25" s="190"/>
      <c r="BA25" s="190"/>
      <c r="BB25" s="190">
        <f t="shared" si="22"/>
        <v>0</v>
      </c>
      <c r="BC25" s="190"/>
      <c r="BD25" s="190">
        <f t="shared" si="23"/>
        <v>0</v>
      </c>
      <c r="BE25" s="187"/>
      <c r="BF25" s="190"/>
      <c r="BG25" s="190"/>
      <c r="BH25" s="190"/>
      <c r="BI25" s="190"/>
      <c r="BJ25" s="190"/>
      <c r="BK25" s="190"/>
      <c r="BL25" s="190"/>
      <c r="BM25" s="190"/>
      <c r="BN25" s="190"/>
      <c r="BO25" s="190"/>
      <c r="BP25" s="190"/>
      <c r="BQ25" s="190"/>
      <c r="BR25" s="190"/>
      <c r="BS25" s="190">
        <f t="shared" si="24"/>
        <v>0</v>
      </c>
      <c r="BT25" s="190"/>
      <c r="BU25" s="190">
        <f t="shared" si="25"/>
        <v>0</v>
      </c>
      <c r="BV25" s="187"/>
      <c r="BW25" s="190"/>
      <c r="BX25" s="190"/>
      <c r="BY25" s="190"/>
      <c r="BZ25" s="190"/>
      <c r="CA25" s="190"/>
      <c r="CB25" s="190"/>
      <c r="CC25" s="190"/>
      <c r="CD25" s="190"/>
      <c r="CE25" s="190"/>
      <c r="CF25" s="190"/>
      <c r="CG25" s="190"/>
      <c r="CH25" s="190"/>
      <c r="CI25" s="190"/>
      <c r="CJ25" s="190">
        <f t="shared" si="26"/>
        <v>0</v>
      </c>
      <c r="CK25" s="190"/>
      <c r="CL25" s="190">
        <f t="shared" si="27"/>
        <v>0</v>
      </c>
      <c r="CM25" s="187"/>
      <c r="CN25" s="190"/>
      <c r="CO25" s="190"/>
      <c r="CP25" s="190"/>
      <c r="CQ25" s="190"/>
      <c r="CR25" s="190"/>
      <c r="CS25" s="190"/>
      <c r="CT25" s="190"/>
      <c r="CU25" s="190"/>
      <c r="CV25" s="190"/>
      <c r="CW25" s="190"/>
      <c r="CX25" s="190"/>
      <c r="CY25" s="190"/>
      <c r="CZ25" s="190"/>
      <c r="DA25" s="190">
        <f t="shared" si="28"/>
        <v>0</v>
      </c>
      <c r="DB25" s="190"/>
      <c r="DC25" s="190">
        <f t="shared" si="29"/>
        <v>0</v>
      </c>
      <c r="DD25" s="187"/>
      <c r="DE25" s="190"/>
      <c r="DF25" s="190"/>
      <c r="DG25" s="190"/>
      <c r="DH25" s="190"/>
      <c r="DI25" s="190"/>
      <c r="DJ25" s="190"/>
      <c r="DK25" s="190"/>
      <c r="DL25" s="190"/>
      <c r="DM25" s="190"/>
      <c r="DN25" s="190"/>
      <c r="DO25" s="190"/>
      <c r="DP25" s="190"/>
      <c r="DQ25" s="190"/>
      <c r="DR25" s="190">
        <f t="shared" si="30"/>
        <v>0</v>
      </c>
      <c r="DS25" s="190"/>
      <c r="DT25" s="190">
        <f t="shared" si="31"/>
        <v>0</v>
      </c>
      <c r="DU25" s="187"/>
      <c r="DV25" s="190"/>
      <c r="DW25" s="190"/>
      <c r="DX25" s="190"/>
      <c r="DY25" s="190"/>
      <c r="DZ25" s="190"/>
      <c r="EA25" s="190"/>
      <c r="EB25" s="190"/>
      <c r="EC25" s="190"/>
      <c r="ED25" s="190"/>
      <c r="EE25" s="190"/>
      <c r="EF25" s="190"/>
      <c r="EG25" s="190"/>
      <c r="EH25" s="190"/>
      <c r="EI25" s="190">
        <f t="shared" si="32"/>
        <v>0</v>
      </c>
      <c r="EJ25" s="190"/>
      <c r="EK25" s="190">
        <f t="shared" si="33"/>
        <v>0</v>
      </c>
      <c r="EL25" s="187"/>
      <c r="EM25" s="190"/>
      <c r="EN25" s="190"/>
      <c r="EO25" s="190"/>
      <c r="EP25" s="190"/>
      <c r="EQ25" s="190"/>
      <c r="ER25" s="190"/>
      <c r="ES25" s="190"/>
      <c r="ET25" s="190"/>
      <c r="EU25" s="190"/>
      <c r="EV25" s="190"/>
      <c r="EW25" s="190"/>
      <c r="EX25" s="190"/>
      <c r="EY25" s="190"/>
      <c r="EZ25" s="190">
        <f t="shared" si="34"/>
        <v>0</v>
      </c>
      <c r="FA25" s="190"/>
      <c r="FB25" s="190">
        <f t="shared" si="35"/>
        <v>0</v>
      </c>
      <c r="FC25" s="190"/>
      <c r="FD25" s="190"/>
      <c r="FE25" s="190"/>
      <c r="FF25" s="190"/>
      <c r="FG25" s="190"/>
      <c r="FH25" s="190"/>
      <c r="FI25" s="190"/>
      <c r="FJ25" s="190"/>
      <c r="FK25" s="190"/>
      <c r="FL25" s="190"/>
      <c r="FM25" s="190"/>
      <c r="FN25" s="190"/>
      <c r="FO25" s="190"/>
      <c r="FP25" s="190"/>
      <c r="FQ25" s="190">
        <f t="shared" si="14"/>
        <v>0</v>
      </c>
      <c r="FR25" s="190"/>
      <c r="FS25" s="190">
        <f t="shared" si="36"/>
        <v>0</v>
      </c>
      <c r="FT25" s="190"/>
      <c r="FU25" s="190"/>
      <c r="FV25" s="190"/>
      <c r="FW25" s="190"/>
      <c r="FX25" s="190"/>
      <c r="FY25" s="190"/>
      <c r="FZ25" s="190"/>
      <c r="GA25" s="190"/>
      <c r="GB25" s="190"/>
      <c r="GC25" s="190"/>
      <c r="GD25" s="190"/>
      <c r="GE25" s="190"/>
      <c r="GF25" s="190"/>
      <c r="GG25" s="190"/>
      <c r="GH25" s="190"/>
      <c r="GI25" s="190"/>
      <c r="GJ25" s="190">
        <f t="shared" si="37"/>
        <v>0</v>
      </c>
      <c r="GK25" s="190"/>
      <c r="GL25" s="190"/>
      <c r="GM25" s="190"/>
      <c r="GN25" s="190">
        <f t="shared" si="38"/>
        <v>0</v>
      </c>
      <c r="GO25" s="190"/>
      <c r="GP25" s="190"/>
      <c r="GQ25" s="190"/>
      <c r="GR25" s="190">
        <f t="shared" si="15"/>
        <v>0</v>
      </c>
      <c r="GS25" s="190"/>
      <c r="GT25" s="190"/>
      <c r="GU25" s="190"/>
      <c r="GV25" s="190">
        <f t="shared" si="16"/>
        <v>0</v>
      </c>
      <c r="GW25" s="190"/>
      <c r="GX25" s="190"/>
      <c r="GY25" s="190"/>
      <c r="GZ25" s="190">
        <f t="shared" si="17"/>
        <v>0</v>
      </c>
    </row>
    <row r="26" spans="2:208" ht="11.45" customHeight="1" x14ac:dyDescent="0.2">
      <c r="B26" s="183"/>
      <c r="C26" s="183"/>
      <c r="D26" s="209"/>
      <c r="E26" s="183"/>
      <c r="F26" s="183"/>
      <c r="G26" s="190"/>
      <c r="H26" s="190"/>
      <c r="I26" s="190"/>
      <c r="J26" s="190"/>
      <c r="K26" s="190"/>
      <c r="L26" s="190"/>
      <c r="M26" s="190"/>
      <c r="N26" s="190"/>
      <c r="O26" s="190"/>
      <c r="P26" s="190"/>
      <c r="Q26" s="190"/>
      <c r="R26" s="190"/>
      <c r="S26" s="190"/>
      <c r="T26" s="190">
        <f t="shared" si="18"/>
        <v>0</v>
      </c>
      <c r="U26" s="190"/>
      <c r="V26" s="190">
        <f t="shared" si="19"/>
        <v>0</v>
      </c>
      <c r="W26" s="187"/>
      <c r="X26" s="190"/>
      <c r="Y26" s="190"/>
      <c r="Z26" s="190"/>
      <c r="AA26" s="190"/>
      <c r="AB26" s="190"/>
      <c r="AC26" s="190"/>
      <c r="AD26" s="190"/>
      <c r="AE26" s="190"/>
      <c r="AF26" s="190"/>
      <c r="AG26" s="190"/>
      <c r="AH26" s="190"/>
      <c r="AI26" s="190"/>
      <c r="AJ26" s="190"/>
      <c r="AK26" s="190">
        <f t="shared" si="20"/>
        <v>0</v>
      </c>
      <c r="AL26" s="190"/>
      <c r="AM26" s="190">
        <f t="shared" si="21"/>
        <v>0</v>
      </c>
      <c r="AN26" s="187"/>
      <c r="AO26" s="190"/>
      <c r="AP26" s="190"/>
      <c r="AQ26" s="190"/>
      <c r="AR26" s="190"/>
      <c r="AS26" s="190"/>
      <c r="AT26" s="190"/>
      <c r="AU26" s="190"/>
      <c r="AV26" s="190"/>
      <c r="AW26" s="190"/>
      <c r="AX26" s="190"/>
      <c r="AY26" s="190"/>
      <c r="AZ26" s="190"/>
      <c r="BA26" s="190"/>
      <c r="BB26" s="190">
        <f t="shared" si="22"/>
        <v>0</v>
      </c>
      <c r="BC26" s="190"/>
      <c r="BD26" s="190">
        <f t="shared" si="23"/>
        <v>0</v>
      </c>
      <c r="BE26" s="187"/>
      <c r="BF26" s="190"/>
      <c r="BG26" s="190"/>
      <c r="BH26" s="190"/>
      <c r="BI26" s="190"/>
      <c r="BJ26" s="190"/>
      <c r="BK26" s="190"/>
      <c r="BL26" s="190"/>
      <c r="BM26" s="190"/>
      <c r="BN26" s="190"/>
      <c r="BO26" s="190"/>
      <c r="BP26" s="190"/>
      <c r="BQ26" s="190"/>
      <c r="BR26" s="190"/>
      <c r="BS26" s="190">
        <f t="shared" si="24"/>
        <v>0</v>
      </c>
      <c r="BT26" s="190"/>
      <c r="BU26" s="190">
        <f t="shared" si="25"/>
        <v>0</v>
      </c>
      <c r="BV26" s="187"/>
      <c r="BW26" s="190"/>
      <c r="BX26" s="190"/>
      <c r="BY26" s="190"/>
      <c r="BZ26" s="190"/>
      <c r="CA26" s="190"/>
      <c r="CB26" s="190"/>
      <c r="CC26" s="190"/>
      <c r="CD26" s="190"/>
      <c r="CE26" s="190"/>
      <c r="CF26" s="190"/>
      <c r="CG26" s="190"/>
      <c r="CH26" s="190"/>
      <c r="CI26" s="190"/>
      <c r="CJ26" s="190">
        <f t="shared" si="26"/>
        <v>0</v>
      </c>
      <c r="CK26" s="190"/>
      <c r="CL26" s="190">
        <f t="shared" si="27"/>
        <v>0</v>
      </c>
      <c r="CM26" s="187"/>
      <c r="CN26" s="190"/>
      <c r="CO26" s="190"/>
      <c r="CP26" s="190"/>
      <c r="CQ26" s="190"/>
      <c r="CR26" s="190"/>
      <c r="CS26" s="190"/>
      <c r="CT26" s="190"/>
      <c r="CU26" s="190"/>
      <c r="CV26" s="190"/>
      <c r="CW26" s="190"/>
      <c r="CX26" s="190"/>
      <c r="CY26" s="190"/>
      <c r="CZ26" s="190"/>
      <c r="DA26" s="190">
        <f t="shared" si="28"/>
        <v>0</v>
      </c>
      <c r="DB26" s="190"/>
      <c r="DC26" s="190">
        <f t="shared" si="29"/>
        <v>0</v>
      </c>
      <c r="DD26" s="187"/>
      <c r="DE26" s="190"/>
      <c r="DF26" s="190"/>
      <c r="DG26" s="190"/>
      <c r="DH26" s="190"/>
      <c r="DI26" s="190"/>
      <c r="DJ26" s="190"/>
      <c r="DK26" s="190"/>
      <c r="DL26" s="190"/>
      <c r="DM26" s="190"/>
      <c r="DN26" s="190"/>
      <c r="DO26" s="190"/>
      <c r="DP26" s="190"/>
      <c r="DQ26" s="190"/>
      <c r="DR26" s="190">
        <f t="shared" si="30"/>
        <v>0</v>
      </c>
      <c r="DS26" s="190"/>
      <c r="DT26" s="190">
        <f t="shared" si="31"/>
        <v>0</v>
      </c>
      <c r="DU26" s="187"/>
      <c r="DV26" s="190"/>
      <c r="DW26" s="190"/>
      <c r="DX26" s="190"/>
      <c r="DY26" s="190"/>
      <c r="DZ26" s="190"/>
      <c r="EA26" s="190"/>
      <c r="EB26" s="190"/>
      <c r="EC26" s="190"/>
      <c r="ED26" s="190"/>
      <c r="EE26" s="190"/>
      <c r="EF26" s="190"/>
      <c r="EG26" s="190"/>
      <c r="EH26" s="190"/>
      <c r="EI26" s="190">
        <f t="shared" si="32"/>
        <v>0</v>
      </c>
      <c r="EJ26" s="190"/>
      <c r="EK26" s="190">
        <f t="shared" si="33"/>
        <v>0</v>
      </c>
      <c r="EL26" s="187"/>
      <c r="EM26" s="190"/>
      <c r="EN26" s="190"/>
      <c r="EO26" s="190"/>
      <c r="EP26" s="190"/>
      <c r="EQ26" s="190"/>
      <c r="ER26" s="190"/>
      <c r="ES26" s="190"/>
      <c r="ET26" s="190"/>
      <c r="EU26" s="190"/>
      <c r="EV26" s="190"/>
      <c r="EW26" s="190"/>
      <c r="EX26" s="190"/>
      <c r="EY26" s="190"/>
      <c r="EZ26" s="190">
        <f t="shared" si="34"/>
        <v>0</v>
      </c>
      <c r="FA26" s="190"/>
      <c r="FB26" s="190">
        <f t="shared" si="35"/>
        <v>0</v>
      </c>
      <c r="FC26" s="190"/>
      <c r="FD26" s="190"/>
      <c r="FE26" s="190"/>
      <c r="FF26" s="190"/>
      <c r="FG26" s="190"/>
      <c r="FH26" s="190"/>
      <c r="FI26" s="190"/>
      <c r="FJ26" s="190"/>
      <c r="FK26" s="190"/>
      <c r="FL26" s="190"/>
      <c r="FM26" s="190"/>
      <c r="FN26" s="190"/>
      <c r="FO26" s="190"/>
      <c r="FP26" s="190"/>
      <c r="FQ26" s="190">
        <f t="shared" si="14"/>
        <v>0</v>
      </c>
      <c r="FR26" s="190"/>
      <c r="FS26" s="190">
        <f t="shared" si="36"/>
        <v>0</v>
      </c>
      <c r="FT26" s="190"/>
      <c r="FU26" s="190"/>
      <c r="FV26" s="190"/>
      <c r="FW26" s="190"/>
      <c r="FX26" s="190"/>
      <c r="FY26" s="190"/>
      <c r="FZ26" s="190"/>
      <c r="GA26" s="190"/>
      <c r="GB26" s="190"/>
      <c r="GC26" s="190"/>
      <c r="GD26" s="190"/>
      <c r="GE26" s="190"/>
      <c r="GF26" s="190"/>
      <c r="GG26" s="190"/>
      <c r="GH26" s="190"/>
      <c r="GI26" s="190"/>
      <c r="GJ26" s="190">
        <f t="shared" si="37"/>
        <v>0</v>
      </c>
      <c r="GK26" s="190"/>
      <c r="GL26" s="190"/>
      <c r="GM26" s="190"/>
      <c r="GN26" s="190">
        <f t="shared" si="38"/>
        <v>0</v>
      </c>
      <c r="GO26" s="190"/>
      <c r="GP26" s="190"/>
      <c r="GQ26" s="190"/>
      <c r="GR26" s="190">
        <f t="shared" si="15"/>
        <v>0</v>
      </c>
      <c r="GS26" s="190"/>
      <c r="GT26" s="190"/>
      <c r="GU26" s="190"/>
      <c r="GV26" s="190">
        <f t="shared" si="16"/>
        <v>0</v>
      </c>
      <c r="GW26" s="190"/>
      <c r="GX26" s="190"/>
      <c r="GY26" s="190"/>
      <c r="GZ26" s="190">
        <f t="shared" si="17"/>
        <v>0</v>
      </c>
    </row>
    <row r="27" spans="2:208" ht="11.45" customHeight="1" x14ac:dyDescent="0.2">
      <c r="B27" s="183"/>
      <c r="C27" s="183"/>
      <c r="D27" s="209"/>
      <c r="E27" s="183"/>
      <c r="F27" s="183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>
        <f t="shared" si="18"/>
        <v>0</v>
      </c>
      <c r="U27" s="190"/>
      <c r="V27" s="190">
        <f t="shared" si="19"/>
        <v>0</v>
      </c>
      <c r="W27" s="187"/>
      <c r="X27" s="190"/>
      <c r="Y27" s="190"/>
      <c r="Z27" s="190"/>
      <c r="AA27" s="190"/>
      <c r="AB27" s="190"/>
      <c r="AC27" s="190"/>
      <c r="AD27" s="190"/>
      <c r="AE27" s="190"/>
      <c r="AF27" s="190"/>
      <c r="AG27" s="190"/>
      <c r="AH27" s="190"/>
      <c r="AI27" s="190"/>
      <c r="AJ27" s="190"/>
      <c r="AK27" s="190">
        <f t="shared" si="20"/>
        <v>0</v>
      </c>
      <c r="AL27" s="190"/>
      <c r="AM27" s="190">
        <f t="shared" si="21"/>
        <v>0</v>
      </c>
      <c r="AN27" s="187"/>
      <c r="AO27" s="190"/>
      <c r="AP27" s="190"/>
      <c r="AQ27" s="190"/>
      <c r="AR27" s="190"/>
      <c r="AS27" s="190"/>
      <c r="AT27" s="190"/>
      <c r="AU27" s="190"/>
      <c r="AV27" s="190"/>
      <c r="AW27" s="190"/>
      <c r="AX27" s="190"/>
      <c r="AY27" s="190"/>
      <c r="AZ27" s="190"/>
      <c r="BA27" s="190"/>
      <c r="BB27" s="190">
        <f t="shared" si="22"/>
        <v>0</v>
      </c>
      <c r="BC27" s="190"/>
      <c r="BD27" s="190">
        <f t="shared" si="23"/>
        <v>0</v>
      </c>
      <c r="BE27" s="187"/>
      <c r="BF27" s="190"/>
      <c r="BG27" s="190"/>
      <c r="BH27" s="190"/>
      <c r="BI27" s="190"/>
      <c r="BJ27" s="190"/>
      <c r="BK27" s="190"/>
      <c r="BL27" s="190"/>
      <c r="BM27" s="190"/>
      <c r="BN27" s="190"/>
      <c r="BO27" s="190"/>
      <c r="BP27" s="190"/>
      <c r="BQ27" s="190"/>
      <c r="BR27" s="190"/>
      <c r="BS27" s="190">
        <f t="shared" si="24"/>
        <v>0</v>
      </c>
      <c r="BT27" s="190"/>
      <c r="BU27" s="190">
        <f t="shared" si="25"/>
        <v>0</v>
      </c>
      <c r="BV27" s="187"/>
      <c r="BW27" s="190"/>
      <c r="BX27" s="190"/>
      <c r="BY27" s="190"/>
      <c r="BZ27" s="190"/>
      <c r="CA27" s="190"/>
      <c r="CB27" s="190"/>
      <c r="CC27" s="190"/>
      <c r="CD27" s="190"/>
      <c r="CE27" s="190"/>
      <c r="CF27" s="190"/>
      <c r="CG27" s="190"/>
      <c r="CH27" s="190"/>
      <c r="CI27" s="190"/>
      <c r="CJ27" s="190">
        <f t="shared" si="26"/>
        <v>0</v>
      </c>
      <c r="CK27" s="190"/>
      <c r="CL27" s="190">
        <f t="shared" si="27"/>
        <v>0</v>
      </c>
      <c r="CM27" s="187"/>
      <c r="CN27" s="190"/>
      <c r="CO27" s="190"/>
      <c r="CP27" s="190"/>
      <c r="CQ27" s="190"/>
      <c r="CR27" s="190"/>
      <c r="CS27" s="190"/>
      <c r="CT27" s="190"/>
      <c r="CU27" s="190"/>
      <c r="CV27" s="190"/>
      <c r="CW27" s="190"/>
      <c r="CX27" s="190"/>
      <c r="CY27" s="190"/>
      <c r="CZ27" s="190"/>
      <c r="DA27" s="190">
        <f t="shared" si="28"/>
        <v>0</v>
      </c>
      <c r="DB27" s="190"/>
      <c r="DC27" s="190">
        <f t="shared" si="29"/>
        <v>0</v>
      </c>
      <c r="DD27" s="187"/>
      <c r="DE27" s="190"/>
      <c r="DF27" s="190"/>
      <c r="DG27" s="190"/>
      <c r="DH27" s="190"/>
      <c r="DI27" s="190"/>
      <c r="DJ27" s="190"/>
      <c r="DK27" s="190"/>
      <c r="DL27" s="190"/>
      <c r="DM27" s="190"/>
      <c r="DN27" s="190"/>
      <c r="DO27" s="190"/>
      <c r="DP27" s="190"/>
      <c r="DQ27" s="190"/>
      <c r="DR27" s="190">
        <f t="shared" si="30"/>
        <v>0</v>
      </c>
      <c r="DS27" s="190"/>
      <c r="DT27" s="190">
        <f t="shared" si="31"/>
        <v>0</v>
      </c>
      <c r="DU27" s="187"/>
      <c r="DV27" s="190"/>
      <c r="DW27" s="190"/>
      <c r="DX27" s="190"/>
      <c r="DY27" s="190"/>
      <c r="DZ27" s="190"/>
      <c r="EA27" s="190"/>
      <c r="EB27" s="190"/>
      <c r="EC27" s="190"/>
      <c r="ED27" s="190"/>
      <c r="EE27" s="190"/>
      <c r="EF27" s="190"/>
      <c r="EG27" s="190"/>
      <c r="EH27" s="190"/>
      <c r="EI27" s="190">
        <f t="shared" si="32"/>
        <v>0</v>
      </c>
      <c r="EJ27" s="190"/>
      <c r="EK27" s="190">
        <f t="shared" si="33"/>
        <v>0</v>
      </c>
      <c r="EL27" s="187"/>
      <c r="EM27" s="190"/>
      <c r="EN27" s="190"/>
      <c r="EO27" s="190"/>
      <c r="EP27" s="190"/>
      <c r="EQ27" s="190"/>
      <c r="ER27" s="190"/>
      <c r="ES27" s="190"/>
      <c r="ET27" s="190"/>
      <c r="EU27" s="190"/>
      <c r="EV27" s="190"/>
      <c r="EW27" s="190"/>
      <c r="EX27" s="190"/>
      <c r="EY27" s="190"/>
      <c r="EZ27" s="190">
        <f t="shared" si="34"/>
        <v>0</v>
      </c>
      <c r="FA27" s="190"/>
      <c r="FB27" s="190">
        <f t="shared" si="35"/>
        <v>0</v>
      </c>
      <c r="FC27" s="190"/>
      <c r="FD27" s="190"/>
      <c r="FE27" s="190"/>
      <c r="FF27" s="190"/>
      <c r="FG27" s="190"/>
      <c r="FH27" s="190"/>
      <c r="FI27" s="190"/>
      <c r="FJ27" s="190"/>
      <c r="FK27" s="190"/>
      <c r="FL27" s="190"/>
      <c r="FM27" s="190"/>
      <c r="FN27" s="190"/>
      <c r="FO27" s="190"/>
      <c r="FP27" s="190"/>
      <c r="FQ27" s="190">
        <f t="shared" si="14"/>
        <v>0</v>
      </c>
      <c r="FR27" s="190"/>
      <c r="FS27" s="190">
        <f t="shared" si="36"/>
        <v>0</v>
      </c>
      <c r="FT27" s="190"/>
      <c r="FU27" s="190"/>
      <c r="FV27" s="190"/>
      <c r="FW27" s="190"/>
      <c r="FX27" s="190"/>
      <c r="FY27" s="190"/>
      <c r="FZ27" s="190"/>
      <c r="GA27" s="190"/>
      <c r="GB27" s="190"/>
      <c r="GC27" s="190"/>
      <c r="GD27" s="190"/>
      <c r="GE27" s="190"/>
      <c r="GF27" s="190"/>
      <c r="GG27" s="190"/>
      <c r="GH27" s="190"/>
      <c r="GI27" s="190"/>
      <c r="GJ27" s="190">
        <f t="shared" si="37"/>
        <v>0</v>
      </c>
      <c r="GK27" s="190"/>
      <c r="GL27" s="190"/>
      <c r="GM27" s="190"/>
      <c r="GN27" s="190">
        <f t="shared" si="38"/>
        <v>0</v>
      </c>
      <c r="GO27" s="190"/>
      <c r="GP27" s="190"/>
      <c r="GQ27" s="190"/>
      <c r="GR27" s="190">
        <f t="shared" si="15"/>
        <v>0</v>
      </c>
      <c r="GS27" s="190"/>
      <c r="GT27" s="190"/>
      <c r="GU27" s="190"/>
      <c r="GV27" s="190">
        <f t="shared" si="16"/>
        <v>0</v>
      </c>
      <c r="GW27" s="190"/>
      <c r="GX27" s="190"/>
      <c r="GY27" s="190"/>
      <c r="GZ27" s="190">
        <f t="shared" si="17"/>
        <v>0</v>
      </c>
    </row>
    <row r="30" spans="2:208" ht="11.45" customHeight="1" x14ac:dyDescent="0.2">
      <c r="B30" s="346" t="s">
        <v>326</v>
      </c>
      <c r="C30" s="347"/>
      <c r="D30" s="347"/>
      <c r="E30" s="348"/>
      <c r="G30" s="230"/>
      <c r="H30" s="230"/>
      <c r="I30" s="230"/>
      <c r="J30" s="230"/>
      <c r="K30" s="230"/>
      <c r="L30" s="230"/>
      <c r="M30" s="230"/>
      <c r="N30" s="230"/>
      <c r="O30" s="230"/>
      <c r="P30" s="230"/>
      <c r="Q30" s="230"/>
      <c r="R30" s="230"/>
      <c r="S30" s="230"/>
      <c r="T30" s="230"/>
      <c r="U30" s="230"/>
      <c r="V30" s="231">
        <f>SUMIF(rngHead,"Income",CFAmountYr10)</f>
        <v>0</v>
      </c>
      <c r="W30" s="230"/>
      <c r="X30" s="230"/>
      <c r="Y30" s="230"/>
      <c r="Z30" s="230"/>
      <c r="AA30" s="230"/>
      <c r="AB30" s="230"/>
      <c r="AC30" s="230"/>
      <c r="AD30" s="230"/>
      <c r="AE30" s="230"/>
      <c r="AF30" s="230"/>
      <c r="AG30" s="230"/>
      <c r="AH30" s="230"/>
      <c r="AI30" s="230"/>
      <c r="AJ30" s="230"/>
      <c r="AK30" s="230"/>
      <c r="AL30" s="230"/>
      <c r="AM30" s="231">
        <f>SUMIF(rngHead,"Income",CFAmountYr9)</f>
        <v>0</v>
      </c>
      <c r="AN30" s="230">
        <f t="shared" ref="AN30" si="39">SUMIF(rngHead,"Income",CFAmountYr10)</f>
        <v>0</v>
      </c>
      <c r="AO30" s="230"/>
      <c r="AP30" s="230"/>
      <c r="AQ30" s="230"/>
      <c r="AR30" s="230"/>
      <c r="AS30" s="230"/>
      <c r="AT30" s="230"/>
      <c r="AU30" s="230"/>
      <c r="AV30" s="230"/>
      <c r="AW30" s="230"/>
      <c r="AX30" s="230"/>
      <c r="AY30" s="230"/>
      <c r="AZ30" s="230"/>
      <c r="BA30" s="230"/>
      <c r="BB30" s="230"/>
      <c r="BC30" s="230"/>
      <c r="BD30" s="231">
        <f>SUMIF(rngHead,"Income",CFAmountYr8)</f>
        <v>0</v>
      </c>
      <c r="BE30" s="230">
        <f t="shared" ref="BE30" si="40">SUMIF(rngHead,"Income",CFAmountYr10)</f>
        <v>0</v>
      </c>
      <c r="BF30" s="230"/>
      <c r="BG30" s="230"/>
      <c r="BH30" s="230"/>
      <c r="BI30" s="230"/>
      <c r="BJ30" s="230"/>
      <c r="BK30" s="230"/>
      <c r="BL30" s="230"/>
      <c r="BM30" s="230"/>
      <c r="BN30" s="230"/>
      <c r="BO30" s="230"/>
      <c r="BP30" s="230"/>
      <c r="BQ30" s="230"/>
      <c r="BR30" s="230"/>
      <c r="BS30" s="230"/>
      <c r="BT30" s="230"/>
      <c r="BU30" s="231">
        <f>SUMIF(rngHead,"Income",CFAmountYr7)</f>
        <v>0</v>
      </c>
      <c r="BV30" s="230">
        <f t="shared" ref="BV30" si="41">SUMIF(rngHead,"Income",CFAmountYr10)</f>
        <v>0</v>
      </c>
      <c r="BW30" s="230"/>
      <c r="BX30" s="230"/>
      <c r="BY30" s="230"/>
      <c r="BZ30" s="230"/>
      <c r="CA30" s="230"/>
      <c r="CB30" s="230"/>
      <c r="CC30" s="230"/>
      <c r="CD30" s="230"/>
      <c r="CE30" s="230"/>
      <c r="CF30" s="230"/>
      <c r="CG30" s="230"/>
      <c r="CH30" s="230"/>
      <c r="CI30" s="230"/>
      <c r="CJ30" s="230"/>
      <c r="CK30" s="230"/>
      <c r="CL30" s="231">
        <f>SUMIF(rngHead,"Income",CFAmountYr6)</f>
        <v>0</v>
      </c>
      <c r="CM30" s="230">
        <f t="shared" ref="CM30" si="42">SUMIF(rngHead,"Income",CFAmountYr10)</f>
        <v>0</v>
      </c>
      <c r="CN30" s="230"/>
      <c r="CO30" s="230"/>
      <c r="CP30" s="230"/>
      <c r="CQ30" s="230"/>
      <c r="CR30" s="230"/>
      <c r="CS30" s="230"/>
      <c r="CT30" s="230"/>
      <c r="CU30" s="230"/>
      <c r="CV30" s="230"/>
      <c r="CW30" s="230"/>
      <c r="CX30" s="230"/>
      <c r="CY30" s="230"/>
      <c r="CZ30" s="230"/>
      <c r="DA30" s="230"/>
      <c r="DB30" s="230"/>
      <c r="DC30" s="231">
        <f>SUMIF(rngHead,"Income",CFAmountYr5)</f>
        <v>0</v>
      </c>
      <c r="DD30" s="230">
        <f t="shared" ref="DD30" si="43">SUMIF(rngHead,"Income",CFAmountYr10)</f>
        <v>0</v>
      </c>
      <c r="DE30" s="230"/>
      <c r="DF30" s="230"/>
      <c r="DG30" s="230"/>
      <c r="DH30" s="230"/>
      <c r="DI30" s="230"/>
      <c r="DJ30" s="230"/>
      <c r="DK30" s="230"/>
      <c r="DL30" s="230"/>
      <c r="DM30" s="230"/>
      <c r="DN30" s="230"/>
      <c r="DO30" s="230"/>
      <c r="DP30" s="230"/>
      <c r="DQ30" s="230"/>
      <c r="DR30" s="230"/>
      <c r="DS30" s="230"/>
      <c r="DT30" s="231">
        <f>SUMIF(rngHead,"Income",CFAmountYr4)</f>
        <v>0</v>
      </c>
      <c r="DU30" s="230">
        <f t="shared" ref="DU30" si="44">SUMIF(rngHead,"Income",CFAmountYr10)</f>
        <v>0</v>
      </c>
      <c r="DV30" s="230"/>
      <c r="DW30" s="230"/>
      <c r="DX30" s="230"/>
      <c r="DY30" s="230"/>
      <c r="DZ30" s="230"/>
      <c r="EA30" s="230"/>
      <c r="EB30" s="230"/>
      <c r="EC30" s="230"/>
      <c r="ED30" s="230"/>
      <c r="EE30" s="230"/>
      <c r="EF30" s="230"/>
      <c r="EG30" s="230"/>
      <c r="EH30" s="230"/>
      <c r="EI30" s="230"/>
      <c r="EJ30" s="230"/>
      <c r="EK30" s="231">
        <f>SUMIF(rngHead,"Income",CFAmountYr3)</f>
        <v>0</v>
      </c>
      <c r="EL30" s="230">
        <f t="shared" ref="EL30" si="45">SUMIF(rngHead,"Income",CFAmountYr10)</f>
        <v>0</v>
      </c>
      <c r="EM30" s="230"/>
      <c r="EN30" s="230"/>
      <c r="EO30" s="230"/>
      <c r="EP30" s="230"/>
      <c r="EQ30" s="230"/>
      <c r="ER30" s="230"/>
      <c r="ES30" s="230"/>
      <c r="ET30" s="230"/>
      <c r="EU30" s="230"/>
      <c r="EV30" s="230"/>
      <c r="EW30" s="230"/>
      <c r="EX30" s="230"/>
      <c r="EY30" s="230"/>
      <c r="EZ30" s="230"/>
      <c r="FA30" s="230"/>
      <c r="FB30" s="231">
        <f>SUMIF(rngHead,"Income",CFAmountYr2)</f>
        <v>0</v>
      </c>
      <c r="FC30" s="230">
        <f t="shared" ref="FC30:GG30" si="46">SUMIF(rngHead,"Income",CFAmountYr10)</f>
        <v>0</v>
      </c>
      <c r="FD30" s="230"/>
      <c r="FE30" s="230"/>
      <c r="FF30" s="230"/>
      <c r="FG30" s="230"/>
      <c r="FH30" s="230"/>
      <c r="FI30" s="230"/>
      <c r="FJ30" s="230"/>
      <c r="FK30" s="230"/>
      <c r="FL30" s="230"/>
      <c r="FM30" s="230"/>
      <c r="FN30" s="230"/>
      <c r="FO30" s="230"/>
      <c r="FP30" s="230"/>
      <c r="FQ30" s="230"/>
      <c r="FR30" s="230"/>
      <c r="FS30" s="231">
        <f>SUMIF(rngHead,"Income",CFAmountYr1)</f>
        <v>0</v>
      </c>
      <c r="FT30" s="230"/>
      <c r="FU30" s="230"/>
      <c r="FV30" s="230"/>
      <c r="FW30" s="230"/>
      <c r="FX30" s="230"/>
      <c r="FY30" s="230"/>
      <c r="FZ30" s="230"/>
      <c r="GA30" s="230"/>
      <c r="GB30" s="230"/>
      <c r="GC30" s="230"/>
      <c r="GD30" s="230"/>
      <c r="GE30" s="230"/>
      <c r="GF30" s="230"/>
      <c r="GG30" s="230">
        <f t="shared" si="46"/>
        <v>0</v>
      </c>
      <c r="GH30" s="230"/>
      <c r="GI30" s="230"/>
      <c r="GJ30" s="231">
        <f>SUMIF(rngHead,"Income",CFAmountYrTTM)</f>
        <v>0</v>
      </c>
      <c r="GK30" s="230">
        <f t="shared" ref="GK30" si="47">SUMIF(rngHead,"Income",CFAmountYr10)</f>
        <v>0</v>
      </c>
      <c r="GL30" s="289"/>
      <c r="GM30" s="289"/>
      <c r="GN30" s="231">
        <f>SUMIF(rngHead,"Income",CFAmountYrYTD)</f>
        <v>0</v>
      </c>
      <c r="GO30" s="230"/>
      <c r="GP30" s="230"/>
      <c r="GQ30" s="230"/>
      <c r="GR30" s="231">
        <f>SUMIF(rngHead,"Income",CFAmountYrAppraisal)</f>
        <v>0</v>
      </c>
      <c r="GS30" s="230"/>
      <c r="GT30" s="230"/>
      <c r="GU30" s="230"/>
      <c r="GV30" s="231">
        <f>SUMIF(rngHead,"Income",CFAmountYrBudget)</f>
        <v>0</v>
      </c>
      <c r="GW30" s="230"/>
      <c r="GZ30" s="231">
        <f>SUMIF(rngHead,"Income",CFAmountYrProforma)</f>
        <v>0</v>
      </c>
    </row>
    <row r="31" spans="2:208" ht="11.45" customHeight="1" x14ac:dyDescent="0.2">
      <c r="B31" s="346" t="s">
        <v>83</v>
      </c>
      <c r="C31" s="347"/>
      <c r="D31" s="347"/>
      <c r="E31" s="348"/>
      <c r="G31" s="230"/>
      <c r="H31" s="230"/>
      <c r="I31" s="230"/>
      <c r="J31" s="230"/>
      <c r="K31" s="230"/>
      <c r="L31" s="230"/>
      <c r="M31" s="230"/>
      <c r="N31" s="230"/>
      <c r="O31" s="230"/>
      <c r="P31" s="230"/>
      <c r="Q31" s="230"/>
      <c r="R31" s="230"/>
      <c r="S31" s="230"/>
      <c r="T31" s="230"/>
      <c r="U31" s="230"/>
      <c r="V31" s="231">
        <f>SUMIF(rngHead,"Expense",CFAmountYr10)</f>
        <v>0</v>
      </c>
      <c r="W31" s="230"/>
      <c r="X31" s="230"/>
      <c r="Y31" s="230"/>
      <c r="Z31" s="230"/>
      <c r="AA31" s="230"/>
      <c r="AB31" s="230"/>
      <c r="AC31" s="230"/>
      <c r="AD31" s="230"/>
      <c r="AE31" s="230"/>
      <c r="AF31" s="230"/>
      <c r="AG31" s="230"/>
      <c r="AH31" s="230"/>
      <c r="AI31" s="230"/>
      <c r="AJ31" s="230"/>
      <c r="AK31" s="230"/>
      <c r="AL31" s="230"/>
      <c r="AM31" s="231">
        <f>SUMIF(rngHead,"Expense",CFAmountYr9)</f>
        <v>0</v>
      </c>
      <c r="AN31" s="230">
        <f t="shared" ref="AN31" si="48">SUMIF(rngHead,"Expense",CFAmountYr10)</f>
        <v>0</v>
      </c>
      <c r="AO31" s="230"/>
      <c r="AP31" s="230"/>
      <c r="AQ31" s="230"/>
      <c r="AR31" s="230"/>
      <c r="AS31" s="230"/>
      <c r="AT31" s="230"/>
      <c r="AU31" s="230"/>
      <c r="AV31" s="230"/>
      <c r="AW31" s="230"/>
      <c r="AX31" s="230"/>
      <c r="AY31" s="230"/>
      <c r="AZ31" s="230"/>
      <c r="BA31" s="230"/>
      <c r="BB31" s="230"/>
      <c r="BC31" s="230"/>
      <c r="BD31" s="231">
        <f>SUMIF(rngHead,"Expense",CFAmountYr8)</f>
        <v>0</v>
      </c>
      <c r="BE31" s="230">
        <f t="shared" ref="BE31" si="49">SUMIF(rngHead,"Expense",CFAmountYr10)</f>
        <v>0</v>
      </c>
      <c r="BF31" s="230"/>
      <c r="BG31" s="230"/>
      <c r="BH31" s="230"/>
      <c r="BI31" s="230"/>
      <c r="BJ31" s="230"/>
      <c r="BK31" s="230"/>
      <c r="BL31" s="230"/>
      <c r="BM31" s="230"/>
      <c r="BN31" s="230"/>
      <c r="BO31" s="230"/>
      <c r="BP31" s="230"/>
      <c r="BQ31" s="230"/>
      <c r="BR31" s="230"/>
      <c r="BS31" s="230"/>
      <c r="BT31" s="230"/>
      <c r="BU31" s="231">
        <f>SUMIF(rngHead,"Expense",CFAmountYr7)</f>
        <v>0</v>
      </c>
      <c r="BV31" s="230">
        <f t="shared" ref="BV31" si="50">SUMIF(rngHead,"Expense",CFAmountYr10)</f>
        <v>0</v>
      </c>
      <c r="BW31" s="230"/>
      <c r="BX31" s="230"/>
      <c r="BY31" s="230"/>
      <c r="BZ31" s="230"/>
      <c r="CA31" s="230"/>
      <c r="CB31" s="230"/>
      <c r="CC31" s="230"/>
      <c r="CD31" s="230"/>
      <c r="CE31" s="230"/>
      <c r="CF31" s="230"/>
      <c r="CG31" s="230"/>
      <c r="CH31" s="230"/>
      <c r="CI31" s="230"/>
      <c r="CJ31" s="230"/>
      <c r="CK31" s="230"/>
      <c r="CL31" s="231">
        <f>SUMIF(rngHead,"Expense",CFAmountYr6)</f>
        <v>0</v>
      </c>
      <c r="CM31" s="230">
        <f t="shared" ref="CM31" si="51">SUMIF(rngHead,"Expense",CFAmountYr10)</f>
        <v>0</v>
      </c>
      <c r="CN31" s="230"/>
      <c r="CO31" s="230"/>
      <c r="CP31" s="230"/>
      <c r="CQ31" s="230"/>
      <c r="CR31" s="230"/>
      <c r="CS31" s="230"/>
      <c r="CT31" s="230"/>
      <c r="CU31" s="230"/>
      <c r="CV31" s="230"/>
      <c r="CW31" s="230"/>
      <c r="CX31" s="230"/>
      <c r="CY31" s="230"/>
      <c r="CZ31" s="230"/>
      <c r="DA31" s="230"/>
      <c r="DB31" s="230"/>
      <c r="DC31" s="231">
        <f>SUMIF(rngHead,"Expense",CFAmountYr5)</f>
        <v>0</v>
      </c>
      <c r="DD31" s="230">
        <f t="shared" ref="DD31" si="52">SUMIF(rngHead,"Expense",CFAmountYr10)</f>
        <v>0</v>
      </c>
      <c r="DE31" s="230"/>
      <c r="DF31" s="230"/>
      <c r="DG31" s="230"/>
      <c r="DH31" s="230"/>
      <c r="DI31" s="230"/>
      <c r="DJ31" s="230"/>
      <c r="DK31" s="230"/>
      <c r="DL31" s="230"/>
      <c r="DM31" s="230"/>
      <c r="DN31" s="230"/>
      <c r="DO31" s="230"/>
      <c r="DP31" s="230"/>
      <c r="DQ31" s="230"/>
      <c r="DR31" s="230"/>
      <c r="DS31" s="230"/>
      <c r="DT31" s="231">
        <f>SUMIF(rngHead,"Expense",CFAmountYr4)</f>
        <v>0</v>
      </c>
      <c r="DU31" s="230">
        <f t="shared" ref="DU31" si="53">SUMIF(rngHead,"Expense",CFAmountYr10)</f>
        <v>0</v>
      </c>
      <c r="DV31" s="230"/>
      <c r="DW31" s="230"/>
      <c r="DX31" s="230"/>
      <c r="DY31" s="230"/>
      <c r="DZ31" s="230"/>
      <c r="EA31" s="230"/>
      <c r="EB31" s="230"/>
      <c r="EC31" s="230"/>
      <c r="ED31" s="230"/>
      <c r="EE31" s="230"/>
      <c r="EF31" s="230"/>
      <c r="EG31" s="230"/>
      <c r="EH31" s="230"/>
      <c r="EI31" s="230"/>
      <c r="EJ31" s="230"/>
      <c r="EK31" s="231">
        <f>SUMIF(rngHead,"Expense",CFAmountYr3)</f>
        <v>0</v>
      </c>
      <c r="EL31" s="230">
        <f t="shared" ref="EL31" si="54">SUMIF(rngHead,"Expense",CFAmountYr10)</f>
        <v>0</v>
      </c>
      <c r="EM31" s="230"/>
      <c r="EN31" s="230"/>
      <c r="EO31" s="230"/>
      <c r="EP31" s="230"/>
      <c r="EQ31" s="230"/>
      <c r="ER31" s="230"/>
      <c r="ES31" s="230"/>
      <c r="ET31" s="230"/>
      <c r="EU31" s="230"/>
      <c r="EV31" s="230"/>
      <c r="EW31" s="230"/>
      <c r="EX31" s="230"/>
      <c r="EY31" s="230"/>
      <c r="EZ31" s="230"/>
      <c r="FA31" s="230"/>
      <c r="FB31" s="231">
        <f>SUMIF(rngHead,"Expense",CFAmountYr2)</f>
        <v>0</v>
      </c>
      <c r="FC31" s="230">
        <f t="shared" ref="FC31:GG31" si="55">SUMIF(rngHead,"Expense",CFAmountYr10)</f>
        <v>0</v>
      </c>
      <c r="FD31" s="230"/>
      <c r="FE31" s="230"/>
      <c r="FF31" s="230"/>
      <c r="FG31" s="230"/>
      <c r="FH31" s="230"/>
      <c r="FI31" s="230"/>
      <c r="FJ31" s="230"/>
      <c r="FK31" s="230"/>
      <c r="FL31" s="230"/>
      <c r="FM31" s="230"/>
      <c r="FN31" s="230"/>
      <c r="FO31" s="230"/>
      <c r="FP31" s="230"/>
      <c r="FQ31" s="230"/>
      <c r="FR31" s="230"/>
      <c r="FS31" s="231">
        <f>SUMIF(rngHead,"Expense",CFAmountYr1)</f>
        <v>0</v>
      </c>
      <c r="FT31" s="230"/>
      <c r="FU31" s="230"/>
      <c r="FV31" s="230"/>
      <c r="FW31" s="230"/>
      <c r="FX31" s="230"/>
      <c r="FY31" s="230"/>
      <c r="FZ31" s="230"/>
      <c r="GA31" s="230"/>
      <c r="GB31" s="230"/>
      <c r="GC31" s="230"/>
      <c r="GD31" s="230"/>
      <c r="GE31" s="230"/>
      <c r="GF31" s="230"/>
      <c r="GG31" s="230">
        <f t="shared" si="55"/>
        <v>0</v>
      </c>
      <c r="GH31" s="230"/>
      <c r="GI31" s="230"/>
      <c r="GJ31" s="231">
        <f>SUMIF(rngHead,"Expense",CFAmountYrTTM)</f>
        <v>0</v>
      </c>
      <c r="GK31" s="230">
        <f t="shared" ref="GK31" si="56">SUMIF(rngHead,"Expense",CFAmountYr10)</f>
        <v>0</v>
      </c>
      <c r="GL31" s="289"/>
      <c r="GM31" s="289"/>
      <c r="GN31" s="231">
        <f>SUMIF(rngHead,"Expense",CFAmountYrYTD)</f>
        <v>0</v>
      </c>
      <c r="GO31" s="230"/>
      <c r="GP31" s="230"/>
      <c r="GQ31" s="230"/>
      <c r="GR31" s="231">
        <f>SUMIF(rngHead,"Expense",CFAmountYrAppraisal)</f>
        <v>0</v>
      </c>
      <c r="GS31" s="230"/>
      <c r="GT31" s="230"/>
      <c r="GU31" s="230"/>
      <c r="GV31" s="231">
        <f>SUMIF(rngHead,"Expense",CFAmountYrBudget)</f>
        <v>0</v>
      </c>
      <c r="GW31" s="230"/>
      <c r="GZ31" s="231">
        <f>SUMIF(rngHead,"Expense",CFAmountYrProforma)</f>
        <v>0</v>
      </c>
    </row>
    <row r="32" spans="2:208" ht="11.45" customHeight="1" x14ac:dyDescent="0.2">
      <c r="B32" s="346" t="s">
        <v>328</v>
      </c>
      <c r="C32" s="347"/>
      <c r="D32" s="347"/>
      <c r="E32" s="348"/>
      <c r="G32" s="230"/>
      <c r="H32" s="230"/>
      <c r="I32" s="230"/>
      <c r="J32" s="230"/>
      <c r="K32" s="230"/>
      <c r="L32" s="230"/>
      <c r="M32" s="230"/>
      <c r="N32" s="230"/>
      <c r="O32" s="230"/>
      <c r="P32" s="230"/>
      <c r="Q32" s="230"/>
      <c r="R32" s="230"/>
      <c r="S32" s="230"/>
      <c r="T32" s="230"/>
      <c r="U32" s="230"/>
      <c r="V32" s="231">
        <f>V30-V31</f>
        <v>0</v>
      </c>
      <c r="W32" s="230"/>
      <c r="X32" s="230"/>
      <c r="Y32" s="230"/>
      <c r="Z32" s="230"/>
      <c r="AA32" s="230"/>
      <c r="AB32" s="230"/>
      <c r="AC32" s="230"/>
      <c r="AD32" s="230"/>
      <c r="AE32" s="230"/>
      <c r="AF32" s="230"/>
      <c r="AG32" s="230"/>
      <c r="AH32" s="230"/>
      <c r="AI32" s="230"/>
      <c r="AJ32" s="230"/>
      <c r="AK32" s="230"/>
      <c r="AL32" s="230"/>
      <c r="AM32" s="231">
        <f>AM30-AM31</f>
        <v>0</v>
      </c>
      <c r="AN32" s="230">
        <f t="shared" ref="AN32:BV32" si="57">AN30-AN31</f>
        <v>0</v>
      </c>
      <c r="AO32" s="230"/>
      <c r="AP32" s="230"/>
      <c r="AQ32" s="230"/>
      <c r="AR32" s="230"/>
      <c r="AS32" s="230"/>
      <c r="AT32" s="230"/>
      <c r="AU32" s="230"/>
      <c r="AV32" s="230"/>
      <c r="AW32" s="230"/>
      <c r="AX32" s="230"/>
      <c r="AY32" s="230"/>
      <c r="AZ32" s="230"/>
      <c r="BA32" s="230"/>
      <c r="BB32" s="230"/>
      <c r="BC32" s="230"/>
      <c r="BD32" s="231">
        <f>BD30-BD31</f>
        <v>0</v>
      </c>
      <c r="BE32" s="230">
        <f t="shared" si="57"/>
        <v>0</v>
      </c>
      <c r="BF32" s="230"/>
      <c r="BG32" s="230"/>
      <c r="BH32" s="230"/>
      <c r="BI32" s="230"/>
      <c r="BJ32" s="230"/>
      <c r="BK32" s="230"/>
      <c r="BL32" s="230"/>
      <c r="BM32" s="230"/>
      <c r="BN32" s="230"/>
      <c r="BO32" s="230"/>
      <c r="BP32" s="230"/>
      <c r="BQ32" s="230"/>
      <c r="BR32" s="230"/>
      <c r="BS32" s="230"/>
      <c r="BT32" s="230"/>
      <c r="BU32" s="231">
        <f>BU30-BU31</f>
        <v>0</v>
      </c>
      <c r="BV32" s="230">
        <f t="shared" si="57"/>
        <v>0</v>
      </c>
      <c r="BW32" s="230"/>
      <c r="BX32" s="230"/>
      <c r="BY32" s="230"/>
      <c r="BZ32" s="230"/>
      <c r="CA32" s="230"/>
      <c r="CB32" s="230"/>
      <c r="CC32" s="230"/>
      <c r="CD32" s="230"/>
      <c r="CE32" s="230"/>
      <c r="CF32" s="230"/>
      <c r="CG32" s="230"/>
      <c r="CH32" s="230"/>
      <c r="CI32" s="230"/>
      <c r="CJ32" s="230"/>
      <c r="CK32" s="230"/>
      <c r="CL32" s="231">
        <f>CL30-CL31</f>
        <v>0</v>
      </c>
      <c r="CM32" s="230">
        <f t="shared" ref="CM32:EL32" si="58">CM30-CM31</f>
        <v>0</v>
      </c>
      <c r="CN32" s="230"/>
      <c r="CO32" s="230"/>
      <c r="CP32" s="230"/>
      <c r="CQ32" s="230"/>
      <c r="CR32" s="230"/>
      <c r="CS32" s="230"/>
      <c r="CT32" s="230"/>
      <c r="CU32" s="230"/>
      <c r="CV32" s="230"/>
      <c r="CW32" s="230"/>
      <c r="CX32" s="230"/>
      <c r="CY32" s="230"/>
      <c r="CZ32" s="230"/>
      <c r="DA32" s="230"/>
      <c r="DB32" s="230"/>
      <c r="DC32" s="231">
        <f>DC30-DC31</f>
        <v>0</v>
      </c>
      <c r="DD32" s="230">
        <f t="shared" si="58"/>
        <v>0</v>
      </c>
      <c r="DE32" s="230"/>
      <c r="DF32" s="230"/>
      <c r="DG32" s="230"/>
      <c r="DH32" s="230"/>
      <c r="DI32" s="230"/>
      <c r="DJ32" s="230"/>
      <c r="DK32" s="230"/>
      <c r="DL32" s="230"/>
      <c r="DM32" s="230"/>
      <c r="DN32" s="230"/>
      <c r="DO32" s="230"/>
      <c r="DP32" s="230"/>
      <c r="DQ32" s="230"/>
      <c r="DR32" s="230"/>
      <c r="DS32" s="230"/>
      <c r="DT32" s="231">
        <f>DT30-DT31</f>
        <v>0</v>
      </c>
      <c r="DU32" s="230">
        <f t="shared" si="58"/>
        <v>0</v>
      </c>
      <c r="DV32" s="230"/>
      <c r="DW32" s="230"/>
      <c r="DX32" s="230"/>
      <c r="DY32" s="230"/>
      <c r="DZ32" s="230"/>
      <c r="EA32" s="230"/>
      <c r="EB32" s="230"/>
      <c r="EC32" s="230"/>
      <c r="ED32" s="230"/>
      <c r="EE32" s="230"/>
      <c r="EF32" s="230"/>
      <c r="EG32" s="230"/>
      <c r="EH32" s="230"/>
      <c r="EI32" s="230"/>
      <c r="EJ32" s="230"/>
      <c r="EK32" s="231">
        <f>EK30-EK31</f>
        <v>0</v>
      </c>
      <c r="EL32" s="230">
        <f t="shared" si="58"/>
        <v>0</v>
      </c>
      <c r="EM32" s="230"/>
      <c r="EN32" s="230"/>
      <c r="EO32" s="230"/>
      <c r="EP32" s="230"/>
      <c r="EQ32" s="230"/>
      <c r="ER32" s="230"/>
      <c r="ES32" s="230"/>
      <c r="ET32" s="230"/>
      <c r="EU32" s="230"/>
      <c r="EV32" s="230"/>
      <c r="EW32" s="230"/>
      <c r="EX32" s="230"/>
      <c r="EY32" s="230"/>
      <c r="EZ32" s="230"/>
      <c r="FA32" s="230"/>
      <c r="FB32" s="231">
        <f>FB30-FB31</f>
        <v>0</v>
      </c>
      <c r="FC32" s="230">
        <f t="shared" ref="FC32" si="59">FC30-FC31</f>
        <v>0</v>
      </c>
      <c r="FD32" s="230"/>
      <c r="FE32" s="230"/>
      <c r="FF32" s="230"/>
      <c r="FG32" s="230"/>
      <c r="FH32" s="230"/>
      <c r="FI32" s="230"/>
      <c r="FJ32" s="230"/>
      <c r="FK32" s="230"/>
      <c r="FL32" s="230"/>
      <c r="FM32" s="230"/>
      <c r="FN32" s="230"/>
      <c r="FO32" s="230"/>
      <c r="FP32" s="230"/>
      <c r="FQ32" s="230"/>
      <c r="FR32" s="230"/>
      <c r="FS32" s="231">
        <f>FS30-FS31</f>
        <v>0</v>
      </c>
      <c r="FT32" s="230"/>
      <c r="FU32" s="230"/>
      <c r="FV32" s="230"/>
      <c r="FW32" s="230"/>
      <c r="FX32" s="230"/>
      <c r="FY32" s="230"/>
      <c r="FZ32" s="230"/>
      <c r="GA32" s="230"/>
      <c r="GB32" s="230"/>
      <c r="GC32" s="230"/>
      <c r="GD32" s="230"/>
      <c r="GE32" s="230"/>
      <c r="GF32" s="230"/>
      <c r="GG32" s="230">
        <f>GG30-GG31</f>
        <v>0</v>
      </c>
      <c r="GH32" s="230"/>
      <c r="GI32" s="230"/>
      <c r="GJ32" s="231">
        <f>GJ30-GJ31</f>
        <v>0</v>
      </c>
      <c r="GK32" s="230">
        <f>GK30-GK31</f>
        <v>0</v>
      </c>
      <c r="GL32" s="289"/>
      <c r="GM32" s="289"/>
      <c r="GN32" s="231">
        <f>GN30-GN31</f>
        <v>0</v>
      </c>
      <c r="GO32" s="230"/>
      <c r="GP32" s="230"/>
      <c r="GQ32" s="230"/>
      <c r="GR32" s="231">
        <f t="shared" ref="GR32" si="60">GR30-GR31</f>
        <v>0</v>
      </c>
      <c r="GS32" s="230"/>
      <c r="GT32" s="230"/>
      <c r="GU32" s="230"/>
      <c r="GV32" s="231">
        <f t="shared" ref="GV32" si="61">GV30-GV31</f>
        <v>0</v>
      </c>
      <c r="GW32" s="230"/>
      <c r="GZ32" s="231">
        <f t="shared" ref="GZ32" si="62">GZ30-GZ31</f>
        <v>0</v>
      </c>
    </row>
    <row r="33" spans="2:208" ht="11.45" customHeight="1" x14ac:dyDescent="0.2">
      <c r="B33" s="346" t="s">
        <v>327</v>
      </c>
      <c r="C33" s="347"/>
      <c r="D33" s="347"/>
      <c r="E33" s="348"/>
      <c r="G33" s="230"/>
      <c r="H33" s="230"/>
      <c r="I33" s="230"/>
      <c r="J33" s="230"/>
      <c r="K33" s="230"/>
      <c r="L33" s="230"/>
      <c r="M33" s="230"/>
      <c r="N33" s="230"/>
      <c r="O33" s="230"/>
      <c r="P33" s="230"/>
      <c r="Q33" s="230"/>
      <c r="R33" s="230"/>
      <c r="S33" s="230"/>
      <c r="T33" s="230"/>
      <c r="U33" s="230"/>
      <c r="V33" s="231">
        <f>SUMIF(rngHead,"Capital Expense",CFAmountYr10)</f>
        <v>0</v>
      </c>
      <c r="W33" s="230"/>
      <c r="X33" s="230"/>
      <c r="Y33" s="230"/>
      <c r="Z33" s="230"/>
      <c r="AA33" s="230"/>
      <c r="AB33" s="230"/>
      <c r="AC33" s="230"/>
      <c r="AD33" s="230"/>
      <c r="AE33" s="230"/>
      <c r="AF33" s="230"/>
      <c r="AG33" s="230"/>
      <c r="AH33" s="230"/>
      <c r="AI33" s="230"/>
      <c r="AJ33" s="230"/>
      <c r="AK33" s="230"/>
      <c r="AL33" s="230"/>
      <c r="AM33" s="231">
        <f>SUMIF(rngHead,"Capital Expense",CFAmountYr9)</f>
        <v>0</v>
      </c>
      <c r="AN33" s="230">
        <f t="shared" ref="AN33" si="63">SUMIF(rngHead,"Capital Expense",CFAmountYr10)</f>
        <v>0</v>
      </c>
      <c r="AO33" s="230"/>
      <c r="AP33" s="230"/>
      <c r="AQ33" s="230"/>
      <c r="AR33" s="230"/>
      <c r="AS33" s="230"/>
      <c r="AT33" s="230"/>
      <c r="AU33" s="230"/>
      <c r="AV33" s="230"/>
      <c r="AW33" s="230"/>
      <c r="AX33" s="230"/>
      <c r="AY33" s="230"/>
      <c r="AZ33" s="230"/>
      <c r="BA33" s="230"/>
      <c r="BB33" s="230"/>
      <c r="BC33" s="230"/>
      <c r="BD33" s="231">
        <f>SUMIF(rngHead,"Capital Expense",CFAmountYr8)</f>
        <v>0</v>
      </c>
      <c r="BE33" s="230">
        <f t="shared" ref="BE33" si="64">SUMIF(rngHead,"Capital Expense",CFAmountYr10)</f>
        <v>0</v>
      </c>
      <c r="BF33" s="230"/>
      <c r="BG33" s="230"/>
      <c r="BH33" s="230"/>
      <c r="BI33" s="230"/>
      <c r="BJ33" s="230"/>
      <c r="BK33" s="230"/>
      <c r="BL33" s="230"/>
      <c r="BM33" s="230"/>
      <c r="BN33" s="230"/>
      <c r="BO33" s="230"/>
      <c r="BP33" s="230"/>
      <c r="BQ33" s="230"/>
      <c r="BR33" s="230"/>
      <c r="BS33" s="230"/>
      <c r="BT33" s="230"/>
      <c r="BU33" s="231">
        <f>SUMIF(rngHead,"Capital Expense",CFAmountYr7)</f>
        <v>0</v>
      </c>
      <c r="BV33" s="230">
        <f t="shared" ref="BV33" si="65">SUMIF(rngHead,"Capital Expense",CFAmountYr10)</f>
        <v>0</v>
      </c>
      <c r="BW33" s="230"/>
      <c r="BX33" s="230"/>
      <c r="BY33" s="230"/>
      <c r="BZ33" s="230"/>
      <c r="CA33" s="230"/>
      <c r="CB33" s="230"/>
      <c r="CC33" s="230"/>
      <c r="CD33" s="230"/>
      <c r="CE33" s="230"/>
      <c r="CF33" s="230"/>
      <c r="CG33" s="230"/>
      <c r="CH33" s="230"/>
      <c r="CI33" s="230"/>
      <c r="CJ33" s="230"/>
      <c r="CK33" s="230"/>
      <c r="CL33" s="231">
        <f>SUMIF(rngHead,"Capital Expense",CFAmountYr6)</f>
        <v>0</v>
      </c>
      <c r="CM33" s="230">
        <f t="shared" ref="CM33" si="66">SUMIF(rngHead,"Capital Expense",CFAmountYr10)</f>
        <v>0</v>
      </c>
      <c r="CN33" s="230"/>
      <c r="CO33" s="230"/>
      <c r="CP33" s="230"/>
      <c r="CQ33" s="230"/>
      <c r="CR33" s="230"/>
      <c r="CS33" s="230"/>
      <c r="CT33" s="230"/>
      <c r="CU33" s="230"/>
      <c r="CV33" s="230"/>
      <c r="CW33" s="230"/>
      <c r="CX33" s="230"/>
      <c r="CY33" s="230"/>
      <c r="CZ33" s="230"/>
      <c r="DA33" s="230"/>
      <c r="DB33" s="230"/>
      <c r="DC33" s="231">
        <f>SUMIF(rngHead,"Capital Expense",CFAmountYr5)</f>
        <v>0</v>
      </c>
      <c r="DD33" s="230">
        <f t="shared" ref="DD33" si="67">SUMIF(rngHead,"Capital Expense",CFAmountYr10)</f>
        <v>0</v>
      </c>
      <c r="DE33" s="230"/>
      <c r="DF33" s="230"/>
      <c r="DG33" s="230"/>
      <c r="DH33" s="230"/>
      <c r="DI33" s="230"/>
      <c r="DJ33" s="230"/>
      <c r="DK33" s="230"/>
      <c r="DL33" s="230"/>
      <c r="DM33" s="230"/>
      <c r="DN33" s="230"/>
      <c r="DO33" s="230"/>
      <c r="DP33" s="230"/>
      <c r="DQ33" s="230"/>
      <c r="DR33" s="230"/>
      <c r="DS33" s="230"/>
      <c r="DT33" s="231">
        <f>SUMIF(rngHead,"Capital Expense",CFAmountYr4)</f>
        <v>0</v>
      </c>
      <c r="DU33" s="230">
        <f t="shared" ref="DU33" si="68">SUMIF(rngHead,"Capital Expense",CFAmountYr10)</f>
        <v>0</v>
      </c>
      <c r="DV33" s="230"/>
      <c r="DW33" s="230"/>
      <c r="DX33" s="230"/>
      <c r="DY33" s="230"/>
      <c r="DZ33" s="230"/>
      <c r="EA33" s="230"/>
      <c r="EB33" s="230"/>
      <c r="EC33" s="230"/>
      <c r="ED33" s="230"/>
      <c r="EE33" s="230"/>
      <c r="EF33" s="230"/>
      <c r="EG33" s="230"/>
      <c r="EH33" s="230"/>
      <c r="EI33" s="230"/>
      <c r="EJ33" s="230"/>
      <c r="EK33" s="231">
        <f>SUMIF(rngHead,"Capital Expense",CFAmountYr3)</f>
        <v>0</v>
      </c>
      <c r="EL33" s="230">
        <f t="shared" ref="EL33" si="69">SUMIF(rngHead,"Capital Expense",CFAmountYr10)</f>
        <v>0</v>
      </c>
      <c r="EM33" s="230"/>
      <c r="EN33" s="230"/>
      <c r="EO33" s="230"/>
      <c r="EP33" s="230"/>
      <c r="EQ33" s="230"/>
      <c r="ER33" s="230"/>
      <c r="ES33" s="230"/>
      <c r="ET33" s="230"/>
      <c r="EU33" s="230"/>
      <c r="EV33" s="230"/>
      <c r="EW33" s="230"/>
      <c r="EX33" s="230"/>
      <c r="EY33" s="230"/>
      <c r="EZ33" s="230"/>
      <c r="FA33" s="230"/>
      <c r="FB33" s="231">
        <f>SUMIF(rngHead,"Capital Expense",CFAmountYr2)</f>
        <v>0</v>
      </c>
      <c r="FC33" s="230">
        <f t="shared" ref="FC33:GG33" si="70">SUMIF(rngHead,"Capital Expense",CFAmountYr10)</f>
        <v>0</v>
      </c>
      <c r="FD33" s="230"/>
      <c r="FE33" s="230"/>
      <c r="FF33" s="230"/>
      <c r="FG33" s="230"/>
      <c r="FH33" s="230"/>
      <c r="FI33" s="230"/>
      <c r="FJ33" s="230"/>
      <c r="FK33" s="230"/>
      <c r="FL33" s="230"/>
      <c r="FM33" s="230"/>
      <c r="FN33" s="230"/>
      <c r="FO33" s="230"/>
      <c r="FP33" s="230"/>
      <c r="FQ33" s="230"/>
      <c r="FR33" s="230"/>
      <c r="FS33" s="231">
        <f>SUMIF(rngHead,"Capital Expense",CFAmountYr1)</f>
        <v>0</v>
      </c>
      <c r="FT33" s="230"/>
      <c r="FU33" s="230"/>
      <c r="FV33" s="230"/>
      <c r="FW33" s="230"/>
      <c r="FX33" s="230"/>
      <c r="FY33" s="230"/>
      <c r="FZ33" s="230"/>
      <c r="GA33" s="230"/>
      <c r="GB33" s="230"/>
      <c r="GC33" s="230"/>
      <c r="GD33" s="230"/>
      <c r="GE33" s="230"/>
      <c r="GF33" s="230"/>
      <c r="GG33" s="230">
        <f t="shared" si="70"/>
        <v>0</v>
      </c>
      <c r="GH33" s="230"/>
      <c r="GI33" s="230"/>
      <c r="GJ33" s="231">
        <f>SUMIF(rngHead,"Capital Expense",CFAmountYrTTM)</f>
        <v>0</v>
      </c>
      <c r="GK33" s="230">
        <f t="shared" ref="GK33" si="71">SUMIF(rngHead,"Capital Expense",CFAmountYr10)</f>
        <v>0</v>
      </c>
      <c r="GL33" s="289"/>
      <c r="GM33" s="289"/>
      <c r="GN33" s="231">
        <f>SUMIF(rngHead,"Capital Expense",CFAmountYrYTD)</f>
        <v>0</v>
      </c>
      <c r="GO33" s="230"/>
      <c r="GP33" s="230"/>
      <c r="GQ33" s="230"/>
      <c r="GR33" s="231">
        <f>SUMIF(rngHead,"Capital Expense",CFAmountYrAppraisal)</f>
        <v>0</v>
      </c>
      <c r="GS33" s="230"/>
      <c r="GT33" s="230"/>
      <c r="GU33" s="230"/>
      <c r="GV33" s="231">
        <f>SUMIF(rngHead,"Capital Expense",CFAmountYrBudget)</f>
        <v>0</v>
      </c>
      <c r="GW33" s="230"/>
      <c r="GZ33" s="231">
        <f>SUMIF(rngHead,"Capital Expense",CFAmountYrProforma)</f>
        <v>0</v>
      </c>
    </row>
    <row r="34" spans="2:208" ht="11.45" customHeight="1" x14ac:dyDescent="0.2">
      <c r="B34" s="346" t="s">
        <v>329</v>
      </c>
      <c r="C34" s="347"/>
      <c r="D34" s="347"/>
      <c r="E34" s="348"/>
      <c r="G34" s="230"/>
      <c r="H34" s="230"/>
      <c r="I34" s="230"/>
      <c r="J34" s="230"/>
      <c r="K34" s="230"/>
      <c r="L34" s="230"/>
      <c r="M34" s="230"/>
      <c r="N34" s="230"/>
      <c r="O34" s="230"/>
      <c r="P34" s="230"/>
      <c r="Q34" s="230"/>
      <c r="R34" s="230"/>
      <c r="S34" s="230"/>
      <c r="T34" s="230"/>
      <c r="U34" s="230"/>
      <c r="V34" s="231">
        <f>V32-V33</f>
        <v>0</v>
      </c>
      <c r="W34" s="230"/>
      <c r="X34" s="230"/>
      <c r="Y34" s="230"/>
      <c r="Z34" s="230"/>
      <c r="AA34" s="230"/>
      <c r="AB34" s="230"/>
      <c r="AC34" s="230"/>
      <c r="AD34" s="230"/>
      <c r="AE34" s="230"/>
      <c r="AF34" s="230"/>
      <c r="AG34" s="230"/>
      <c r="AH34" s="230"/>
      <c r="AI34" s="230"/>
      <c r="AJ34" s="230"/>
      <c r="AK34" s="230"/>
      <c r="AL34" s="230"/>
      <c r="AM34" s="231">
        <f>AM32-AM33</f>
        <v>0</v>
      </c>
      <c r="AN34" s="230">
        <f t="shared" ref="AN34:BV34" si="72">AN32-AN33</f>
        <v>0</v>
      </c>
      <c r="AO34" s="230"/>
      <c r="AP34" s="230"/>
      <c r="AQ34" s="230"/>
      <c r="AR34" s="230"/>
      <c r="AS34" s="230"/>
      <c r="AT34" s="230"/>
      <c r="AU34" s="230"/>
      <c r="AV34" s="230"/>
      <c r="AW34" s="230"/>
      <c r="AX34" s="230"/>
      <c r="AY34" s="230"/>
      <c r="AZ34" s="230"/>
      <c r="BA34" s="230"/>
      <c r="BB34" s="230"/>
      <c r="BC34" s="230"/>
      <c r="BD34" s="231">
        <f>BD32-BD33</f>
        <v>0</v>
      </c>
      <c r="BE34" s="230">
        <f t="shared" si="72"/>
        <v>0</v>
      </c>
      <c r="BF34" s="230"/>
      <c r="BG34" s="230"/>
      <c r="BH34" s="230"/>
      <c r="BI34" s="230"/>
      <c r="BJ34" s="230"/>
      <c r="BK34" s="230"/>
      <c r="BL34" s="230"/>
      <c r="BM34" s="230"/>
      <c r="BN34" s="230"/>
      <c r="BO34" s="230"/>
      <c r="BP34" s="230"/>
      <c r="BQ34" s="230"/>
      <c r="BR34" s="230"/>
      <c r="BS34" s="230"/>
      <c r="BT34" s="230"/>
      <c r="BU34" s="231">
        <f>BU32-BU33</f>
        <v>0</v>
      </c>
      <c r="BV34" s="230">
        <f t="shared" si="72"/>
        <v>0</v>
      </c>
      <c r="BW34" s="230"/>
      <c r="BX34" s="230"/>
      <c r="BY34" s="230"/>
      <c r="BZ34" s="230"/>
      <c r="CA34" s="230"/>
      <c r="CB34" s="230"/>
      <c r="CC34" s="230"/>
      <c r="CD34" s="230"/>
      <c r="CE34" s="230"/>
      <c r="CF34" s="230"/>
      <c r="CG34" s="230"/>
      <c r="CH34" s="230"/>
      <c r="CI34" s="230"/>
      <c r="CJ34" s="230"/>
      <c r="CK34" s="230"/>
      <c r="CL34" s="231">
        <f>CL32-CL33</f>
        <v>0</v>
      </c>
      <c r="CM34" s="230">
        <f t="shared" ref="CM34:EL34" si="73">CM32-CM33</f>
        <v>0</v>
      </c>
      <c r="CN34" s="230"/>
      <c r="CO34" s="230"/>
      <c r="CP34" s="230"/>
      <c r="CQ34" s="230"/>
      <c r="CR34" s="230"/>
      <c r="CS34" s="230"/>
      <c r="CT34" s="230"/>
      <c r="CU34" s="230"/>
      <c r="CV34" s="230"/>
      <c r="CW34" s="230"/>
      <c r="CX34" s="230"/>
      <c r="CY34" s="230"/>
      <c r="CZ34" s="230"/>
      <c r="DA34" s="230"/>
      <c r="DB34" s="230"/>
      <c r="DC34" s="231">
        <f>DC32-DC33</f>
        <v>0</v>
      </c>
      <c r="DD34" s="230">
        <f t="shared" si="73"/>
        <v>0</v>
      </c>
      <c r="DE34" s="230"/>
      <c r="DF34" s="230"/>
      <c r="DG34" s="230"/>
      <c r="DH34" s="230"/>
      <c r="DI34" s="230"/>
      <c r="DJ34" s="230"/>
      <c r="DK34" s="230"/>
      <c r="DL34" s="230"/>
      <c r="DM34" s="230"/>
      <c r="DN34" s="230"/>
      <c r="DO34" s="230"/>
      <c r="DP34" s="230"/>
      <c r="DQ34" s="230"/>
      <c r="DR34" s="230"/>
      <c r="DS34" s="230"/>
      <c r="DT34" s="231">
        <f>DT32-DT33</f>
        <v>0</v>
      </c>
      <c r="DU34" s="230">
        <f t="shared" si="73"/>
        <v>0</v>
      </c>
      <c r="DV34" s="230"/>
      <c r="DW34" s="230"/>
      <c r="DX34" s="230"/>
      <c r="DY34" s="230"/>
      <c r="DZ34" s="230"/>
      <c r="EA34" s="230"/>
      <c r="EB34" s="230"/>
      <c r="EC34" s="230"/>
      <c r="ED34" s="230"/>
      <c r="EE34" s="230"/>
      <c r="EF34" s="230"/>
      <c r="EG34" s="230"/>
      <c r="EH34" s="230"/>
      <c r="EI34" s="230"/>
      <c r="EJ34" s="230"/>
      <c r="EK34" s="231">
        <f>EK32-EK33</f>
        <v>0</v>
      </c>
      <c r="EL34" s="230">
        <f t="shared" si="73"/>
        <v>0</v>
      </c>
      <c r="EM34" s="230"/>
      <c r="EN34" s="230"/>
      <c r="EO34" s="230"/>
      <c r="EP34" s="230"/>
      <c r="EQ34" s="230"/>
      <c r="ER34" s="230"/>
      <c r="ES34" s="230"/>
      <c r="ET34" s="230"/>
      <c r="EU34" s="230"/>
      <c r="EV34" s="230"/>
      <c r="EW34" s="230"/>
      <c r="EX34" s="230"/>
      <c r="EY34" s="230"/>
      <c r="EZ34" s="230"/>
      <c r="FA34" s="230"/>
      <c r="FB34" s="231">
        <f>FB32-FB33</f>
        <v>0</v>
      </c>
      <c r="FC34" s="230">
        <f t="shared" ref="FC34" si="74">FC32-FC33</f>
        <v>0</v>
      </c>
      <c r="FD34" s="230"/>
      <c r="FE34" s="230"/>
      <c r="FF34" s="230"/>
      <c r="FG34" s="230"/>
      <c r="FH34" s="230"/>
      <c r="FI34" s="230"/>
      <c r="FJ34" s="230"/>
      <c r="FK34" s="230"/>
      <c r="FL34" s="230"/>
      <c r="FM34" s="230"/>
      <c r="FN34" s="230"/>
      <c r="FO34" s="230"/>
      <c r="FP34" s="230"/>
      <c r="FQ34" s="230"/>
      <c r="FR34" s="230"/>
      <c r="FS34" s="231">
        <f>FS32-FS33</f>
        <v>0</v>
      </c>
      <c r="FT34" s="230"/>
      <c r="FU34" s="230"/>
      <c r="FV34" s="230"/>
      <c r="FW34" s="230"/>
      <c r="FX34" s="230"/>
      <c r="FY34" s="230"/>
      <c r="FZ34" s="230"/>
      <c r="GA34" s="230"/>
      <c r="GB34" s="230"/>
      <c r="GC34" s="230"/>
      <c r="GD34" s="230"/>
      <c r="GE34" s="230"/>
      <c r="GF34" s="230"/>
      <c r="GG34" s="230">
        <f>GG32-GG33</f>
        <v>0</v>
      </c>
      <c r="GH34" s="230"/>
      <c r="GI34" s="230"/>
      <c r="GJ34" s="231">
        <f>GJ32-GJ33</f>
        <v>0</v>
      </c>
      <c r="GK34" s="230">
        <f>GK32-GK33</f>
        <v>0</v>
      </c>
      <c r="GL34" s="289"/>
      <c r="GM34" s="289"/>
      <c r="GN34" s="231">
        <f>GN32-GN33</f>
        <v>0</v>
      </c>
      <c r="GO34" s="230"/>
      <c r="GP34" s="230"/>
      <c r="GQ34" s="230"/>
      <c r="GR34" s="231">
        <f t="shared" ref="GR34" si="75">GR32-GR33</f>
        <v>0</v>
      </c>
      <c r="GS34" s="230"/>
      <c r="GT34" s="230"/>
      <c r="GU34" s="230"/>
      <c r="GV34" s="231">
        <f t="shared" ref="GV34" si="76">GV32-GV33</f>
        <v>0</v>
      </c>
      <c r="GW34" s="230"/>
      <c r="GZ34" s="231">
        <f t="shared" ref="GZ34" si="77">GZ32-GZ33</f>
        <v>0</v>
      </c>
    </row>
  </sheetData>
  <mergeCells count="6">
    <mergeCell ref="B5:E5"/>
    <mergeCell ref="B34:E34"/>
    <mergeCell ref="B30:E30"/>
    <mergeCell ref="B31:E31"/>
    <mergeCell ref="B32:E32"/>
    <mergeCell ref="B33:E33"/>
  </mergeCells>
  <dataValidations count="2">
    <dataValidation type="list" allowBlank="1" showInputMessage="1" showErrorMessage="1" sqref="B8:B27" xr:uid="{00000000-0002-0000-0500-000000000000}">
      <formula1>INDIRECT($C$7)</formula1>
    </dataValidation>
    <dataValidation type="list" operator="equal" allowBlank="1" showInputMessage="1" showErrorMessage="1" sqref="C8:C27" xr:uid="{00000000-0002-0000-0500-000001000000}">
      <formula1>INDIRECT(SUBSTITUTE(B8," ","_"))</formula1>
    </dataValidation>
  </dataValidations>
  <pageMargins left="0.7" right="0.7" top="0.75" bottom="0.75" header="0.3" footer="0.3"/>
  <pageSetup orientation="portrait" r:id="rId1"/>
  <ignoredErrors>
    <ignoredError sqref="GN33:GZ33 V33:GF33 GG33:GJ33" 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2BC3-EC9C-4E92-A538-AB782309039F}">
          <x14:formula1>
            <xm:f>OFFSET(Validation!$AH$2,MATCH(C8,rng_Category,0),0,COUNTIF(rng_Category,C8),1)</xm:f>
          </x14:formula1>
          <xm:sqref>D8:D27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>
    <tabColor theme="2" tint="-0.499984740745262"/>
    <outlinePr summaryBelow="0"/>
  </sheetPr>
  <dimension ref="A1:XFC46"/>
  <sheetViews>
    <sheetView showGridLines="0" zoomScaleNormal="100" workbookViewId="0">
      <pane xSplit="3" ySplit="5" topLeftCell="D6" activePane="bottomRight" state="frozen"/>
      <selection pane="topRight" activeCell="D1" sqref="D1"/>
      <selection pane="bottomLeft" activeCell="A6" sqref="A6"/>
      <selection pane="bottomRight"/>
    </sheetView>
  </sheetViews>
  <sheetFormatPr defaultColWidth="0" defaultRowHeight="11.45" customHeight="1" zeroHeight="1" outlineLevelRow="2" x14ac:dyDescent="0.2"/>
  <cols>
    <col min="1" max="1" width="2.28515625" style="69" customWidth="1"/>
    <col min="2" max="2" width="29.7109375" style="172" hidden="1" customWidth="1"/>
    <col min="3" max="3" width="30.85546875" style="172" bestFit="1" customWidth="1"/>
    <col min="4" max="4" width="0.5703125" style="196" customWidth="1"/>
    <col min="5" max="14" width="16.7109375" style="69" customWidth="1"/>
    <col min="15" max="15" width="20.85546875" style="69" bestFit="1" customWidth="1"/>
    <col min="16" max="16" width="20.85546875" style="69" customWidth="1"/>
    <col min="17" max="17" width="0.5703125" style="69" customWidth="1"/>
    <col min="18" max="18" width="20.85546875" style="69" customWidth="1"/>
    <col min="19" max="19" width="18.85546875" style="69" customWidth="1"/>
    <col min="20" max="20" width="35.7109375" style="69" customWidth="1"/>
    <col min="21" max="21" width="0.7109375" style="69" customWidth="1"/>
    <col min="22" max="22" width="20.85546875" style="69" customWidth="1"/>
    <col min="23" max="23" width="0.7109375" style="69" customWidth="1"/>
    <col min="24" max="26" width="16.7109375" style="69" customWidth="1"/>
    <col min="27" max="27" width="0.5703125" style="69" customWidth="1"/>
    <col min="28" max="28" width="35.7109375" style="69" customWidth="1"/>
    <col min="29" max="29" width="2.28515625" style="69" customWidth="1"/>
    <col min="30" max="16383" width="3.42578125" style="69" hidden="1"/>
    <col min="16384" max="16384" width="5.85546875" style="69" hidden="1"/>
  </cols>
  <sheetData>
    <row r="1" spans="2:41" ht="11.45" customHeight="1" x14ac:dyDescent="0.2"/>
    <row r="2" spans="2:41" ht="11.45" customHeight="1" x14ac:dyDescent="0.2"/>
    <row r="3" spans="2:41" ht="11.45" customHeight="1" x14ac:dyDescent="0.2"/>
    <row r="4" spans="2:41" ht="11.45" customHeight="1" x14ac:dyDescent="0.2"/>
    <row r="5" spans="2:41" ht="11.45" customHeight="1" x14ac:dyDescent="0.2">
      <c r="B5" s="173" t="s">
        <v>97</v>
      </c>
      <c r="C5" s="81" t="s">
        <v>97</v>
      </c>
      <c r="D5" s="197"/>
      <c r="E5" s="81" t="str">
        <f>IFERROR(Cashflow!V7,"")</f>
        <v/>
      </c>
      <c r="F5" s="81" t="str">
        <f t="shared" ref="F5:N5" si="0">IFERROR(E5+1,"")</f>
        <v/>
      </c>
      <c r="G5" s="81" t="str">
        <f t="shared" si="0"/>
        <v/>
      </c>
      <c r="H5" s="81" t="str">
        <f t="shared" si="0"/>
        <v/>
      </c>
      <c r="I5" s="81" t="str">
        <f t="shared" si="0"/>
        <v/>
      </c>
      <c r="J5" s="81" t="str">
        <f t="shared" si="0"/>
        <v/>
      </c>
      <c r="K5" s="81" t="str">
        <f t="shared" si="0"/>
        <v/>
      </c>
      <c r="L5" s="81" t="str">
        <f t="shared" si="0"/>
        <v/>
      </c>
      <c r="M5" s="81" t="str">
        <f t="shared" si="0"/>
        <v/>
      </c>
      <c r="N5" s="81" t="str">
        <f t="shared" si="0"/>
        <v/>
      </c>
      <c r="O5" s="81" t="str">
        <f>Cashflow!$GJ$7</f>
        <v>Trailing12</v>
      </c>
      <c r="P5" s="81" t="str">
        <f>Cashflow!$GN$7</f>
        <v>YTD Annualized</v>
      </c>
      <c r="Q5" s="83"/>
      <c r="R5" s="81" t="s">
        <v>98</v>
      </c>
      <c r="S5" s="291">
        <v>1</v>
      </c>
      <c r="T5" s="81" t="s">
        <v>99</v>
      </c>
      <c r="U5" s="83"/>
      <c r="V5" s="81" t="s">
        <v>389</v>
      </c>
      <c r="W5" s="83"/>
      <c r="X5" s="81" t="str">
        <f>Cashflow!$GR$7</f>
        <v>Appraisal</v>
      </c>
      <c r="Y5" s="81" t="str">
        <f>Cashflow!$GV$7</f>
        <v>Budget</v>
      </c>
      <c r="Z5" s="81" t="str">
        <f>Cashflow!$GZ$7</f>
        <v>Proforma</v>
      </c>
      <c r="AB5" s="81" t="s">
        <v>99</v>
      </c>
    </row>
    <row r="6" spans="2:41" ht="11.45" customHeight="1" x14ac:dyDescent="0.25">
      <c r="B6" s="172" t="s">
        <v>68</v>
      </c>
      <c r="C6" s="174" t="s">
        <v>68</v>
      </c>
      <c r="D6" s="198"/>
      <c r="E6" s="189">
        <f>SUM(E7:E13)</f>
        <v>0</v>
      </c>
      <c r="F6" s="189">
        <f t="shared" ref="F6:P6" si="1">SUM(F7:F13)</f>
        <v>0</v>
      </c>
      <c r="G6" s="189">
        <f t="shared" si="1"/>
        <v>0</v>
      </c>
      <c r="H6" s="189">
        <f t="shared" si="1"/>
        <v>0</v>
      </c>
      <c r="I6" s="189">
        <f t="shared" si="1"/>
        <v>0</v>
      </c>
      <c r="J6" s="189">
        <f t="shared" si="1"/>
        <v>0</v>
      </c>
      <c r="K6" s="189">
        <f t="shared" si="1"/>
        <v>0</v>
      </c>
      <c r="L6" s="189">
        <f t="shared" si="1"/>
        <v>0</v>
      </c>
      <c r="M6" s="189">
        <f t="shared" si="1"/>
        <v>0</v>
      </c>
      <c r="N6" s="189">
        <f t="shared" si="1"/>
        <v>0</v>
      </c>
      <c r="O6" s="189">
        <f t="shared" si="1"/>
        <v>0</v>
      </c>
      <c r="P6" s="189">
        <f t="shared" si="1"/>
        <v>0</v>
      </c>
      <c r="Q6" s="190"/>
      <c r="R6" s="189">
        <f>SUM(R7:R13)</f>
        <v>0</v>
      </c>
      <c r="S6" s="294"/>
      <c r="T6" s="183"/>
      <c r="U6" s="183"/>
      <c r="V6" s="189">
        <f>SUM(V7:V13)</f>
        <v>0</v>
      </c>
      <c r="W6" s="183"/>
      <c r="X6" s="189">
        <f>SUM(X7:X13)</f>
        <v>0</v>
      </c>
      <c r="Y6" s="189">
        <f>SUM(Y7:Y13)</f>
        <v>0</v>
      </c>
      <c r="Z6" s="189">
        <f>SUM(Z7:Z13)</f>
        <v>0</v>
      </c>
      <c r="AA6" s="183"/>
      <c r="AB6" s="183"/>
      <c r="AC6" s="172"/>
      <c r="AN6" s="296" t="s">
        <v>424</v>
      </c>
    </row>
    <row r="7" spans="2:41" ht="11.45" customHeight="1" outlineLevel="1" x14ac:dyDescent="0.25">
      <c r="B7" s="176" t="s">
        <v>61</v>
      </c>
      <c r="C7" s="229" t="s">
        <v>61</v>
      </c>
      <c r="D7" s="199"/>
      <c r="E7" s="190">
        <f>SUMIF(rng_mf_category,TRIM('CF Summary'!$C7),CFAmountYr10)</f>
        <v>0</v>
      </c>
      <c r="F7" s="190">
        <f>SUMIF(rng_mf_category,TRIM('CF Summary'!$C7),CFAmountYr9)</f>
        <v>0</v>
      </c>
      <c r="G7" s="190">
        <f>SUMIF(rng_mf_category,TRIM('CF Summary'!$C7),CFAmountYr8)</f>
        <v>0</v>
      </c>
      <c r="H7" s="190">
        <f>SUMIF(rng_mf_category,TRIM('CF Summary'!$C7),CFAmountYr7)</f>
        <v>0</v>
      </c>
      <c r="I7" s="190">
        <f>SUMIF(rng_mf_category,TRIM('CF Summary'!$C7),CFAmountYr6)</f>
        <v>0</v>
      </c>
      <c r="J7" s="190">
        <f>SUMIF(rng_mf_category,TRIM('CF Summary'!$C7),CFAmountYr5)</f>
        <v>0</v>
      </c>
      <c r="K7" s="190">
        <f>SUMIF(rng_mf_category,TRIM('CF Summary'!$C7),CFAmountYr4)</f>
        <v>0</v>
      </c>
      <c r="L7" s="190">
        <f>SUMIF(rng_mf_category,TRIM('CF Summary'!$C7),CFAmountYr3)</f>
        <v>0</v>
      </c>
      <c r="M7" s="190">
        <f>SUMIF(rng_mf_category,TRIM('CF Summary'!$C7),CFAmountYr2)</f>
        <v>0</v>
      </c>
      <c r="N7" s="190">
        <f>SUMIF(rng_mf_category,TRIM('CF Summary'!$C7),CFAmountYr1)</f>
        <v>0</v>
      </c>
      <c r="O7" s="190">
        <f>SUMIF(rng_mf_category,TRIM('CF Summary'!$C7),CFAmountYrTTM)</f>
        <v>0</v>
      </c>
      <c r="P7" s="190">
        <f>SUMIF(rng_mf_category,TRIM('CF Summary'!$C7),CFAmountYrYTD)</f>
        <v>0</v>
      </c>
      <c r="Q7" s="190"/>
      <c r="R7" s="235">
        <f>'Rent Roll'!$S$10</f>
        <v>0</v>
      </c>
      <c r="S7" s="295"/>
      <c r="T7" s="183"/>
      <c r="U7" s="183"/>
      <c r="V7" s="203">
        <f>R7</f>
        <v>0</v>
      </c>
      <c r="W7" s="183"/>
      <c r="X7" s="203">
        <f>SUMIF(rng_mf_category,TRIM('CF Summary'!$C7),CFAmountYrAppraisal)</f>
        <v>0</v>
      </c>
      <c r="Y7" s="203">
        <f>SUMIF(rng_mf_category,TRIM('CF Summary'!$C7),CFAmountYrBudget)</f>
        <v>0</v>
      </c>
      <c r="Z7" s="203">
        <f>SUMIF(rng_mf_category,TRIM('CF Summary'!$C7),CFAmountYrProforma)</f>
        <v>0</v>
      </c>
      <c r="AA7" s="183"/>
      <c r="AB7" s="183"/>
      <c r="AC7" s="172"/>
      <c r="AN7" s="297">
        <v>1</v>
      </c>
      <c r="AO7" s="21" t="s">
        <v>421</v>
      </c>
    </row>
    <row r="8" spans="2:41" ht="11.45" customHeight="1" outlineLevel="1" x14ac:dyDescent="0.25">
      <c r="B8" s="176" t="s">
        <v>62</v>
      </c>
      <c r="C8" s="229" t="s">
        <v>62</v>
      </c>
      <c r="D8" s="199"/>
      <c r="E8" s="190">
        <f>SUMIF(rng_mf_category,TRIM('CF Summary'!$C8),CFAmountYr10)</f>
        <v>0</v>
      </c>
      <c r="F8" s="190">
        <f>SUMIF(rng_mf_category,TRIM('CF Summary'!$C8),CFAmountYr9)</f>
        <v>0</v>
      </c>
      <c r="G8" s="190">
        <f>SUMIF(rng_mf_category,TRIM('CF Summary'!$C8),CFAmountYr8)</f>
        <v>0</v>
      </c>
      <c r="H8" s="190">
        <f>SUMIF(rng_mf_category,TRIM('CF Summary'!$C8),CFAmountYr7)</f>
        <v>0</v>
      </c>
      <c r="I8" s="190">
        <f>SUMIF(rng_mf_category,TRIM('CF Summary'!$C8),CFAmountYr6)</f>
        <v>0</v>
      </c>
      <c r="J8" s="190">
        <f>SUMIF(rng_mf_category,TRIM('CF Summary'!$C8),CFAmountYr5)</f>
        <v>0</v>
      </c>
      <c r="K8" s="190">
        <f>SUMIF(rng_mf_category,TRIM('CF Summary'!$C8),CFAmountYr4)</f>
        <v>0</v>
      </c>
      <c r="L8" s="190">
        <f>SUMIF(rng_mf_category,TRIM('CF Summary'!$C8),CFAmountYr3)</f>
        <v>0</v>
      </c>
      <c r="M8" s="190">
        <f>SUMIF(rng_mf_category,TRIM('CF Summary'!$C8),CFAmountYr2)</f>
        <v>0</v>
      </c>
      <c r="N8" s="190">
        <f>SUMIF(rng_mf_category,TRIM('CF Summary'!$C8),CFAmountYr1)</f>
        <v>0</v>
      </c>
      <c r="O8" s="190">
        <f>SUMIF(rng_mf_category,TRIM('CF Summary'!$C8),CFAmountYrTTM)</f>
        <v>0</v>
      </c>
      <c r="P8" s="190">
        <f>SUMIF(rng_mf_category,TRIM('CF Summary'!$C8),CFAmountYrYTD)</f>
        <v>0</v>
      </c>
      <c r="Q8" s="190"/>
      <c r="R8" s="190">
        <f t="shared" ref="R8:R13" si="2">IF(UWCalcMethod=UW_M1,IF($O$6=0,$P8,$O8),IF(UWCalcMethod=UW_M2,$O8,IF(UWCalcMethod=UW_M3,$P8,$O8)))</f>
        <v>0</v>
      </c>
      <c r="S8" s="295"/>
      <c r="T8" s="183"/>
      <c r="U8" s="183"/>
      <c r="V8" s="203">
        <f t="shared" ref="V8:V38" si="3">R8</f>
        <v>0</v>
      </c>
      <c r="W8" s="183"/>
      <c r="X8" s="203">
        <f>SUMIF(rng_mf_category,TRIM('CF Summary'!$C8),CFAmountYrAppraisal)</f>
        <v>0</v>
      </c>
      <c r="Y8" s="203">
        <f>SUMIF(rng_mf_category,TRIM('CF Summary'!$C8),CFAmountYrBudget)</f>
        <v>0</v>
      </c>
      <c r="Z8" s="203">
        <f>SUMIF(rng_mf_category,TRIM('CF Summary'!$C8),CFAmountYrProforma)</f>
        <v>0</v>
      </c>
      <c r="AA8" s="183"/>
      <c r="AB8" s="183"/>
      <c r="AC8" s="172"/>
      <c r="AN8" s="297">
        <v>1</v>
      </c>
      <c r="AO8" s="22" t="s">
        <v>422</v>
      </c>
    </row>
    <row r="9" spans="2:41" ht="11.45" customHeight="1" outlineLevel="1" x14ac:dyDescent="0.25">
      <c r="B9" s="176" t="s">
        <v>63</v>
      </c>
      <c r="C9" s="229" t="s">
        <v>174</v>
      </c>
      <c r="D9" s="199"/>
      <c r="E9" s="190">
        <f>SUMIF(rng_mf_category,TRIM('CF Summary'!$C9),CFAmountYr10)</f>
        <v>0</v>
      </c>
      <c r="F9" s="190">
        <f>SUMIF(rng_mf_category,TRIM('CF Summary'!$C9),CFAmountYr9)</f>
        <v>0</v>
      </c>
      <c r="G9" s="190">
        <f>SUMIF(rng_mf_category,TRIM('CF Summary'!$C9),CFAmountYr8)</f>
        <v>0</v>
      </c>
      <c r="H9" s="190">
        <f>SUMIF(rng_mf_category,TRIM('CF Summary'!$C9),CFAmountYr7)</f>
        <v>0</v>
      </c>
      <c r="I9" s="190">
        <f>SUMIF(rng_mf_category,TRIM('CF Summary'!$C9),CFAmountYr6)</f>
        <v>0</v>
      </c>
      <c r="J9" s="190">
        <f>SUMIF(rng_mf_category,TRIM('CF Summary'!$C9),CFAmountYr5)</f>
        <v>0</v>
      </c>
      <c r="K9" s="190">
        <f>SUMIF(rng_mf_category,TRIM('CF Summary'!$C9),CFAmountYr4)</f>
        <v>0</v>
      </c>
      <c r="L9" s="190">
        <f>SUMIF(rng_mf_category,TRIM('CF Summary'!$C9),CFAmountYr3)</f>
        <v>0</v>
      </c>
      <c r="M9" s="190">
        <f>SUMIF(rng_mf_category,TRIM('CF Summary'!$C9),CFAmountYr2)</f>
        <v>0</v>
      </c>
      <c r="N9" s="190">
        <f>SUMIF(rng_mf_category,TRIM('CF Summary'!$C9),CFAmountYr1)</f>
        <v>0</v>
      </c>
      <c r="O9" s="190">
        <f>SUMIF(rng_mf_category,TRIM('CF Summary'!$C9),CFAmountYrTTM)</f>
        <v>0</v>
      </c>
      <c r="P9" s="190">
        <f>SUMIF(rng_mf_category,TRIM('CF Summary'!$C9),CFAmountYrYTD)</f>
        <v>0</v>
      </c>
      <c r="Q9" s="190"/>
      <c r="R9" s="190">
        <f t="shared" si="2"/>
        <v>0</v>
      </c>
      <c r="S9" s="295"/>
      <c r="T9" s="183"/>
      <c r="U9" s="183"/>
      <c r="V9" s="203">
        <f t="shared" si="3"/>
        <v>0</v>
      </c>
      <c r="W9" s="183"/>
      <c r="X9" s="203">
        <f>SUMIF(rng_mf_category,TRIM('CF Summary'!$C9),CFAmountYrAppraisal)</f>
        <v>0</v>
      </c>
      <c r="Y9" s="203">
        <f>SUMIF(rng_mf_category,TRIM('CF Summary'!$C9),CFAmountYrBudget)</f>
        <v>0</v>
      </c>
      <c r="Z9" s="203">
        <f>SUMIF(rng_mf_category,TRIM('CF Summary'!$C9),CFAmountYrProforma)</f>
        <v>0</v>
      </c>
      <c r="AA9" s="183"/>
      <c r="AB9" s="183"/>
      <c r="AC9" s="172"/>
      <c r="AN9" s="297">
        <v>2</v>
      </c>
      <c r="AO9" s="22" t="s">
        <v>426</v>
      </c>
    </row>
    <row r="10" spans="2:41" ht="11.45" customHeight="1" outlineLevel="1" x14ac:dyDescent="0.25">
      <c r="B10" s="176" t="s">
        <v>64</v>
      </c>
      <c r="C10" s="229" t="s">
        <v>64</v>
      </c>
      <c r="D10" s="199"/>
      <c r="E10" s="190">
        <f>SUMIF(rng_mf_category,TRIM('CF Summary'!$C10),CFAmountYr10)</f>
        <v>0</v>
      </c>
      <c r="F10" s="190">
        <f>SUMIF(rng_mf_category,TRIM('CF Summary'!$C10),CFAmountYr9)</f>
        <v>0</v>
      </c>
      <c r="G10" s="190">
        <f>SUMIF(rng_mf_category,TRIM('CF Summary'!$C10),CFAmountYr8)</f>
        <v>0</v>
      </c>
      <c r="H10" s="190">
        <f>SUMIF(rng_mf_category,TRIM('CF Summary'!$C10),CFAmountYr7)</f>
        <v>0</v>
      </c>
      <c r="I10" s="190">
        <f>SUMIF(rng_mf_category,TRIM('CF Summary'!$C10),CFAmountYr6)</f>
        <v>0</v>
      </c>
      <c r="J10" s="190">
        <f>SUMIF(rng_mf_category,TRIM('CF Summary'!$C10),CFAmountYr5)</f>
        <v>0</v>
      </c>
      <c r="K10" s="190">
        <f>SUMIF(rng_mf_category,TRIM('CF Summary'!$C10),CFAmountYr4)</f>
        <v>0</v>
      </c>
      <c r="L10" s="190">
        <f>SUMIF(rng_mf_category,TRIM('CF Summary'!$C10),CFAmountYr3)</f>
        <v>0</v>
      </c>
      <c r="M10" s="190">
        <f>SUMIF(rng_mf_category,TRIM('CF Summary'!$C10),CFAmountYr2)</f>
        <v>0</v>
      </c>
      <c r="N10" s="190">
        <f>SUMIF(rng_mf_category,TRIM('CF Summary'!$C10),CFAmountYr1)</f>
        <v>0</v>
      </c>
      <c r="O10" s="190">
        <f>SUMIF(rng_mf_category,TRIM('CF Summary'!$C10),CFAmountYrTTM)</f>
        <v>0</v>
      </c>
      <c r="P10" s="190">
        <f>SUMIF(rng_mf_category,TRIM('CF Summary'!$C10),CFAmountYrYTD)</f>
        <v>0</v>
      </c>
      <c r="Q10" s="190"/>
      <c r="R10" s="190">
        <f t="shared" si="2"/>
        <v>0</v>
      </c>
      <c r="S10" s="295"/>
      <c r="T10" s="183"/>
      <c r="U10" s="183"/>
      <c r="V10" s="203">
        <f t="shared" si="3"/>
        <v>0</v>
      </c>
      <c r="W10" s="183"/>
      <c r="X10" s="203">
        <f>SUMIF(rng_mf_category,TRIM('CF Summary'!$C10),CFAmountYrAppraisal)</f>
        <v>0</v>
      </c>
      <c r="Y10" s="203">
        <f>SUMIF(rng_mf_category,TRIM('CF Summary'!$C10),CFAmountYrBudget)</f>
        <v>0</v>
      </c>
      <c r="Z10" s="203">
        <f>SUMIF(rng_mf_category,TRIM('CF Summary'!$C10),CFAmountYrProforma)</f>
        <v>0</v>
      </c>
      <c r="AA10" s="183"/>
      <c r="AB10" s="183"/>
      <c r="AC10" s="172"/>
      <c r="AN10" s="297">
        <v>3</v>
      </c>
      <c r="AO10" s="22" t="s">
        <v>425</v>
      </c>
    </row>
    <row r="11" spans="2:41" ht="11.45" customHeight="1" outlineLevel="1" x14ac:dyDescent="0.2">
      <c r="B11" s="176" t="s">
        <v>65</v>
      </c>
      <c r="C11" s="229" t="s">
        <v>323</v>
      </c>
      <c r="D11" s="199"/>
      <c r="E11" s="190">
        <f>SUMIF(rng_mf_category,TRIM('CF Summary'!$C11),CFAmountYr10)</f>
        <v>0</v>
      </c>
      <c r="F11" s="190">
        <f>SUMIF(rng_mf_category,TRIM('CF Summary'!$C11),CFAmountYr9)</f>
        <v>0</v>
      </c>
      <c r="G11" s="190">
        <f>SUMIF(rng_mf_category,TRIM('CF Summary'!$C11),CFAmountYr8)</f>
        <v>0</v>
      </c>
      <c r="H11" s="190">
        <f>SUMIF(rng_mf_category,TRIM('CF Summary'!$C11),CFAmountYr7)</f>
        <v>0</v>
      </c>
      <c r="I11" s="190">
        <f>SUMIF(rng_mf_category,TRIM('CF Summary'!$C11),CFAmountYr6)</f>
        <v>0</v>
      </c>
      <c r="J11" s="190">
        <f>SUMIF(rng_mf_category,TRIM('CF Summary'!$C11),CFAmountYr5)</f>
        <v>0</v>
      </c>
      <c r="K11" s="190">
        <f>SUMIF(rng_mf_category,TRIM('CF Summary'!$C11),CFAmountYr4)</f>
        <v>0</v>
      </c>
      <c r="L11" s="190">
        <f>SUMIF(rng_mf_category,TRIM('CF Summary'!$C11),CFAmountYr3)</f>
        <v>0</v>
      </c>
      <c r="M11" s="190">
        <f>SUMIF(rng_mf_category,TRIM('CF Summary'!$C11),CFAmountYr2)</f>
        <v>0</v>
      </c>
      <c r="N11" s="190">
        <f>SUMIF(rng_mf_category,TRIM('CF Summary'!$C11),CFAmountYr1)</f>
        <v>0</v>
      </c>
      <c r="O11" s="190">
        <f>SUMIF(rng_mf_category,TRIM('CF Summary'!$C11),CFAmountYrTTM)</f>
        <v>0</v>
      </c>
      <c r="P11" s="190">
        <f>SUMIF(rng_mf_category,TRIM('CF Summary'!$C11),CFAmountYrYTD)</f>
        <v>0</v>
      </c>
      <c r="Q11" s="190"/>
      <c r="R11" s="190">
        <f t="shared" si="2"/>
        <v>0</v>
      </c>
      <c r="S11" s="295"/>
      <c r="T11" s="183"/>
      <c r="U11" s="183"/>
      <c r="V11" s="203">
        <f t="shared" si="3"/>
        <v>0</v>
      </c>
      <c r="W11" s="183"/>
      <c r="X11" s="203">
        <f>SUMIF(rng_mf_category,TRIM('CF Summary'!$C11),CFAmountYrAppraisal)</f>
        <v>0</v>
      </c>
      <c r="Y11" s="203">
        <f>SUMIF(rng_mf_category,TRIM('CF Summary'!$C11),CFAmountYrBudget)</f>
        <v>0</v>
      </c>
      <c r="Z11" s="203">
        <f>SUMIF(rng_mf_category,TRIM('CF Summary'!$C11),CFAmountYrProforma)</f>
        <v>0</v>
      </c>
      <c r="AA11" s="183"/>
      <c r="AB11" s="183"/>
      <c r="AC11" s="172"/>
      <c r="AN11" s="298"/>
    </row>
    <row r="12" spans="2:41" ht="11.45" customHeight="1" outlineLevel="1" x14ac:dyDescent="0.2">
      <c r="B12" s="176" t="s">
        <v>66</v>
      </c>
      <c r="C12" s="229" t="s">
        <v>66</v>
      </c>
      <c r="D12" s="199"/>
      <c r="E12" s="190">
        <f>SUMIF(rng_mf_category,TRIM('CF Summary'!$C12),CFAmountYr10)</f>
        <v>0</v>
      </c>
      <c r="F12" s="190">
        <f>SUMIF(rng_mf_category,TRIM('CF Summary'!$C12),CFAmountYr9)</f>
        <v>0</v>
      </c>
      <c r="G12" s="190">
        <f>SUMIF(rng_mf_category,TRIM('CF Summary'!$C12),CFAmountYr8)</f>
        <v>0</v>
      </c>
      <c r="H12" s="190">
        <f>SUMIF(rng_mf_category,TRIM('CF Summary'!$C12),CFAmountYr7)</f>
        <v>0</v>
      </c>
      <c r="I12" s="190">
        <f>SUMIF(rng_mf_category,TRIM('CF Summary'!$C12),CFAmountYr6)</f>
        <v>0</v>
      </c>
      <c r="J12" s="190">
        <f>SUMIF(rng_mf_category,TRIM('CF Summary'!$C12),CFAmountYr5)</f>
        <v>0</v>
      </c>
      <c r="K12" s="190">
        <f>SUMIF(rng_mf_category,TRIM('CF Summary'!$C12),CFAmountYr4)</f>
        <v>0</v>
      </c>
      <c r="L12" s="190">
        <f>SUMIF(rng_mf_category,TRIM('CF Summary'!$C12),CFAmountYr3)</f>
        <v>0</v>
      </c>
      <c r="M12" s="190">
        <f>SUMIF(rng_mf_category,TRIM('CF Summary'!$C12),CFAmountYr2)</f>
        <v>0</v>
      </c>
      <c r="N12" s="190">
        <f>SUMIF(rng_mf_category,TRIM('CF Summary'!$C12),CFAmountYr1)</f>
        <v>0</v>
      </c>
      <c r="O12" s="190">
        <f>SUMIF(rng_mf_category,TRIM('CF Summary'!$C12),CFAmountYrTTM)</f>
        <v>0</v>
      </c>
      <c r="P12" s="190">
        <f>SUMIF(rng_mf_category,TRIM('CF Summary'!$C12),CFAmountYrYTD)</f>
        <v>0</v>
      </c>
      <c r="Q12" s="190"/>
      <c r="R12" s="190">
        <f t="shared" si="2"/>
        <v>0</v>
      </c>
      <c r="S12" s="295"/>
      <c r="T12" s="183"/>
      <c r="U12" s="183"/>
      <c r="V12" s="203">
        <f t="shared" si="3"/>
        <v>0</v>
      </c>
      <c r="W12" s="183"/>
      <c r="X12" s="203">
        <f>SUMIF(rng_mf_category,TRIM('CF Summary'!$C12),CFAmountYrAppraisal)</f>
        <v>0</v>
      </c>
      <c r="Y12" s="203">
        <f>SUMIF(rng_mf_category,TRIM('CF Summary'!$C12),CFAmountYrBudget)</f>
        <v>0</v>
      </c>
      <c r="Z12" s="203">
        <f>SUMIF(rng_mf_category,TRIM('CF Summary'!$C12),CFAmountYrProforma)</f>
        <v>0</v>
      </c>
      <c r="AA12" s="183"/>
      <c r="AB12" s="183"/>
      <c r="AC12" s="172"/>
      <c r="AN12" s="298"/>
    </row>
    <row r="13" spans="2:41" ht="11.45" customHeight="1" outlineLevel="1" x14ac:dyDescent="0.2">
      <c r="B13" s="176" t="s">
        <v>67</v>
      </c>
      <c r="C13" s="229" t="s">
        <v>67</v>
      </c>
      <c r="D13" s="199"/>
      <c r="E13" s="190">
        <f>SUMIF(rng_mf_category,TRIM('CF Summary'!$C13),CFAmountYr10)</f>
        <v>0</v>
      </c>
      <c r="F13" s="190">
        <f>SUMIF(rng_mf_category,TRIM('CF Summary'!$C13),CFAmountYr9)</f>
        <v>0</v>
      </c>
      <c r="G13" s="190">
        <f>SUMIF(rng_mf_category,TRIM('CF Summary'!$C13),CFAmountYr8)</f>
        <v>0</v>
      </c>
      <c r="H13" s="190">
        <f>SUMIF(rng_mf_category,TRIM('CF Summary'!$C13),CFAmountYr7)</f>
        <v>0</v>
      </c>
      <c r="I13" s="190">
        <f>SUMIF(rng_mf_category,TRIM('CF Summary'!$C13),CFAmountYr6)</f>
        <v>0</v>
      </c>
      <c r="J13" s="190">
        <f>SUMIF(rng_mf_category,TRIM('CF Summary'!$C13),CFAmountYr5)</f>
        <v>0</v>
      </c>
      <c r="K13" s="190">
        <f>SUMIF(rng_mf_category,TRIM('CF Summary'!$C13),CFAmountYr4)</f>
        <v>0</v>
      </c>
      <c r="L13" s="190">
        <f>SUMIF(rng_mf_category,TRIM('CF Summary'!$C13),CFAmountYr3)</f>
        <v>0</v>
      </c>
      <c r="M13" s="190">
        <f>SUMIF(rng_mf_category,TRIM('CF Summary'!$C13),CFAmountYr2)</f>
        <v>0</v>
      </c>
      <c r="N13" s="190">
        <f>SUMIF(rng_mf_category,TRIM('CF Summary'!$C13),CFAmountYr1)</f>
        <v>0</v>
      </c>
      <c r="O13" s="190">
        <f>SUMIF(rng_mf_category,TRIM('CF Summary'!$C13),CFAmountYrTTM)</f>
        <v>0</v>
      </c>
      <c r="P13" s="190">
        <f>SUMIF(rng_mf_category,TRIM('CF Summary'!$C13),CFAmountYrYTD)</f>
        <v>0</v>
      </c>
      <c r="Q13" s="190"/>
      <c r="R13" s="190">
        <f t="shared" si="2"/>
        <v>0</v>
      </c>
      <c r="S13" s="295"/>
      <c r="T13" s="183"/>
      <c r="U13" s="183"/>
      <c r="V13" s="203">
        <f t="shared" si="3"/>
        <v>0</v>
      </c>
      <c r="W13" s="183"/>
      <c r="X13" s="203">
        <f>SUMIF(rng_mf_category,TRIM('CF Summary'!$C13),CFAmountYrAppraisal)</f>
        <v>0</v>
      </c>
      <c r="Y13" s="203">
        <f>SUMIF(rng_mf_category,TRIM('CF Summary'!$C13),CFAmountYrBudget)</f>
        <v>0</v>
      </c>
      <c r="Z13" s="203">
        <f>SUMIF(rng_mf_category,TRIM('CF Summary'!$C13),CFAmountYrProforma)</f>
        <v>0</v>
      </c>
      <c r="AA13" s="183"/>
      <c r="AB13" s="183"/>
      <c r="AC13" s="172"/>
      <c r="AN13" s="298"/>
    </row>
    <row r="14" spans="2:41" ht="11.45" customHeight="1" outlineLevel="1" x14ac:dyDescent="0.2">
      <c r="B14" s="176"/>
      <c r="C14" s="46"/>
      <c r="D14" s="200"/>
      <c r="E14" s="191"/>
      <c r="F14" s="191"/>
      <c r="G14" s="191"/>
      <c r="H14" s="191"/>
      <c r="I14" s="191"/>
      <c r="J14" s="191"/>
      <c r="K14" s="191"/>
      <c r="L14" s="191"/>
      <c r="M14" s="191"/>
      <c r="N14" s="191"/>
      <c r="O14" s="191"/>
      <c r="P14" s="191"/>
      <c r="Q14" s="191"/>
      <c r="R14" s="191"/>
      <c r="S14" s="295"/>
      <c r="T14" s="183"/>
      <c r="U14" s="183"/>
      <c r="V14" s="203"/>
      <c r="W14" s="183"/>
      <c r="X14" s="203"/>
      <c r="Y14" s="203"/>
      <c r="Z14" s="203"/>
      <c r="AA14" s="183"/>
      <c r="AB14" s="183"/>
      <c r="AC14" s="172"/>
      <c r="AN14" s="298"/>
    </row>
    <row r="15" spans="2:41" ht="11.45" customHeight="1" x14ac:dyDescent="0.2">
      <c r="B15" s="172" t="s">
        <v>83</v>
      </c>
      <c r="C15" s="174" t="s">
        <v>100</v>
      </c>
      <c r="D15" s="198"/>
      <c r="E15" s="189">
        <f>SUM(E16,E25)</f>
        <v>0</v>
      </c>
      <c r="F15" s="189">
        <f t="shared" ref="F15:O15" si="4">SUM(F16,F25)</f>
        <v>0</v>
      </c>
      <c r="G15" s="189">
        <f t="shared" si="4"/>
        <v>0</v>
      </c>
      <c r="H15" s="189">
        <f t="shared" si="4"/>
        <v>0</v>
      </c>
      <c r="I15" s="189">
        <f t="shared" si="4"/>
        <v>0</v>
      </c>
      <c r="J15" s="189">
        <f t="shared" si="4"/>
        <v>0</v>
      </c>
      <c r="K15" s="189">
        <f t="shared" si="4"/>
        <v>0</v>
      </c>
      <c r="L15" s="189">
        <f t="shared" si="4"/>
        <v>0</v>
      </c>
      <c r="M15" s="189">
        <f t="shared" si="4"/>
        <v>0</v>
      </c>
      <c r="N15" s="189">
        <f t="shared" si="4"/>
        <v>0</v>
      </c>
      <c r="O15" s="189">
        <f t="shared" si="4"/>
        <v>0</v>
      </c>
      <c r="P15" s="189">
        <f t="shared" ref="P15" si="5">SUM(P16,P25)</f>
        <v>0</v>
      </c>
      <c r="Q15" s="190"/>
      <c r="R15" s="189">
        <f>SUM(R16,R25)</f>
        <v>0</v>
      </c>
      <c r="S15" s="294"/>
      <c r="T15" s="183"/>
      <c r="U15" s="183"/>
      <c r="V15" s="189">
        <f>SUM(V16,V25)</f>
        <v>0</v>
      </c>
      <c r="W15" s="183"/>
      <c r="X15" s="189">
        <f>SUM(X16,X25)</f>
        <v>0</v>
      </c>
      <c r="Y15" s="189">
        <f>SUM(Y16,Y25)</f>
        <v>0</v>
      </c>
      <c r="Z15" s="189">
        <f>SUM(Z16,Z25)</f>
        <v>0</v>
      </c>
      <c r="AA15" s="183"/>
      <c r="AB15" s="183"/>
      <c r="AC15" s="172"/>
    </row>
    <row r="16" spans="2:41" ht="11.45" customHeight="1" outlineLevel="1" x14ac:dyDescent="0.2">
      <c r="B16" s="172" t="s">
        <v>76</v>
      </c>
      <c r="C16" s="178" t="s">
        <v>101</v>
      </c>
      <c r="D16" s="201"/>
      <c r="E16" s="189">
        <f t="shared" ref="E16:O16" si="6">SUM(E17:E23)</f>
        <v>0</v>
      </c>
      <c r="F16" s="189">
        <f t="shared" si="6"/>
        <v>0</v>
      </c>
      <c r="G16" s="189">
        <f t="shared" si="6"/>
        <v>0</v>
      </c>
      <c r="H16" s="189">
        <f t="shared" si="6"/>
        <v>0</v>
      </c>
      <c r="I16" s="189">
        <f t="shared" si="6"/>
        <v>0</v>
      </c>
      <c r="J16" s="189">
        <f t="shared" si="6"/>
        <v>0</v>
      </c>
      <c r="K16" s="189">
        <f t="shared" si="6"/>
        <v>0</v>
      </c>
      <c r="L16" s="189">
        <f t="shared" si="6"/>
        <v>0</v>
      </c>
      <c r="M16" s="189">
        <f t="shared" si="6"/>
        <v>0</v>
      </c>
      <c r="N16" s="189">
        <f t="shared" si="6"/>
        <v>0</v>
      </c>
      <c r="O16" s="189">
        <f t="shared" si="6"/>
        <v>0</v>
      </c>
      <c r="P16" s="189">
        <f t="shared" ref="P16" si="7">SUM(P17:P23)</f>
        <v>0</v>
      </c>
      <c r="Q16" s="190"/>
      <c r="R16" s="189">
        <f>SUM(R17:R23)</f>
        <v>0</v>
      </c>
      <c r="S16" s="294"/>
      <c r="T16" s="183"/>
      <c r="U16" s="183"/>
      <c r="V16" s="189">
        <f>SUM(V17:V23)</f>
        <v>0</v>
      </c>
      <c r="W16" s="183"/>
      <c r="X16" s="189">
        <f>SUM(X17:X23)</f>
        <v>0</v>
      </c>
      <c r="Y16" s="189">
        <f>SUM(Y17:Y23)</f>
        <v>0</v>
      </c>
      <c r="Z16" s="189">
        <f>SUM(Z17:Z23)</f>
        <v>0</v>
      </c>
      <c r="AA16" s="183"/>
      <c r="AB16" s="183"/>
      <c r="AC16" s="172"/>
    </row>
    <row r="17" spans="2:29" ht="11.45" customHeight="1" outlineLevel="2" x14ac:dyDescent="0.2">
      <c r="B17" s="172" t="s">
        <v>69</v>
      </c>
      <c r="C17" s="229" t="s">
        <v>69</v>
      </c>
      <c r="D17" s="199"/>
      <c r="E17" s="190">
        <f>SUMIF(rng_mf_category,TRIM('CF Summary'!$C17),CFAmountYr10)</f>
        <v>0</v>
      </c>
      <c r="F17" s="190">
        <f>SUMIF(rng_mf_category,TRIM('CF Summary'!$C17),CFAmountYr9)</f>
        <v>0</v>
      </c>
      <c r="G17" s="190">
        <f>SUMIF(rng_mf_category,TRIM('CF Summary'!$C17),CFAmountYr8)</f>
        <v>0</v>
      </c>
      <c r="H17" s="190">
        <f>SUMIF(rng_mf_category,TRIM('CF Summary'!$C17),CFAmountYr7)</f>
        <v>0</v>
      </c>
      <c r="I17" s="190">
        <f>SUMIF(rng_mf_category,TRIM('CF Summary'!$C17),CFAmountYr6)</f>
        <v>0</v>
      </c>
      <c r="J17" s="190">
        <f>SUMIF(rng_mf_category,TRIM('CF Summary'!$C17),CFAmountYr5)</f>
        <v>0</v>
      </c>
      <c r="K17" s="190">
        <f>SUMIF(rng_mf_category,TRIM('CF Summary'!$C17),CFAmountYr4)</f>
        <v>0</v>
      </c>
      <c r="L17" s="190">
        <f>SUMIF(rng_mf_category,TRIM('CF Summary'!$C17),CFAmountYr3)</f>
        <v>0</v>
      </c>
      <c r="M17" s="190">
        <f>SUMIF(rng_mf_category,TRIM('CF Summary'!$C17),CFAmountYr2)</f>
        <v>0</v>
      </c>
      <c r="N17" s="190">
        <f>SUMIF(rng_mf_category,TRIM('CF Summary'!$C17),CFAmountYr1)</f>
        <v>0</v>
      </c>
      <c r="O17" s="190">
        <f>SUMIF(rng_mf_category,TRIM('CF Summary'!$C17),CFAmountYrTTM)</f>
        <v>0</v>
      </c>
      <c r="P17" s="190">
        <f>SUMIF(rng_mf_category,TRIM('CF Summary'!$C17),CFAmountYrYTD)</f>
        <v>0</v>
      </c>
      <c r="Q17" s="190"/>
      <c r="R17" s="190">
        <f t="shared" ref="R17:R23" si="8">IF(UWCalcMethod=UW_M1,IF($O$16=0,$P17,$O17),IF(UWCalcMethod=UW_M2,$O17,IF(UWCalcMethod=UW_M3,$P17,$O17)))</f>
        <v>0</v>
      </c>
      <c r="S17" s="295"/>
      <c r="T17" s="183"/>
      <c r="U17" s="183"/>
      <c r="V17" s="203">
        <f t="shared" si="3"/>
        <v>0</v>
      </c>
      <c r="W17" s="183"/>
      <c r="X17" s="203">
        <f>SUMIF(rng_mf_category,TRIM('CF Summary'!$C17),CFAmountYrAppraisal)</f>
        <v>0</v>
      </c>
      <c r="Y17" s="203">
        <f>SUMIF(rng_mf_category,TRIM('CF Summary'!$C17),CFAmountYrBudget)</f>
        <v>0</v>
      </c>
      <c r="Z17" s="203">
        <f>SUMIF(rng_mf_category,TRIM('CF Summary'!$C17),CFAmountYrProforma)</f>
        <v>0</v>
      </c>
      <c r="AA17" s="183"/>
      <c r="AB17" s="183"/>
      <c r="AC17" s="172"/>
    </row>
    <row r="18" spans="2:29" ht="11.45" customHeight="1" outlineLevel="2" x14ac:dyDescent="0.2">
      <c r="B18" s="172" t="s">
        <v>70</v>
      </c>
      <c r="C18" s="229" t="s">
        <v>70</v>
      </c>
      <c r="D18" s="199"/>
      <c r="E18" s="190">
        <f>SUMIF(rng_mf_category,TRIM('CF Summary'!$C18),CFAmountYr10)</f>
        <v>0</v>
      </c>
      <c r="F18" s="190">
        <f>SUMIF(rng_mf_category,TRIM('CF Summary'!$C18),CFAmountYr9)</f>
        <v>0</v>
      </c>
      <c r="G18" s="190">
        <f>SUMIF(rng_mf_category,TRIM('CF Summary'!$C18),CFAmountYr8)</f>
        <v>0</v>
      </c>
      <c r="H18" s="190">
        <f>SUMIF(rng_mf_category,TRIM('CF Summary'!$C18),CFAmountYr7)</f>
        <v>0</v>
      </c>
      <c r="I18" s="190">
        <f>SUMIF(rng_mf_category,TRIM('CF Summary'!$C18),CFAmountYr6)</f>
        <v>0</v>
      </c>
      <c r="J18" s="190">
        <f>SUMIF(rng_mf_category,TRIM('CF Summary'!$C18),CFAmountYr5)</f>
        <v>0</v>
      </c>
      <c r="K18" s="190">
        <f>SUMIF(rng_mf_category,TRIM('CF Summary'!$C18),CFAmountYr4)</f>
        <v>0</v>
      </c>
      <c r="L18" s="190">
        <f>SUMIF(rng_mf_category,TRIM('CF Summary'!$C18),CFAmountYr3)</f>
        <v>0</v>
      </c>
      <c r="M18" s="190">
        <f>SUMIF(rng_mf_category,TRIM('CF Summary'!$C18),CFAmountYr2)</f>
        <v>0</v>
      </c>
      <c r="N18" s="190">
        <f>SUMIF(rng_mf_category,TRIM('CF Summary'!$C18),CFAmountYr1)</f>
        <v>0</v>
      </c>
      <c r="O18" s="190">
        <f>SUMIF(rng_mf_category,TRIM('CF Summary'!$C18),CFAmountYrTTM)</f>
        <v>0</v>
      </c>
      <c r="P18" s="190">
        <f>SUMIF(rng_mf_category,TRIM('CF Summary'!$C18),CFAmountYrYTD)</f>
        <v>0</v>
      </c>
      <c r="Q18" s="190"/>
      <c r="R18" s="190">
        <f t="shared" si="8"/>
        <v>0</v>
      </c>
      <c r="S18" s="295"/>
      <c r="T18" s="183"/>
      <c r="U18" s="183"/>
      <c r="V18" s="203">
        <f t="shared" si="3"/>
        <v>0</v>
      </c>
      <c r="W18" s="183"/>
      <c r="X18" s="203">
        <f>SUMIF(rng_mf_category,TRIM('CF Summary'!$C18),CFAmountYrAppraisal)</f>
        <v>0</v>
      </c>
      <c r="Y18" s="203">
        <f>SUMIF(rng_mf_category,TRIM('CF Summary'!$C18),CFAmountYrBudget)</f>
        <v>0</v>
      </c>
      <c r="Z18" s="203">
        <f>SUMIF(rng_mf_category,TRIM('CF Summary'!$C18),CFAmountYrProforma)</f>
        <v>0</v>
      </c>
      <c r="AA18" s="183"/>
      <c r="AB18" s="183"/>
      <c r="AC18" s="172"/>
    </row>
    <row r="19" spans="2:29" ht="11.45" customHeight="1" outlineLevel="2" x14ac:dyDescent="0.2">
      <c r="B19" s="172" t="s">
        <v>71</v>
      </c>
      <c r="C19" s="229" t="s">
        <v>71</v>
      </c>
      <c r="D19" s="199"/>
      <c r="E19" s="190">
        <f>SUMIF(rng_mf_category,TRIM('CF Summary'!$C19),CFAmountYr10)</f>
        <v>0</v>
      </c>
      <c r="F19" s="190">
        <f>SUMIF(rng_mf_category,TRIM('CF Summary'!$C19),CFAmountYr9)</f>
        <v>0</v>
      </c>
      <c r="G19" s="190">
        <f>SUMIF(rng_mf_category,TRIM('CF Summary'!$C19),CFAmountYr8)</f>
        <v>0</v>
      </c>
      <c r="H19" s="190">
        <f>SUMIF(rng_mf_category,TRIM('CF Summary'!$C19),CFAmountYr7)</f>
        <v>0</v>
      </c>
      <c r="I19" s="190">
        <f>SUMIF(rng_mf_category,TRIM('CF Summary'!$C19),CFAmountYr6)</f>
        <v>0</v>
      </c>
      <c r="J19" s="190">
        <f>SUMIF(rng_mf_category,TRIM('CF Summary'!$C19),CFAmountYr5)</f>
        <v>0</v>
      </c>
      <c r="K19" s="190">
        <f>SUMIF(rng_mf_category,TRIM('CF Summary'!$C19),CFAmountYr4)</f>
        <v>0</v>
      </c>
      <c r="L19" s="190">
        <f>SUMIF(rng_mf_category,TRIM('CF Summary'!$C19),CFAmountYr3)</f>
        <v>0</v>
      </c>
      <c r="M19" s="190">
        <f>SUMIF(rng_mf_category,TRIM('CF Summary'!$C19),CFAmountYr2)</f>
        <v>0</v>
      </c>
      <c r="N19" s="190">
        <f>SUMIF(rng_mf_category,TRIM('CF Summary'!$C19),CFAmountYr1)</f>
        <v>0</v>
      </c>
      <c r="O19" s="190">
        <f>SUMIF(rng_mf_category,TRIM('CF Summary'!$C19),CFAmountYrTTM)</f>
        <v>0</v>
      </c>
      <c r="P19" s="190">
        <f>SUMIF(rng_mf_category,TRIM('CF Summary'!$C19),CFAmountYrYTD)</f>
        <v>0</v>
      </c>
      <c r="Q19" s="190"/>
      <c r="R19" s="190">
        <f t="shared" si="8"/>
        <v>0</v>
      </c>
      <c r="S19" s="295"/>
      <c r="T19" s="183"/>
      <c r="U19" s="183"/>
      <c r="V19" s="203">
        <f t="shared" si="3"/>
        <v>0</v>
      </c>
      <c r="W19" s="183"/>
      <c r="X19" s="203">
        <f>SUMIF(rng_mf_category,TRIM('CF Summary'!$C19),CFAmountYrAppraisal)</f>
        <v>0</v>
      </c>
      <c r="Y19" s="203">
        <f>SUMIF(rng_mf_category,TRIM('CF Summary'!$C19),CFAmountYrBudget)</f>
        <v>0</v>
      </c>
      <c r="Z19" s="203">
        <f>SUMIF(rng_mf_category,TRIM('CF Summary'!$C19),CFAmountYrProforma)</f>
        <v>0</v>
      </c>
      <c r="AA19" s="183"/>
      <c r="AB19" s="183"/>
      <c r="AC19" s="172"/>
    </row>
    <row r="20" spans="2:29" ht="11.45" customHeight="1" outlineLevel="2" x14ac:dyDescent="0.2">
      <c r="B20" s="172" t="s">
        <v>44</v>
      </c>
      <c r="C20" s="229" t="s">
        <v>44</v>
      </c>
      <c r="D20" s="199"/>
      <c r="E20" s="190">
        <f>SUMIF(rng_mf_category,TRIM('CF Summary'!$C20),CFAmountYr10)</f>
        <v>0</v>
      </c>
      <c r="F20" s="190">
        <f>SUMIF(rng_mf_category,TRIM('CF Summary'!$C20),CFAmountYr9)</f>
        <v>0</v>
      </c>
      <c r="G20" s="190">
        <f>SUMIF(rng_mf_category,TRIM('CF Summary'!$C20),CFAmountYr8)</f>
        <v>0</v>
      </c>
      <c r="H20" s="190">
        <f>SUMIF(rng_mf_category,TRIM('CF Summary'!$C20),CFAmountYr7)</f>
        <v>0</v>
      </c>
      <c r="I20" s="190">
        <f>SUMIF(rng_mf_category,TRIM('CF Summary'!$C20),CFAmountYr6)</f>
        <v>0</v>
      </c>
      <c r="J20" s="190">
        <f>SUMIF(rng_mf_category,TRIM('CF Summary'!$C20),CFAmountYr5)</f>
        <v>0</v>
      </c>
      <c r="K20" s="190">
        <f>SUMIF(rng_mf_category,TRIM('CF Summary'!$C20),CFAmountYr4)</f>
        <v>0</v>
      </c>
      <c r="L20" s="190">
        <f>SUMIF(rng_mf_category,TRIM('CF Summary'!$C20),CFAmountYr3)</f>
        <v>0</v>
      </c>
      <c r="M20" s="190">
        <f>SUMIF(rng_mf_category,TRIM('CF Summary'!$C20),CFAmountYr2)</f>
        <v>0</v>
      </c>
      <c r="N20" s="190">
        <f>SUMIF(rng_mf_category,TRIM('CF Summary'!$C20),CFAmountYr1)</f>
        <v>0</v>
      </c>
      <c r="O20" s="190">
        <f>SUMIF(rng_mf_category,TRIM('CF Summary'!$C20),CFAmountYrTTM)</f>
        <v>0</v>
      </c>
      <c r="P20" s="190">
        <f>SUMIF(rng_mf_category,TRIM('CF Summary'!$C20),CFAmountYrYTD)</f>
        <v>0</v>
      </c>
      <c r="Q20" s="190"/>
      <c r="R20" s="190">
        <f t="shared" si="8"/>
        <v>0</v>
      </c>
      <c r="S20" s="295"/>
      <c r="T20" s="183"/>
      <c r="U20" s="183"/>
      <c r="V20" s="203">
        <f t="shared" si="3"/>
        <v>0</v>
      </c>
      <c r="W20" s="183"/>
      <c r="X20" s="203">
        <f>SUMIF(rng_mf_category,TRIM('CF Summary'!$C20),CFAmountYrAppraisal)</f>
        <v>0</v>
      </c>
      <c r="Y20" s="203">
        <f>SUMIF(rng_mf_category,TRIM('CF Summary'!$C20),CFAmountYrBudget)</f>
        <v>0</v>
      </c>
      <c r="Z20" s="203">
        <f>SUMIF(rng_mf_category,TRIM('CF Summary'!$C20),CFAmountYrProforma)</f>
        <v>0</v>
      </c>
      <c r="AA20" s="183"/>
      <c r="AB20" s="183"/>
      <c r="AC20" s="172"/>
    </row>
    <row r="21" spans="2:29" ht="11.45" customHeight="1" outlineLevel="2" x14ac:dyDescent="0.2">
      <c r="B21" s="172" t="s">
        <v>72</v>
      </c>
      <c r="C21" s="229" t="s">
        <v>336</v>
      </c>
      <c r="D21" s="199"/>
      <c r="E21" s="190">
        <f>SUMIF(rng_mf_category,TRIM('CF Summary'!$C21),CFAmountYr10)</f>
        <v>0</v>
      </c>
      <c r="F21" s="190">
        <f>SUMIF(rng_mf_category,TRIM('CF Summary'!$C21),CFAmountYr9)</f>
        <v>0</v>
      </c>
      <c r="G21" s="190">
        <f>SUMIF(rng_mf_category,TRIM('CF Summary'!$C21),CFAmountYr8)</f>
        <v>0</v>
      </c>
      <c r="H21" s="190">
        <f>SUMIF(rng_mf_category,TRIM('CF Summary'!$C21),CFAmountYr7)</f>
        <v>0</v>
      </c>
      <c r="I21" s="190">
        <f>SUMIF(rng_mf_category,TRIM('CF Summary'!$C21),CFAmountYr6)</f>
        <v>0</v>
      </c>
      <c r="J21" s="190">
        <f>SUMIF(rng_mf_category,TRIM('CF Summary'!$C21),CFAmountYr5)</f>
        <v>0</v>
      </c>
      <c r="K21" s="190">
        <f>SUMIF(rng_mf_category,TRIM('CF Summary'!$C21),CFAmountYr4)</f>
        <v>0</v>
      </c>
      <c r="L21" s="190">
        <f>SUMIF(rng_mf_category,TRIM('CF Summary'!$C21),CFAmountYr3)</f>
        <v>0</v>
      </c>
      <c r="M21" s="190">
        <f>SUMIF(rng_mf_category,TRIM('CF Summary'!$C21),CFAmountYr2)</f>
        <v>0</v>
      </c>
      <c r="N21" s="190">
        <f>SUMIF(rng_mf_category,TRIM('CF Summary'!$C21),CFAmountYr1)</f>
        <v>0</v>
      </c>
      <c r="O21" s="190">
        <f>SUMIF(rng_mf_category,TRIM('CF Summary'!$C21),CFAmountYrTTM)</f>
        <v>0</v>
      </c>
      <c r="P21" s="190">
        <f>SUMIF(rng_mf_category,TRIM('CF Summary'!$C21),CFAmountYrYTD)</f>
        <v>0</v>
      </c>
      <c r="Q21" s="190"/>
      <c r="R21" s="190">
        <f t="shared" si="8"/>
        <v>0</v>
      </c>
      <c r="S21" s="295"/>
      <c r="T21" s="183"/>
      <c r="U21" s="183"/>
      <c r="V21" s="203">
        <f t="shared" si="3"/>
        <v>0</v>
      </c>
      <c r="W21" s="183"/>
      <c r="X21" s="203">
        <f>SUMIF(rng_mf_category,TRIM('CF Summary'!$C21),CFAmountYrAppraisal)</f>
        <v>0</v>
      </c>
      <c r="Y21" s="203">
        <f>SUMIF(rng_mf_category,TRIM('CF Summary'!$C21),CFAmountYrBudget)</f>
        <v>0</v>
      </c>
      <c r="Z21" s="203">
        <f>SUMIF(rng_mf_category,TRIM('CF Summary'!$C21),CFAmountYrProforma)</f>
        <v>0</v>
      </c>
      <c r="AA21" s="183"/>
      <c r="AB21" s="183"/>
      <c r="AC21" s="172"/>
    </row>
    <row r="22" spans="2:29" ht="11.45" customHeight="1" outlineLevel="2" x14ac:dyDescent="0.2">
      <c r="B22" s="172" t="s">
        <v>73</v>
      </c>
      <c r="C22" s="229" t="s">
        <v>337</v>
      </c>
      <c r="D22" s="199"/>
      <c r="E22" s="190">
        <f>SUMIF(rng_mf_category,TRIM('CF Summary'!$C22),CFAmountYr10)</f>
        <v>0</v>
      </c>
      <c r="F22" s="190">
        <f>SUMIF(rng_mf_category,TRIM('CF Summary'!$C22),CFAmountYr9)</f>
        <v>0</v>
      </c>
      <c r="G22" s="190">
        <f>SUMIF(rng_mf_category,TRIM('CF Summary'!$C22),CFAmountYr8)</f>
        <v>0</v>
      </c>
      <c r="H22" s="190">
        <f>SUMIF(rng_mf_category,TRIM('CF Summary'!$C22),CFAmountYr7)</f>
        <v>0</v>
      </c>
      <c r="I22" s="190">
        <f>SUMIF(rng_mf_category,TRIM('CF Summary'!$C22),CFAmountYr6)</f>
        <v>0</v>
      </c>
      <c r="J22" s="190">
        <f>SUMIF(rng_mf_category,TRIM('CF Summary'!$C22),CFAmountYr5)</f>
        <v>0</v>
      </c>
      <c r="K22" s="190">
        <f>SUMIF(rng_mf_category,TRIM('CF Summary'!$C22),CFAmountYr4)</f>
        <v>0</v>
      </c>
      <c r="L22" s="190">
        <f>SUMIF(rng_mf_category,TRIM('CF Summary'!$C22),CFAmountYr3)</f>
        <v>0</v>
      </c>
      <c r="M22" s="190">
        <f>SUMIF(rng_mf_category,TRIM('CF Summary'!$C22),CFAmountYr2)</f>
        <v>0</v>
      </c>
      <c r="N22" s="190">
        <f>SUMIF(rng_mf_category,TRIM('CF Summary'!$C22),CFAmountYr1)</f>
        <v>0</v>
      </c>
      <c r="O22" s="190">
        <f>SUMIF(rng_mf_category,TRIM('CF Summary'!$C22),CFAmountYrTTM)</f>
        <v>0</v>
      </c>
      <c r="P22" s="190">
        <f>SUMIF(rng_mf_category,TRIM('CF Summary'!$C22),CFAmountYrYTD)</f>
        <v>0</v>
      </c>
      <c r="Q22" s="190"/>
      <c r="R22" s="190">
        <f t="shared" si="8"/>
        <v>0</v>
      </c>
      <c r="S22" s="295"/>
      <c r="T22" s="183"/>
      <c r="U22" s="183"/>
      <c r="V22" s="203">
        <f t="shared" si="3"/>
        <v>0</v>
      </c>
      <c r="W22" s="183"/>
      <c r="X22" s="203">
        <f>SUMIF(rng_mf_category,TRIM('CF Summary'!$C22),CFAmountYrAppraisal)</f>
        <v>0</v>
      </c>
      <c r="Y22" s="203">
        <f>SUMIF(rng_mf_category,TRIM('CF Summary'!$C22),CFAmountYrBudget)</f>
        <v>0</v>
      </c>
      <c r="Z22" s="203">
        <f>SUMIF(rng_mf_category,TRIM('CF Summary'!$C22),CFAmountYrProforma)</f>
        <v>0</v>
      </c>
      <c r="AA22" s="183"/>
      <c r="AB22" s="183"/>
      <c r="AC22" s="172"/>
    </row>
    <row r="23" spans="2:29" ht="11.45" customHeight="1" outlineLevel="2" x14ac:dyDescent="0.2">
      <c r="B23" s="172" t="s">
        <v>74</v>
      </c>
      <c r="C23" s="229" t="s">
        <v>75</v>
      </c>
      <c r="D23" s="199"/>
      <c r="E23" s="190">
        <f>SUMIF(rng_mf_category,TRIM('CF Summary'!$C23),CFAmountYr10)</f>
        <v>0</v>
      </c>
      <c r="F23" s="190">
        <f>SUMIF(rng_mf_category,TRIM('CF Summary'!$C23),CFAmountYr9)</f>
        <v>0</v>
      </c>
      <c r="G23" s="190">
        <f>SUMIF(rng_mf_category,TRIM('CF Summary'!$C23),CFAmountYr8)</f>
        <v>0</v>
      </c>
      <c r="H23" s="190">
        <f>SUMIF(rng_mf_category,TRIM('CF Summary'!$C23),CFAmountYr7)</f>
        <v>0</v>
      </c>
      <c r="I23" s="190">
        <f>SUMIF(rng_mf_category,TRIM('CF Summary'!$C23),CFAmountYr6)</f>
        <v>0</v>
      </c>
      <c r="J23" s="190">
        <f>SUMIF(rng_mf_category,TRIM('CF Summary'!$C23),CFAmountYr5)</f>
        <v>0</v>
      </c>
      <c r="K23" s="190">
        <f>SUMIF(rng_mf_category,TRIM('CF Summary'!$C23),CFAmountYr4)</f>
        <v>0</v>
      </c>
      <c r="L23" s="190">
        <f>SUMIF(rng_mf_category,TRIM('CF Summary'!$C23),CFAmountYr3)</f>
        <v>0</v>
      </c>
      <c r="M23" s="190">
        <f>SUMIF(rng_mf_category,TRIM('CF Summary'!$C23),CFAmountYr2)</f>
        <v>0</v>
      </c>
      <c r="N23" s="190">
        <f>SUMIF(rng_mf_category,TRIM('CF Summary'!$C23),CFAmountYr1)</f>
        <v>0</v>
      </c>
      <c r="O23" s="190">
        <f>SUMIF(rng_mf_category,TRIM('CF Summary'!$C23),CFAmountYrTTM)</f>
        <v>0</v>
      </c>
      <c r="P23" s="190">
        <f>SUMIF(rng_mf_category,TRIM('CF Summary'!$C23),CFAmountYrYTD)</f>
        <v>0</v>
      </c>
      <c r="Q23" s="190"/>
      <c r="R23" s="190">
        <f t="shared" si="8"/>
        <v>0</v>
      </c>
      <c r="S23" s="295"/>
      <c r="T23" s="183"/>
      <c r="U23" s="183"/>
      <c r="V23" s="203">
        <f t="shared" si="3"/>
        <v>0</v>
      </c>
      <c r="W23" s="183"/>
      <c r="X23" s="203">
        <f>SUMIF(rng_mf_category,TRIM('CF Summary'!$C23),CFAmountYrAppraisal)</f>
        <v>0</v>
      </c>
      <c r="Y23" s="203">
        <f>SUMIF(rng_mf_category,TRIM('CF Summary'!$C23),CFAmountYrBudget)</f>
        <v>0</v>
      </c>
      <c r="Z23" s="203">
        <f>SUMIF(rng_mf_category,TRIM('CF Summary'!$C23),CFAmountYrProforma)</f>
        <v>0</v>
      </c>
      <c r="AA23" s="183"/>
      <c r="AB23" s="183"/>
      <c r="AC23" s="172"/>
    </row>
    <row r="24" spans="2:29" ht="11.45" customHeight="1" outlineLevel="2" x14ac:dyDescent="0.2">
      <c r="B24" s="172" t="s">
        <v>75</v>
      </c>
      <c r="C24" s="229"/>
      <c r="D24" s="199"/>
      <c r="E24" s="190"/>
      <c r="F24" s="190"/>
      <c r="G24" s="190"/>
      <c r="H24" s="190"/>
      <c r="I24" s="190"/>
      <c r="J24" s="190"/>
      <c r="K24" s="190"/>
      <c r="L24" s="190"/>
      <c r="M24" s="190"/>
      <c r="N24" s="190"/>
      <c r="O24" s="190"/>
      <c r="P24" s="190"/>
      <c r="Q24" s="190"/>
      <c r="R24" s="190"/>
      <c r="S24" s="295"/>
      <c r="T24" s="183"/>
      <c r="U24" s="183"/>
      <c r="V24" s="203"/>
      <c r="W24" s="183"/>
      <c r="X24" s="203"/>
      <c r="Y24" s="203"/>
      <c r="Z24" s="203"/>
      <c r="AA24" s="183"/>
      <c r="AB24" s="183"/>
      <c r="AC24" s="172"/>
    </row>
    <row r="25" spans="2:29" ht="11.45" customHeight="1" outlineLevel="1" x14ac:dyDescent="0.2">
      <c r="B25" s="172" t="s">
        <v>82</v>
      </c>
      <c r="C25" s="179" t="s">
        <v>77</v>
      </c>
      <c r="D25" s="199"/>
      <c r="E25" s="189">
        <f>SUM(E26:E29)</f>
        <v>0</v>
      </c>
      <c r="F25" s="189">
        <f t="shared" ref="F25:O25" si="9">SUM(F26:F29)</f>
        <v>0</v>
      </c>
      <c r="G25" s="189">
        <f t="shared" si="9"/>
        <v>0</v>
      </c>
      <c r="H25" s="189">
        <f t="shared" si="9"/>
        <v>0</v>
      </c>
      <c r="I25" s="189">
        <f t="shared" si="9"/>
        <v>0</v>
      </c>
      <c r="J25" s="189">
        <f t="shared" si="9"/>
        <v>0</v>
      </c>
      <c r="K25" s="189">
        <f t="shared" si="9"/>
        <v>0</v>
      </c>
      <c r="L25" s="189">
        <f t="shared" si="9"/>
        <v>0</v>
      </c>
      <c r="M25" s="189">
        <f t="shared" si="9"/>
        <v>0</v>
      </c>
      <c r="N25" s="189">
        <f t="shared" si="9"/>
        <v>0</v>
      </c>
      <c r="O25" s="189">
        <f t="shared" si="9"/>
        <v>0</v>
      </c>
      <c r="P25" s="189">
        <f t="shared" ref="P25" si="10">SUM(P26:P29)</f>
        <v>0</v>
      </c>
      <c r="Q25" s="190"/>
      <c r="R25" s="189">
        <f>SUM(R26:R29)</f>
        <v>0</v>
      </c>
      <c r="S25" s="294"/>
      <c r="T25" s="183"/>
      <c r="U25" s="183"/>
      <c r="V25" s="189">
        <f>SUM(V26:V29)</f>
        <v>0</v>
      </c>
      <c r="W25" s="183"/>
      <c r="X25" s="189">
        <f>SUM(X26:X29)</f>
        <v>0</v>
      </c>
      <c r="Y25" s="189">
        <f>SUM(Y26:Y29)</f>
        <v>0</v>
      </c>
      <c r="Z25" s="189">
        <f>SUM(Z26:Z29)</f>
        <v>0</v>
      </c>
      <c r="AA25" s="183"/>
      <c r="AB25" s="183"/>
      <c r="AC25" s="172"/>
    </row>
    <row r="26" spans="2:29" ht="11.45" customHeight="1" outlineLevel="2" x14ac:dyDescent="0.2">
      <c r="B26" s="172" t="s">
        <v>78</v>
      </c>
      <c r="C26" s="229" t="s">
        <v>324</v>
      </c>
      <c r="D26" s="199"/>
      <c r="E26" s="190">
        <f>SUMIF(rng_mf_category,TRIM('CF Summary'!$C26),CFAmountYr10)</f>
        <v>0</v>
      </c>
      <c r="F26" s="190">
        <f>SUMIF(rng_mf_category,TRIM('CF Summary'!$C26),CFAmountYr9)</f>
        <v>0</v>
      </c>
      <c r="G26" s="190">
        <f>SUMIF(rng_mf_category,TRIM('CF Summary'!$C26),CFAmountYr8)</f>
        <v>0</v>
      </c>
      <c r="H26" s="190">
        <f>SUMIF(rng_mf_category,TRIM('CF Summary'!$C26),CFAmountYr7)</f>
        <v>0</v>
      </c>
      <c r="I26" s="190">
        <f>SUMIF(rng_mf_category,TRIM('CF Summary'!$C26),CFAmountYr6)</f>
        <v>0</v>
      </c>
      <c r="J26" s="190">
        <f>SUMIF(rng_mf_category,TRIM('CF Summary'!$C26),CFAmountYr5)</f>
        <v>0</v>
      </c>
      <c r="K26" s="190">
        <f>SUMIF(rng_mf_category,TRIM('CF Summary'!$C26),CFAmountYr4)</f>
        <v>0</v>
      </c>
      <c r="L26" s="190">
        <f>SUMIF(rng_mf_category,TRIM('CF Summary'!$C26),CFAmountYr3)</f>
        <v>0</v>
      </c>
      <c r="M26" s="190">
        <f>SUMIF(rng_mf_category,TRIM('CF Summary'!$C26),CFAmountYr2)</f>
        <v>0</v>
      </c>
      <c r="N26" s="190">
        <f>SUMIF(rng_mf_category,TRIM('CF Summary'!$C26),CFAmountYr1)</f>
        <v>0</v>
      </c>
      <c r="O26" s="190">
        <f>SUMIF(rng_mf_category,TRIM('CF Summary'!$C26),CFAmountYrTTM)</f>
        <v>0</v>
      </c>
      <c r="P26" s="190">
        <f>SUMIF(rng_mf_category,TRIM('CF Summary'!$C26),CFAmountYrYTD)</f>
        <v>0</v>
      </c>
      <c r="Q26" s="190"/>
      <c r="R26" s="235">
        <f>$R$6*S26</f>
        <v>0</v>
      </c>
      <c r="S26" s="234">
        <v>0.04</v>
      </c>
      <c r="T26" s="293" t="s">
        <v>330</v>
      </c>
      <c r="U26" s="183"/>
      <c r="V26" s="203">
        <f t="shared" si="3"/>
        <v>0</v>
      </c>
      <c r="W26" s="183"/>
      <c r="X26" s="203">
        <f>SUMIF(rng_mf_category,TRIM('CF Summary'!$C26),CFAmountYrAppraisal)</f>
        <v>0</v>
      </c>
      <c r="Y26" s="203">
        <f>SUMIF(rng_mf_category,TRIM('CF Summary'!$C26),CFAmountYrBudget)</f>
        <v>0</v>
      </c>
      <c r="Z26" s="203">
        <f>SUMIF(rng_mf_category,TRIM('CF Summary'!$C26),CFAmountYrProforma)</f>
        <v>0</v>
      </c>
      <c r="AA26" s="183"/>
      <c r="AB26" s="183"/>
      <c r="AC26" s="172"/>
    </row>
    <row r="27" spans="2:29" ht="11.45" customHeight="1" outlineLevel="2" x14ac:dyDescent="0.2">
      <c r="B27" s="172" t="s">
        <v>79</v>
      </c>
      <c r="C27" s="229" t="s">
        <v>325</v>
      </c>
      <c r="D27" s="199"/>
      <c r="E27" s="190">
        <f>SUMIF(rng_mf_category,TRIM('CF Summary'!$C27),CFAmountYr10)</f>
        <v>0</v>
      </c>
      <c r="F27" s="190">
        <f>SUMIF(rng_mf_category,TRIM('CF Summary'!$C27),CFAmountYr9)</f>
        <v>0</v>
      </c>
      <c r="G27" s="190">
        <f>SUMIF(rng_mf_category,TRIM('CF Summary'!$C27),CFAmountYr8)</f>
        <v>0</v>
      </c>
      <c r="H27" s="190">
        <f>SUMIF(rng_mf_category,TRIM('CF Summary'!$C27),CFAmountYr7)</f>
        <v>0</v>
      </c>
      <c r="I27" s="190">
        <f>SUMIF(rng_mf_category,TRIM('CF Summary'!$C27),CFAmountYr6)</f>
        <v>0</v>
      </c>
      <c r="J27" s="190">
        <f>SUMIF(rng_mf_category,TRIM('CF Summary'!$C27),CFAmountYr5)</f>
        <v>0</v>
      </c>
      <c r="K27" s="190">
        <f>SUMIF(rng_mf_category,TRIM('CF Summary'!$C27),CFAmountYr4)</f>
        <v>0</v>
      </c>
      <c r="L27" s="190">
        <f>SUMIF(rng_mf_category,TRIM('CF Summary'!$C27),CFAmountYr3)</f>
        <v>0</v>
      </c>
      <c r="M27" s="190">
        <f>SUMIF(rng_mf_category,TRIM('CF Summary'!$C27),CFAmountYr2)</f>
        <v>0</v>
      </c>
      <c r="N27" s="190">
        <f>SUMIF(rng_mf_category,TRIM('CF Summary'!$C27),CFAmountYr1)</f>
        <v>0</v>
      </c>
      <c r="O27" s="190">
        <f>SUMIF(rng_mf_category,TRIM('CF Summary'!$C27),CFAmountYrTTM)</f>
        <v>0</v>
      </c>
      <c r="P27" s="190">
        <f>SUMIF(rng_mf_category,TRIM('CF Summary'!$C27),CFAmountYrYTD)</f>
        <v>0</v>
      </c>
      <c r="Q27" s="190"/>
      <c r="R27" s="190">
        <f>IF(UWCalcMethod=UW_M1,IF($O$25=0,$P27,$O27),IF(UWCalcMethod=UW_M2,$O27,IF(UWCalcMethod=UW_M3,$P27,$O27)))</f>
        <v>0</v>
      </c>
      <c r="S27" s="190"/>
      <c r="T27" s="183"/>
      <c r="U27" s="183"/>
      <c r="V27" s="203">
        <f t="shared" si="3"/>
        <v>0</v>
      </c>
      <c r="W27" s="183"/>
      <c r="X27" s="203">
        <f>SUMIF(rng_mf_category,TRIM('CF Summary'!$C27),CFAmountYrAppraisal)</f>
        <v>0</v>
      </c>
      <c r="Y27" s="203">
        <f>SUMIF(rng_mf_category,TRIM('CF Summary'!$C27),CFAmountYrBudget)</f>
        <v>0</v>
      </c>
      <c r="Z27" s="203">
        <f>SUMIF(rng_mf_category,TRIM('CF Summary'!$C27),CFAmountYrProforma)</f>
        <v>0</v>
      </c>
      <c r="AA27" s="183"/>
      <c r="AB27" s="183"/>
      <c r="AC27" s="172"/>
    </row>
    <row r="28" spans="2:29" ht="11.45" customHeight="1" outlineLevel="2" x14ac:dyDescent="0.2">
      <c r="B28" s="172" t="s">
        <v>80</v>
      </c>
      <c r="C28" s="229" t="s">
        <v>335</v>
      </c>
      <c r="D28" s="199"/>
      <c r="E28" s="190">
        <f>SUMIF(rng_mf_category,TRIM('CF Summary'!$C28),CFAmountYr10)</f>
        <v>0</v>
      </c>
      <c r="F28" s="190">
        <f>SUMIF(rng_mf_category,TRIM('CF Summary'!$C28),CFAmountYr9)</f>
        <v>0</v>
      </c>
      <c r="G28" s="190">
        <f>SUMIF(rng_mf_category,TRIM('CF Summary'!$C28),CFAmountYr8)</f>
        <v>0</v>
      </c>
      <c r="H28" s="190">
        <f>SUMIF(rng_mf_category,TRIM('CF Summary'!$C28),CFAmountYr7)</f>
        <v>0</v>
      </c>
      <c r="I28" s="190">
        <f>SUMIF(rng_mf_category,TRIM('CF Summary'!$C28),CFAmountYr6)</f>
        <v>0</v>
      </c>
      <c r="J28" s="190">
        <f>SUMIF(rng_mf_category,TRIM('CF Summary'!$C28),CFAmountYr5)</f>
        <v>0</v>
      </c>
      <c r="K28" s="190">
        <f>SUMIF(rng_mf_category,TRIM('CF Summary'!$C28),CFAmountYr4)</f>
        <v>0</v>
      </c>
      <c r="L28" s="190">
        <f>SUMIF(rng_mf_category,TRIM('CF Summary'!$C28),CFAmountYr3)</f>
        <v>0</v>
      </c>
      <c r="M28" s="190">
        <f>SUMIF(rng_mf_category,TRIM('CF Summary'!$C28),CFAmountYr2)</f>
        <v>0</v>
      </c>
      <c r="N28" s="190">
        <f>SUMIF(rng_mf_category,TRIM('CF Summary'!$C28),CFAmountYr1)</f>
        <v>0</v>
      </c>
      <c r="O28" s="190">
        <f>SUMIF(rng_mf_category,TRIM('CF Summary'!$C28),CFAmountYrTTM)</f>
        <v>0</v>
      </c>
      <c r="P28" s="190">
        <f>SUMIF(rng_mf_category,TRIM('CF Summary'!$C28),CFAmountYrYTD)</f>
        <v>0</v>
      </c>
      <c r="Q28" s="190"/>
      <c r="R28" s="190">
        <f>IF(UWCalcMethod=UW_M1,IF($O$25=0,$P28,$O28),IF(UWCalcMethod=UW_M2,$O28,IF(UWCalcMethod=UW_M3,$P28,$O28)))</f>
        <v>0</v>
      </c>
      <c r="S28" s="190"/>
      <c r="T28" s="183"/>
      <c r="U28" s="183"/>
      <c r="V28" s="203">
        <f t="shared" si="3"/>
        <v>0</v>
      </c>
      <c r="W28" s="183"/>
      <c r="X28" s="203">
        <f>SUMIF(rng_mf_category,TRIM('CF Summary'!$C28),CFAmountYrAppraisal)</f>
        <v>0</v>
      </c>
      <c r="Y28" s="203">
        <f>SUMIF(rng_mf_category,TRIM('CF Summary'!$C28),CFAmountYrBudget)</f>
        <v>0</v>
      </c>
      <c r="Z28" s="203">
        <f>SUMIF(rng_mf_category,TRIM('CF Summary'!$C28),CFAmountYrProforma)</f>
        <v>0</v>
      </c>
      <c r="AA28" s="183"/>
      <c r="AB28" s="183"/>
      <c r="AC28" s="172"/>
    </row>
    <row r="29" spans="2:29" ht="11.45" customHeight="1" outlineLevel="2" x14ac:dyDescent="0.2">
      <c r="B29" s="172" t="s">
        <v>81</v>
      </c>
      <c r="C29" s="229" t="s">
        <v>81</v>
      </c>
      <c r="D29" s="199"/>
      <c r="E29" s="190">
        <f>SUMIF(rng_mf_category,TRIM('CF Summary'!$C29),CFAmountYr10)</f>
        <v>0</v>
      </c>
      <c r="F29" s="190">
        <f>SUMIF(rng_mf_category,TRIM('CF Summary'!$C29),CFAmountYr9)</f>
        <v>0</v>
      </c>
      <c r="G29" s="190">
        <f>SUMIF(rng_mf_category,TRIM('CF Summary'!$C29),CFAmountYr8)</f>
        <v>0</v>
      </c>
      <c r="H29" s="190">
        <f>SUMIF(rng_mf_category,TRIM('CF Summary'!$C29),CFAmountYr7)</f>
        <v>0</v>
      </c>
      <c r="I29" s="190">
        <f>SUMIF(rng_mf_category,TRIM('CF Summary'!$C29),CFAmountYr6)</f>
        <v>0</v>
      </c>
      <c r="J29" s="190">
        <f>SUMIF(rng_mf_category,TRIM('CF Summary'!$C29),CFAmountYr5)</f>
        <v>0</v>
      </c>
      <c r="K29" s="190">
        <f>SUMIF(rng_mf_category,TRIM('CF Summary'!$C29),CFAmountYr4)</f>
        <v>0</v>
      </c>
      <c r="L29" s="190">
        <f>SUMIF(rng_mf_category,TRIM('CF Summary'!$C29),CFAmountYr3)</f>
        <v>0</v>
      </c>
      <c r="M29" s="190">
        <f>SUMIF(rng_mf_category,TRIM('CF Summary'!$C29),CFAmountYr2)</f>
        <v>0</v>
      </c>
      <c r="N29" s="190">
        <f>SUMIF(rng_mf_category,TRIM('CF Summary'!$C29),CFAmountYr1)</f>
        <v>0</v>
      </c>
      <c r="O29" s="190">
        <f>SUMIF(rng_mf_category,TRIM('CF Summary'!$C29),CFAmountYrTTM)</f>
        <v>0</v>
      </c>
      <c r="P29" s="190">
        <f>SUMIF(rng_mf_category,TRIM('CF Summary'!$C29),CFAmountYrYTD)</f>
        <v>0</v>
      </c>
      <c r="Q29" s="190"/>
      <c r="R29" s="190">
        <f>IF(UWCalcMethod=UW_M1,IF($O$25=0,$P29,$O29),IF(UWCalcMethod=UW_M2,$O29,IF(UWCalcMethod=UW_M3,$P29,$O29)))</f>
        <v>0</v>
      </c>
      <c r="S29" s="190"/>
      <c r="T29" s="183"/>
      <c r="U29" s="183"/>
      <c r="V29" s="203">
        <f t="shared" si="3"/>
        <v>0</v>
      </c>
      <c r="W29" s="183"/>
      <c r="X29" s="203">
        <f>SUMIF(rng_mf_category,TRIM('CF Summary'!$C29),CFAmountYrAppraisal)</f>
        <v>0</v>
      </c>
      <c r="Y29" s="203">
        <f>SUMIF(rng_mf_category,TRIM('CF Summary'!$C29),CFAmountYrBudget)</f>
        <v>0</v>
      </c>
      <c r="Z29" s="203">
        <f>SUMIF(rng_mf_category,TRIM('CF Summary'!$C29),CFAmountYrProforma)</f>
        <v>0</v>
      </c>
      <c r="AA29" s="183"/>
      <c r="AB29" s="183"/>
      <c r="AC29" s="172"/>
    </row>
    <row r="30" spans="2:29" ht="11.45" customHeight="1" outlineLevel="1" x14ac:dyDescent="0.2">
      <c r="C30" s="180"/>
      <c r="D30" s="199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83"/>
      <c r="U30" s="183"/>
      <c r="V30" s="203"/>
      <c r="W30" s="183"/>
      <c r="X30" s="203"/>
      <c r="Y30" s="203"/>
      <c r="Z30" s="203"/>
      <c r="AA30" s="183"/>
      <c r="AB30" s="183"/>
      <c r="AC30" s="172"/>
    </row>
    <row r="31" spans="2:29" ht="11.45" customHeight="1" x14ac:dyDescent="0.2">
      <c r="B31" s="172" t="s">
        <v>84</v>
      </c>
      <c r="C31" s="174" t="s">
        <v>84</v>
      </c>
      <c r="D31" s="198"/>
      <c r="E31" s="189">
        <f>E6-E15</f>
        <v>0</v>
      </c>
      <c r="F31" s="189">
        <f t="shared" ref="F31:O31" si="11">F6-F15</f>
        <v>0</v>
      </c>
      <c r="G31" s="189">
        <f t="shared" si="11"/>
        <v>0</v>
      </c>
      <c r="H31" s="189">
        <f t="shared" si="11"/>
        <v>0</v>
      </c>
      <c r="I31" s="189">
        <f t="shared" si="11"/>
        <v>0</v>
      </c>
      <c r="J31" s="189">
        <f t="shared" si="11"/>
        <v>0</v>
      </c>
      <c r="K31" s="189">
        <f t="shared" si="11"/>
        <v>0</v>
      </c>
      <c r="L31" s="189">
        <f t="shared" si="11"/>
        <v>0</v>
      </c>
      <c r="M31" s="189">
        <f t="shared" si="11"/>
        <v>0</v>
      </c>
      <c r="N31" s="189">
        <f t="shared" si="11"/>
        <v>0</v>
      </c>
      <c r="O31" s="189">
        <f t="shared" si="11"/>
        <v>0</v>
      </c>
      <c r="P31" s="189">
        <f t="shared" ref="P31" si="12">P6-P15</f>
        <v>0</v>
      </c>
      <c r="Q31" s="190"/>
      <c r="R31" s="189">
        <f>R6-R15</f>
        <v>0</v>
      </c>
      <c r="S31" s="189"/>
      <c r="T31" s="183"/>
      <c r="U31" s="183"/>
      <c r="V31" s="189">
        <f>V6-V15</f>
        <v>0</v>
      </c>
      <c r="W31" s="183"/>
      <c r="X31" s="189">
        <f>X6-X15</f>
        <v>0</v>
      </c>
      <c r="Y31" s="189">
        <f>Y6-Y15</f>
        <v>0</v>
      </c>
      <c r="Z31" s="189">
        <f>Z6-Z15</f>
        <v>0</v>
      </c>
      <c r="AA31" s="183"/>
      <c r="AB31" s="183"/>
      <c r="AC31" s="172"/>
    </row>
    <row r="32" spans="2:29" ht="11.45" customHeight="1" x14ac:dyDescent="0.2">
      <c r="C32" s="181"/>
      <c r="D32" s="198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83"/>
      <c r="U32" s="183"/>
      <c r="V32" s="203"/>
      <c r="W32" s="183"/>
      <c r="X32" s="203"/>
      <c r="Y32" s="203"/>
      <c r="Z32" s="203"/>
      <c r="AA32" s="183"/>
      <c r="AB32" s="183"/>
      <c r="AC32" s="172"/>
    </row>
    <row r="33" spans="2:29" ht="11.45" customHeight="1" x14ac:dyDescent="0.2">
      <c r="B33" s="172" t="s">
        <v>91</v>
      </c>
      <c r="C33" s="174" t="s">
        <v>85</v>
      </c>
      <c r="D33" s="198"/>
      <c r="E33" s="189">
        <f t="shared" ref="E33:O33" si="13">SUM(E34:E36)</f>
        <v>0</v>
      </c>
      <c r="F33" s="189">
        <f t="shared" si="13"/>
        <v>0</v>
      </c>
      <c r="G33" s="189">
        <f t="shared" si="13"/>
        <v>0</v>
      </c>
      <c r="H33" s="189">
        <f t="shared" si="13"/>
        <v>0</v>
      </c>
      <c r="I33" s="189">
        <f t="shared" si="13"/>
        <v>0</v>
      </c>
      <c r="J33" s="189">
        <f t="shared" si="13"/>
        <v>0</v>
      </c>
      <c r="K33" s="189">
        <f t="shared" si="13"/>
        <v>0</v>
      </c>
      <c r="L33" s="189">
        <f t="shared" si="13"/>
        <v>0</v>
      </c>
      <c r="M33" s="189">
        <f t="shared" si="13"/>
        <v>0</v>
      </c>
      <c r="N33" s="189">
        <f t="shared" si="13"/>
        <v>0</v>
      </c>
      <c r="O33" s="189">
        <f t="shared" si="13"/>
        <v>0</v>
      </c>
      <c r="P33" s="189">
        <f t="shared" ref="P33" si="14">SUM(P34:P36)</f>
        <v>0</v>
      </c>
      <c r="Q33" s="190"/>
      <c r="R33" s="189">
        <f>SUM(R34:R36)</f>
        <v>0</v>
      </c>
      <c r="S33" s="189"/>
      <c r="T33" s="183"/>
      <c r="U33" s="183"/>
      <c r="V33" s="189">
        <f>SUM(V34:V36)</f>
        <v>0</v>
      </c>
      <c r="W33" s="183"/>
      <c r="X33" s="189">
        <f>SUM(X34:X36)</f>
        <v>0</v>
      </c>
      <c r="Y33" s="189">
        <f>SUM(Y34:Y36)</f>
        <v>0</v>
      </c>
      <c r="Z33" s="189">
        <f>SUM(Z34:Z36)</f>
        <v>0</v>
      </c>
      <c r="AA33" s="183"/>
      <c r="AB33" s="183"/>
      <c r="AC33" s="172"/>
    </row>
    <row r="34" spans="2:29" ht="11.45" customHeight="1" outlineLevel="1" x14ac:dyDescent="0.2">
      <c r="B34" s="172" t="s">
        <v>86</v>
      </c>
      <c r="C34" s="229" t="s">
        <v>86</v>
      </c>
      <c r="D34" s="199"/>
      <c r="E34" s="190">
        <f>SUMIF(rng_mf_category,TRIM('CF Summary'!$C34),CFAmountYr10)</f>
        <v>0</v>
      </c>
      <c r="F34" s="190">
        <f>SUMIF(rng_mf_category,TRIM('CF Summary'!$C34),CFAmountYr9)</f>
        <v>0</v>
      </c>
      <c r="G34" s="190">
        <f>SUMIF(rng_mf_category,TRIM('CF Summary'!$C34),CFAmountYr8)</f>
        <v>0</v>
      </c>
      <c r="H34" s="190">
        <f>SUMIF(rng_mf_category,TRIM('CF Summary'!$C34),CFAmountYr7)</f>
        <v>0</v>
      </c>
      <c r="I34" s="190">
        <f>SUMIF(rng_mf_category,TRIM('CF Summary'!$C34),CFAmountYr6)</f>
        <v>0</v>
      </c>
      <c r="J34" s="190">
        <f>SUMIF(rng_mf_category,TRIM('CF Summary'!$C34),CFAmountYr5)</f>
        <v>0</v>
      </c>
      <c r="K34" s="190">
        <f>SUMIF(Cashflow!$C$8:$C$27,TRIM('CF Summary'!$C34),CFAmountYr4)</f>
        <v>0</v>
      </c>
      <c r="L34" s="190">
        <f>SUMIF(rng_mf_category,TRIM('CF Summary'!$C34),CFAmountYr3)</f>
        <v>0</v>
      </c>
      <c r="M34" s="190">
        <f>SUMIF(rng_mf_category,TRIM('CF Summary'!$C34),CFAmountYr2)</f>
        <v>0</v>
      </c>
      <c r="N34" s="190">
        <f>SUMIF(rng_mf_category,TRIM('CF Summary'!$C34),CFAmountYr1)</f>
        <v>0</v>
      </c>
      <c r="O34" s="190">
        <f>SUMIF(rng_mf_category,TRIM('CF Summary'!$C34),CFAmountYrTTM)</f>
        <v>0</v>
      </c>
      <c r="P34" s="190">
        <f>SUMIF(rng_mf_category,TRIM('CF Summary'!$C34),CFAmountYrYTD)</f>
        <v>0</v>
      </c>
      <c r="Q34" s="190"/>
      <c r="R34" s="235">
        <f>IF($S$34&gt;0,$S$34*'Rent Roll Analysis'!$E$28,IF(UWCalcMethod=UW_M2,$O34,IF(UWCalcMethod=UW_M3,$P34,$O34)))</f>
        <v>0</v>
      </c>
      <c r="S34" s="292"/>
      <c r="T34" s="293" t="s">
        <v>423</v>
      </c>
      <c r="U34" s="183"/>
      <c r="V34" s="203">
        <f t="shared" si="3"/>
        <v>0</v>
      </c>
      <c r="W34" s="183"/>
      <c r="X34" s="203">
        <f>SUMIF(rng_mf_category,TRIM('CF Summary'!$C34),CFAmountYrAppraisal)</f>
        <v>0</v>
      </c>
      <c r="Y34" s="203">
        <f>SUMIF(rng_mf_category,TRIM('CF Summary'!$C34),CFAmountYrBudget)</f>
        <v>0</v>
      </c>
      <c r="Z34" s="203">
        <f>SUMIF(rng_mf_category,TRIM('CF Summary'!$C34),CFAmountYrProforma)</f>
        <v>0</v>
      </c>
      <c r="AA34" s="183"/>
      <c r="AB34" s="183"/>
      <c r="AC34" s="172"/>
    </row>
    <row r="35" spans="2:29" ht="11.45" customHeight="1" outlineLevel="1" x14ac:dyDescent="0.2">
      <c r="B35" s="172" t="s">
        <v>87</v>
      </c>
      <c r="C35" s="229" t="s">
        <v>87</v>
      </c>
      <c r="D35" s="199"/>
      <c r="E35" s="190">
        <f>SUMIF(rng_mf_category,TRIM('CF Summary'!$C35),CFAmountYr10)</f>
        <v>0</v>
      </c>
      <c r="F35" s="190">
        <f>SUMIF(rng_mf_category,TRIM('CF Summary'!$C35),CFAmountYr9)</f>
        <v>0</v>
      </c>
      <c r="G35" s="190">
        <f>SUMIF(rng_mf_category,TRIM('CF Summary'!$C35),CFAmountYr8)</f>
        <v>0</v>
      </c>
      <c r="H35" s="190">
        <f>SUMIF(rng_mf_category,TRIM('CF Summary'!$C35),CFAmountYr7)</f>
        <v>0</v>
      </c>
      <c r="I35" s="190">
        <f>SUMIF(rng_mf_category,TRIM('CF Summary'!$C35),CFAmountYr6)</f>
        <v>0</v>
      </c>
      <c r="J35" s="190">
        <f>SUMIF(rng_mf_category,TRIM('CF Summary'!$C35),CFAmountYr5)</f>
        <v>0</v>
      </c>
      <c r="K35" s="190">
        <f>SUMIF(Cashflow!$C$8:$C$27,TRIM('CF Summary'!$C35),CFAmountYr4)</f>
        <v>0</v>
      </c>
      <c r="L35" s="190">
        <f>SUMIF(rng_mf_category,TRIM('CF Summary'!$C35),CFAmountYr3)</f>
        <v>0</v>
      </c>
      <c r="M35" s="190">
        <f>SUMIF(rng_mf_category,TRIM('CF Summary'!$C35),CFAmountYr2)</f>
        <v>0</v>
      </c>
      <c r="N35" s="190">
        <f>SUMIF(rng_mf_category,TRIM('CF Summary'!$C35),CFAmountYr1)</f>
        <v>0</v>
      </c>
      <c r="O35" s="190">
        <f>SUMIF(rng_mf_category,TRIM('CF Summary'!$C35),CFAmountYrTTM)</f>
        <v>0</v>
      </c>
      <c r="P35" s="190">
        <f>SUMIF(rng_mf_category,TRIM('CF Summary'!$C35),CFAmountYrYTD)</f>
        <v>0</v>
      </c>
      <c r="Q35" s="190"/>
      <c r="R35" s="190">
        <f>IF(UWCalcMethod=UW_M1,IF($O$33=0,$P35,$O35),IF(UWCalcMethod=UW_M2,$O35,IF(UWCalcMethod=UW_M3,$O35,$O35)))</f>
        <v>0</v>
      </c>
      <c r="S35" s="190"/>
      <c r="T35" s="183"/>
      <c r="U35" s="183"/>
      <c r="V35" s="203">
        <f t="shared" si="3"/>
        <v>0</v>
      </c>
      <c r="W35" s="183"/>
      <c r="X35" s="203">
        <f>SUMIF(rng_mf_category,TRIM('CF Summary'!$C35),CFAmountYrAppraisal)</f>
        <v>0</v>
      </c>
      <c r="Y35" s="203">
        <f>SUMIF(rng_mf_category,TRIM('CF Summary'!$C35),CFAmountYrBudget)</f>
        <v>0</v>
      </c>
      <c r="Z35" s="203">
        <f>SUMIF(rng_mf_category,TRIM('CF Summary'!$C35),CFAmountYrProforma)</f>
        <v>0</v>
      </c>
      <c r="AA35" s="183"/>
      <c r="AB35" s="183"/>
      <c r="AC35" s="172"/>
    </row>
    <row r="36" spans="2:29" ht="11.45" customHeight="1" outlineLevel="1" x14ac:dyDescent="0.2">
      <c r="B36" s="172" t="s">
        <v>88</v>
      </c>
      <c r="C36" s="229" t="s">
        <v>303</v>
      </c>
      <c r="D36" s="199"/>
      <c r="E36" s="190">
        <f>SUMIF(rng_mf_category,TRIM('CF Summary'!$C36),CFAmountYr10)</f>
        <v>0</v>
      </c>
      <c r="F36" s="190">
        <f>SUMIF(rng_mf_category,TRIM('CF Summary'!$C36),CFAmountYr9)</f>
        <v>0</v>
      </c>
      <c r="G36" s="190">
        <f>SUMIF(rng_mf_category,TRIM('CF Summary'!$C36),CFAmountYr8)</f>
        <v>0</v>
      </c>
      <c r="H36" s="190">
        <f>SUMIF(rng_mf_category,TRIM('CF Summary'!$C36),CFAmountYr7)</f>
        <v>0</v>
      </c>
      <c r="I36" s="190">
        <f>SUMIF(rng_mf_category,TRIM('CF Summary'!$C36),CFAmountYr6)</f>
        <v>0</v>
      </c>
      <c r="J36" s="190">
        <f>SUMIF(rng_mf_category,TRIM('CF Summary'!$C36),CFAmountYr5)</f>
        <v>0</v>
      </c>
      <c r="K36" s="190">
        <f>SUMIF(Cashflow!$C$8:$C$27,TRIM('CF Summary'!$C36),CFAmountYr4)</f>
        <v>0</v>
      </c>
      <c r="L36" s="190">
        <f>SUMIF(rng_mf_category,TRIM('CF Summary'!$C36),CFAmountYr3)</f>
        <v>0</v>
      </c>
      <c r="M36" s="190">
        <f>SUMIF(rng_mf_category,TRIM('CF Summary'!$C36),CFAmountYr2)</f>
        <v>0</v>
      </c>
      <c r="N36" s="190">
        <f>SUMIF(rng_mf_category,TRIM('CF Summary'!$C36),CFAmountYr1)</f>
        <v>0</v>
      </c>
      <c r="O36" s="190">
        <f>SUMIF(rng_mf_category,TRIM('CF Summary'!$C36),CFAmountYrTTM)</f>
        <v>0</v>
      </c>
      <c r="P36" s="190">
        <f>SUMIF(rng_mf_category,TRIM('CF Summary'!$C36),CFAmountYrYTD)</f>
        <v>0</v>
      </c>
      <c r="Q36" s="190"/>
      <c r="R36" s="190">
        <f>IF(UWCalcMethod=UW_M1,IF($O$33=0,$P36,$O36),IF(UWCalcMethod=UW_M2,$O36,IF(UWCalcMethod=UW_M3,$O36,$O36)))</f>
        <v>0</v>
      </c>
      <c r="S36" s="190"/>
      <c r="T36" s="183"/>
      <c r="U36" s="183"/>
      <c r="V36" s="203">
        <f t="shared" si="3"/>
        <v>0</v>
      </c>
      <c r="W36" s="183"/>
      <c r="X36" s="203">
        <f>SUMIF(rng_mf_category,TRIM('CF Summary'!$C36),CFAmountYrAppraisal)</f>
        <v>0</v>
      </c>
      <c r="Y36" s="203">
        <f>SUMIF(rng_mf_category,TRIM('CF Summary'!$C36),CFAmountYrBudget)</f>
        <v>0</v>
      </c>
      <c r="Z36" s="203">
        <f>SUMIF(rng_mf_category,TRIM('CF Summary'!$C36),CFAmountYrProforma)</f>
        <v>0</v>
      </c>
      <c r="AA36" s="183"/>
      <c r="AB36" s="183"/>
      <c r="AC36" s="172"/>
    </row>
    <row r="37" spans="2:29" ht="11.45" customHeight="1" outlineLevel="1" x14ac:dyDescent="0.2">
      <c r="B37" s="172" t="s">
        <v>89</v>
      </c>
      <c r="C37" s="177"/>
      <c r="D37" s="199"/>
      <c r="E37" s="190"/>
      <c r="F37" s="190"/>
      <c r="G37" s="190"/>
      <c r="H37" s="190"/>
      <c r="I37" s="190"/>
      <c r="J37" s="190"/>
      <c r="K37" s="190"/>
      <c r="L37" s="190"/>
      <c r="M37" s="190"/>
      <c r="N37" s="190"/>
      <c r="O37" s="190"/>
      <c r="P37" s="190"/>
      <c r="Q37" s="190"/>
      <c r="R37" s="190"/>
      <c r="S37" s="190"/>
      <c r="T37" s="183"/>
      <c r="U37" s="183"/>
      <c r="V37" s="203"/>
      <c r="W37" s="183"/>
      <c r="X37" s="203"/>
      <c r="Y37" s="203"/>
      <c r="Z37" s="203"/>
      <c r="AA37" s="183"/>
      <c r="AB37" s="183"/>
      <c r="AC37" s="172"/>
    </row>
    <row r="38" spans="2:29" ht="11.45" hidden="1" customHeight="1" outlineLevel="1" x14ac:dyDescent="0.2">
      <c r="B38" s="172" t="s">
        <v>90</v>
      </c>
      <c r="C38" s="177"/>
      <c r="D38" s="199"/>
      <c r="E38" s="190">
        <f>SUMIF(rng_mf_category,TRIM('CF Summary'!$C38),CFAmountYr10)</f>
        <v>0</v>
      </c>
      <c r="F38" s="190">
        <f>SUMIF(rng_mf_category,TRIM('CF Summary'!$C38),CFAmountYr9)</f>
        <v>0</v>
      </c>
      <c r="G38" s="190">
        <f>SUMIF(rng_mf_category,TRIM('CF Summary'!$C38),CFAmountYr8)</f>
        <v>0</v>
      </c>
      <c r="H38" s="190">
        <f>SUMIF(rng_mf_category,TRIM('CF Summary'!$C38),CFAmountYr7)</f>
        <v>0</v>
      </c>
      <c r="I38" s="190">
        <f>SUMIF(rng_mf_category,TRIM('CF Summary'!$C38),CFAmountYr6)</f>
        <v>0</v>
      </c>
      <c r="J38" s="190">
        <f>SUMIF(rng_mf_category,TRIM('CF Summary'!$C38),CFAmountYr5)</f>
        <v>0</v>
      </c>
      <c r="K38" s="190">
        <f>SUMIF(Cashflow!$C$8:$C$27,TRIM('CF Summary'!$C38),CFAmountYr4)</f>
        <v>0</v>
      </c>
      <c r="L38" s="190">
        <f>SUMIF(rng_mf_category,TRIM('CF Summary'!$C38),CFAmountYr3)</f>
        <v>0</v>
      </c>
      <c r="M38" s="190">
        <f>SUMIF(rng_mf_category,TRIM('CF Summary'!$C38),CFAmountYr2)</f>
        <v>0</v>
      </c>
      <c r="N38" s="190">
        <f>SUMIF(rng_mf_category,TRIM('CF Summary'!$C38),CFAmountYr1)</f>
        <v>0</v>
      </c>
      <c r="O38" s="190">
        <f>SUMIF(rng_mf_category,TRIM('CF Summary'!$C38),CFAmountYrTTM)</f>
        <v>0</v>
      </c>
      <c r="P38" s="190">
        <f>SUMIF(rng_mf_category,TRIM('CF Summary'!$C38),CFAmountYrTTM)</f>
        <v>0</v>
      </c>
      <c r="Q38" s="190"/>
      <c r="R38" s="190">
        <f t="shared" ref="R38" si="15">O38</f>
        <v>0</v>
      </c>
      <c r="S38" s="190"/>
      <c r="T38" s="183"/>
      <c r="U38" s="183"/>
      <c r="V38" s="203">
        <f t="shared" si="3"/>
        <v>0</v>
      </c>
      <c r="W38" s="183"/>
      <c r="X38" s="203">
        <f>SUMIF(rng_mf_category,TRIM('CF Summary'!$C38),CFAmountYrBudget)</f>
        <v>0</v>
      </c>
      <c r="Y38" s="203">
        <f>SUMIF(rng_mf_category,TRIM('CF Summary'!$C38),CFAmountYrBudget)</f>
        <v>0</v>
      </c>
      <c r="Z38" s="203">
        <f>SUMIF(rng_mf_category,TRIM('CF Summary'!$C38),CFAmountYrBudget)</f>
        <v>0</v>
      </c>
      <c r="AA38" s="183"/>
      <c r="AB38" s="183"/>
      <c r="AC38" s="172"/>
    </row>
    <row r="39" spans="2:29" ht="11.45" customHeight="1" outlineLevel="1" x14ac:dyDescent="0.2">
      <c r="C39" s="46"/>
      <c r="D39" s="200"/>
      <c r="E39" s="190"/>
      <c r="F39" s="190"/>
      <c r="G39" s="190"/>
      <c r="H39" s="190"/>
      <c r="I39" s="190"/>
      <c r="J39" s="190"/>
      <c r="K39" s="190"/>
      <c r="L39" s="190"/>
      <c r="M39" s="190"/>
      <c r="N39" s="190"/>
      <c r="O39" s="190"/>
      <c r="P39" s="190"/>
      <c r="Q39" s="190"/>
      <c r="R39" s="190"/>
      <c r="S39" s="190"/>
      <c r="T39" s="183"/>
      <c r="U39" s="183"/>
      <c r="V39" s="203"/>
      <c r="W39" s="183"/>
      <c r="X39" s="203"/>
      <c r="Y39" s="203"/>
      <c r="Z39" s="203"/>
      <c r="AA39" s="183"/>
      <c r="AB39" s="183"/>
      <c r="AC39" s="172"/>
    </row>
    <row r="40" spans="2:29" ht="11.45" customHeight="1" x14ac:dyDescent="0.2">
      <c r="B40" s="172" t="s">
        <v>92</v>
      </c>
      <c r="C40" s="174" t="s">
        <v>92</v>
      </c>
      <c r="D40" s="198"/>
      <c r="E40" s="189">
        <f>E31-E33</f>
        <v>0</v>
      </c>
      <c r="F40" s="189">
        <f t="shared" ref="F40:O40" si="16">F31-F33</f>
        <v>0</v>
      </c>
      <c r="G40" s="189">
        <f t="shared" si="16"/>
        <v>0</v>
      </c>
      <c r="H40" s="189">
        <f t="shared" si="16"/>
        <v>0</v>
      </c>
      <c r="I40" s="189">
        <f t="shared" si="16"/>
        <v>0</v>
      </c>
      <c r="J40" s="189">
        <f t="shared" si="16"/>
        <v>0</v>
      </c>
      <c r="K40" s="189">
        <f t="shared" si="16"/>
        <v>0</v>
      </c>
      <c r="L40" s="189">
        <f t="shared" si="16"/>
        <v>0</v>
      </c>
      <c r="M40" s="189">
        <f t="shared" si="16"/>
        <v>0</v>
      </c>
      <c r="N40" s="189">
        <f t="shared" si="16"/>
        <v>0</v>
      </c>
      <c r="O40" s="189">
        <f t="shared" si="16"/>
        <v>0</v>
      </c>
      <c r="P40" s="189">
        <f t="shared" ref="P40" si="17">P31-P33</f>
        <v>0</v>
      </c>
      <c r="Q40" s="190"/>
      <c r="R40" s="189">
        <f>R31-R33</f>
        <v>0</v>
      </c>
      <c r="S40" s="189"/>
      <c r="T40" s="183"/>
      <c r="U40" s="183"/>
      <c r="V40" s="189">
        <f>V31-V33</f>
        <v>0</v>
      </c>
      <c r="W40" s="189">
        <f>W31-W33</f>
        <v>0</v>
      </c>
      <c r="X40" s="189">
        <f>X31-X33</f>
        <v>0</v>
      </c>
      <c r="Y40" s="189">
        <f>Y31-Y33</f>
        <v>0</v>
      </c>
      <c r="Z40" s="189">
        <f>Z31-Z33</f>
        <v>0</v>
      </c>
      <c r="AA40" s="183"/>
      <c r="AB40" s="183"/>
      <c r="AC40" s="172"/>
    </row>
    <row r="41" spans="2:29" ht="11.45" customHeight="1" x14ac:dyDescent="0.2">
      <c r="C41" s="46"/>
      <c r="D41" s="200"/>
      <c r="E41" s="183"/>
      <c r="F41" s="183"/>
      <c r="G41" s="183"/>
      <c r="H41" s="183"/>
      <c r="I41" s="183"/>
      <c r="J41" s="183"/>
      <c r="K41" s="183"/>
      <c r="L41" s="183"/>
      <c r="M41" s="183"/>
      <c r="N41" s="183"/>
      <c r="O41" s="183"/>
      <c r="P41" s="183"/>
      <c r="Q41" s="183"/>
      <c r="R41" s="183"/>
      <c r="S41" s="183"/>
      <c r="T41" s="183"/>
      <c r="U41" s="183"/>
      <c r="V41" s="183"/>
      <c r="W41" s="183"/>
      <c r="X41" s="183"/>
      <c r="Y41" s="183"/>
      <c r="Z41" s="183"/>
      <c r="AA41" s="183"/>
      <c r="AB41" s="183"/>
      <c r="AC41" s="172"/>
    </row>
    <row r="42" spans="2:29" ht="11.45" customHeight="1" x14ac:dyDescent="0.2">
      <c r="B42" s="172" t="s">
        <v>93</v>
      </c>
      <c r="C42" s="182" t="s">
        <v>93</v>
      </c>
      <c r="D42" s="200"/>
      <c r="E42" s="192">
        <f>E31/'Loan Analysis'!$F$24</f>
        <v>0</v>
      </c>
      <c r="F42" s="192">
        <f>F31/'Loan Analysis'!$F$24</f>
        <v>0</v>
      </c>
      <c r="G42" s="192">
        <f>G31/'Loan Analysis'!$F$24</f>
        <v>0</v>
      </c>
      <c r="H42" s="192">
        <f>H31/'Loan Analysis'!$F$24</f>
        <v>0</v>
      </c>
      <c r="I42" s="192">
        <f>I31/'Loan Analysis'!$F$24</f>
        <v>0</v>
      </c>
      <c r="J42" s="192">
        <f>J31/'Loan Analysis'!$F$24</f>
        <v>0</v>
      </c>
      <c r="K42" s="192">
        <f>K31/'Loan Analysis'!$F$24</f>
        <v>0</v>
      </c>
      <c r="L42" s="192">
        <f>L31/'Loan Analysis'!$F$24</f>
        <v>0</v>
      </c>
      <c r="M42" s="192">
        <f>M31/'Loan Analysis'!$F$24</f>
        <v>0</v>
      </c>
      <c r="N42" s="192">
        <f>N31/'Loan Analysis'!$F$24</f>
        <v>0</v>
      </c>
      <c r="O42" s="192">
        <f>O31/'Loan Analysis'!$F$24</f>
        <v>0</v>
      </c>
      <c r="P42" s="192">
        <f>P31/'Loan Analysis'!$F$24</f>
        <v>0</v>
      </c>
      <c r="Q42" s="192"/>
      <c r="R42" s="192">
        <f>R31/'Loan Analysis'!$F$24</f>
        <v>0</v>
      </c>
      <c r="S42" s="192"/>
      <c r="T42" s="183"/>
      <c r="U42" s="183"/>
      <c r="V42" s="192">
        <f>V31/'Loan Analysis'!$F$24</f>
        <v>0</v>
      </c>
      <c r="W42" s="183"/>
      <c r="X42" s="192">
        <f>X31/'Loan Analysis'!$F$24</f>
        <v>0</v>
      </c>
      <c r="Y42" s="192">
        <f>Y31/'Loan Analysis'!$F$24</f>
        <v>0</v>
      </c>
      <c r="Z42" s="192">
        <f>Z31/'Loan Analysis'!$F$24</f>
        <v>0</v>
      </c>
      <c r="AA42" s="183"/>
      <c r="AB42" s="183"/>
      <c r="AC42" s="172"/>
    </row>
    <row r="43" spans="2:29" ht="11.45" customHeight="1" x14ac:dyDescent="0.2">
      <c r="B43" s="172" t="s">
        <v>94</v>
      </c>
      <c r="C43" s="182" t="s">
        <v>94</v>
      </c>
      <c r="D43" s="200"/>
      <c r="E43" s="193">
        <f>IFERROR(E31/IF('Loan Analysis'!$F$9=0,'Loan Analysis'!$E$28,'Loan Analysis'!$E$29),0)</f>
        <v>0</v>
      </c>
      <c r="F43" s="193">
        <f>IFERROR(F31/IF('Loan Analysis'!$F$9=0,'Loan Analysis'!$E$28,'Loan Analysis'!$E$29),0)</f>
        <v>0</v>
      </c>
      <c r="G43" s="193">
        <f>IFERROR(G31/IF('Loan Analysis'!$F$9=0,'Loan Analysis'!$E$28,'Loan Analysis'!$E$29),0)</f>
        <v>0</v>
      </c>
      <c r="H43" s="193">
        <f>IFERROR(H31/IF('Loan Analysis'!$F$9=0,'Loan Analysis'!$E$28,'Loan Analysis'!$E$29),0)</f>
        <v>0</v>
      </c>
      <c r="I43" s="193">
        <f>IFERROR(I31/IF('Loan Analysis'!$F$9=0,'Loan Analysis'!$E$28,'Loan Analysis'!$E$29),0)</f>
        <v>0</v>
      </c>
      <c r="J43" s="193">
        <f>IFERROR(J31/IF('Loan Analysis'!$F$9=0,'Loan Analysis'!$E$28,'Loan Analysis'!$E$29),0)</f>
        <v>0</v>
      </c>
      <c r="K43" s="193">
        <f>IFERROR(K31/IF('Loan Analysis'!$F$9=0,'Loan Analysis'!$E$28,'Loan Analysis'!$E$29),0)</f>
        <v>0</v>
      </c>
      <c r="L43" s="193">
        <f>IFERROR(L31/IF('Loan Analysis'!$F$9=0,'Loan Analysis'!$E$28,'Loan Analysis'!$E$29),0)</f>
        <v>0</v>
      </c>
      <c r="M43" s="193">
        <f>IFERROR(M31/IF('Loan Analysis'!$F$9=0,'Loan Analysis'!$E$28,'Loan Analysis'!$E$29),0)</f>
        <v>0</v>
      </c>
      <c r="N43" s="193">
        <f>IFERROR(N31/IF('Loan Analysis'!$F$9=0,'Loan Analysis'!$E$28,'Loan Analysis'!$E$29),0)</f>
        <v>0</v>
      </c>
      <c r="O43" s="193">
        <f>IFERROR(O31/IF('Loan Analysis'!$F$9=0,'Loan Analysis'!$E$28,'Loan Analysis'!$E$29),0)</f>
        <v>0</v>
      </c>
      <c r="P43" s="193">
        <f>IFERROR(P31/IF('Loan Analysis'!$F$9=0,'Loan Analysis'!$E$28,'Loan Analysis'!$E$29),0)</f>
        <v>0</v>
      </c>
      <c r="Q43" s="187"/>
      <c r="R43" s="193">
        <f>IFERROR(R31/IF('Loan Analysis'!$F$9=0,'Loan Analysis'!$E$28,'Loan Analysis'!$E$29),0)</f>
        <v>0</v>
      </c>
      <c r="S43" s="193"/>
      <c r="T43" s="183"/>
      <c r="U43" s="183"/>
      <c r="V43" s="193">
        <f>IFERROR(V31/IF('Loan Analysis'!$F$9=0,'Loan Analysis'!$E$28,'Loan Analysis'!$E$29),0)</f>
        <v>0</v>
      </c>
      <c r="W43" s="183"/>
      <c r="X43" s="193">
        <f>IFERROR(X31/IF('Loan Analysis'!$F$9=0,'Loan Analysis'!$E$28,'Loan Analysis'!$E$29),0)</f>
        <v>0</v>
      </c>
      <c r="Y43" s="193">
        <f>IFERROR(Y31/IF('Loan Analysis'!$F$9=0,'Loan Analysis'!$E$28,'Loan Analysis'!$E$29),0)</f>
        <v>0</v>
      </c>
      <c r="Z43" s="193">
        <f>IFERROR(Z31/IF('Loan Analysis'!$F$9=0,'Loan Analysis'!$E$28,'Loan Analysis'!$E$29),0)</f>
        <v>0</v>
      </c>
      <c r="AA43" s="183"/>
      <c r="AB43" s="183"/>
      <c r="AC43" s="172"/>
    </row>
    <row r="44" spans="2:29" ht="11.45" customHeight="1" x14ac:dyDescent="0.2">
      <c r="B44" s="172" t="s">
        <v>95</v>
      </c>
      <c r="C44" s="182" t="s">
        <v>95</v>
      </c>
      <c r="D44" s="200"/>
      <c r="E44" s="192">
        <f>E40/'Loan Analysis'!$F$24</f>
        <v>0</v>
      </c>
      <c r="F44" s="192">
        <f>F40/'Loan Analysis'!$F$24</f>
        <v>0</v>
      </c>
      <c r="G44" s="192">
        <f>G40/'Loan Analysis'!$F$24</f>
        <v>0</v>
      </c>
      <c r="H44" s="192">
        <f>H40/'Loan Analysis'!$F$24</f>
        <v>0</v>
      </c>
      <c r="I44" s="192">
        <f>I40/'Loan Analysis'!$F$24</f>
        <v>0</v>
      </c>
      <c r="J44" s="192">
        <f>J40/'Loan Analysis'!$F$24</f>
        <v>0</v>
      </c>
      <c r="K44" s="192">
        <f>K40/'Loan Analysis'!$F$24</f>
        <v>0</v>
      </c>
      <c r="L44" s="192">
        <f>L40/'Loan Analysis'!$F$24</f>
        <v>0</v>
      </c>
      <c r="M44" s="192">
        <f>M40/'Loan Analysis'!$F$24</f>
        <v>0</v>
      </c>
      <c r="N44" s="192">
        <f>N40/'Loan Analysis'!$F$24</f>
        <v>0</v>
      </c>
      <c r="O44" s="192">
        <f>O40/'Loan Analysis'!$F$24</f>
        <v>0</v>
      </c>
      <c r="P44" s="192">
        <f>P40/'Loan Analysis'!$F$24</f>
        <v>0</v>
      </c>
      <c r="Q44" s="192"/>
      <c r="R44" s="192">
        <f>R40/'Loan Analysis'!$F$24</f>
        <v>0</v>
      </c>
      <c r="S44" s="192"/>
      <c r="T44" s="183"/>
      <c r="U44" s="183"/>
      <c r="V44" s="192">
        <f>V40/'Loan Analysis'!$F$24</f>
        <v>0</v>
      </c>
      <c r="W44" s="183"/>
      <c r="X44" s="192">
        <f>X40/'Loan Analysis'!$F$24</f>
        <v>0</v>
      </c>
      <c r="Y44" s="192">
        <f>Y40/'Loan Analysis'!$F$24</f>
        <v>0</v>
      </c>
      <c r="Z44" s="192">
        <f>Z40/'Loan Analysis'!$F$24</f>
        <v>0</v>
      </c>
      <c r="AA44" s="183"/>
      <c r="AB44" s="183"/>
      <c r="AC44" s="172"/>
    </row>
    <row r="45" spans="2:29" ht="11.45" customHeight="1" x14ac:dyDescent="0.2">
      <c r="B45" s="172" t="s">
        <v>96</v>
      </c>
      <c r="C45" s="182" t="s">
        <v>96</v>
      </c>
      <c r="D45" s="200"/>
      <c r="E45" s="193">
        <f>IFERROR(E40/IF('Loan Analysis'!$F$9=0,'Loan Analysis'!$E$28,'Loan Analysis'!$E$29),0)</f>
        <v>0</v>
      </c>
      <c r="F45" s="193">
        <f>IFERROR(F40/IF('Loan Analysis'!$F$9=0,'Loan Analysis'!$E$28,'Loan Analysis'!$E$29),0)</f>
        <v>0</v>
      </c>
      <c r="G45" s="193">
        <f>IFERROR(G40/IF('Loan Analysis'!$F$9=0,'Loan Analysis'!$E$28,'Loan Analysis'!$E$29),0)</f>
        <v>0</v>
      </c>
      <c r="H45" s="193">
        <f>IFERROR(H40/IF('Loan Analysis'!$F$9=0,'Loan Analysis'!$E$28,'Loan Analysis'!$E$29),0)</f>
        <v>0</v>
      </c>
      <c r="I45" s="193">
        <f>IFERROR(I40/IF('Loan Analysis'!$F$9=0,'Loan Analysis'!$E$28,'Loan Analysis'!$E$29),0)</f>
        <v>0</v>
      </c>
      <c r="J45" s="193">
        <f>IFERROR(J40/IF('Loan Analysis'!$F$9=0,'Loan Analysis'!$E$28,'Loan Analysis'!$E$29),0)</f>
        <v>0</v>
      </c>
      <c r="K45" s="193">
        <f>IFERROR(K40/IF('Loan Analysis'!$F$9=0,'Loan Analysis'!$E$28,'Loan Analysis'!$E$29),0)</f>
        <v>0</v>
      </c>
      <c r="L45" s="193">
        <f>IFERROR(L40/IF('Loan Analysis'!$F$9=0,'Loan Analysis'!$E$28,'Loan Analysis'!$E$29),0)</f>
        <v>0</v>
      </c>
      <c r="M45" s="193">
        <f>IFERROR(M40/IF('Loan Analysis'!$F$9=0,'Loan Analysis'!$E$28,'Loan Analysis'!$E$29),0)</f>
        <v>0</v>
      </c>
      <c r="N45" s="193">
        <f>IFERROR(N40/IF('Loan Analysis'!$F$9=0,'Loan Analysis'!$E$28,'Loan Analysis'!$E$29),0)</f>
        <v>0</v>
      </c>
      <c r="O45" s="193">
        <f>IFERROR(O40/IF('Loan Analysis'!$F$9=0,'Loan Analysis'!$E$28,'Loan Analysis'!$E$29),0)</f>
        <v>0</v>
      </c>
      <c r="P45" s="193">
        <f>IFERROR(P40/IF('Loan Analysis'!$F$9=0,'Loan Analysis'!$E$28,'Loan Analysis'!$E$29),0)</f>
        <v>0</v>
      </c>
      <c r="Q45" s="187"/>
      <c r="R45" s="193">
        <f>IFERROR(R40/IF('Loan Analysis'!$F$9=0,'Loan Analysis'!$E$28,'Loan Analysis'!$E$29),0)</f>
        <v>0</v>
      </c>
      <c r="S45" s="193"/>
      <c r="T45" s="183"/>
      <c r="U45" s="183"/>
      <c r="V45" s="193">
        <f>IFERROR(V40/IF('Loan Analysis'!$F$9=0,'Loan Analysis'!$E$28,'Loan Analysis'!$E$29),0)</f>
        <v>0</v>
      </c>
      <c r="W45" s="183"/>
      <c r="X45" s="193">
        <f>IFERROR(X40/IF('Loan Analysis'!$F$9=0,'Loan Analysis'!$E$28,'Loan Analysis'!$E$29),0)</f>
        <v>0</v>
      </c>
      <c r="Y45" s="193">
        <f>IFERROR(Y40/IF('Loan Analysis'!$F$9=0,'Loan Analysis'!$E$28,'Loan Analysis'!$E$29),0)</f>
        <v>0</v>
      </c>
      <c r="Z45" s="193">
        <f>IFERROR(Z40/IF('Loan Analysis'!$F$9=0,'Loan Analysis'!$E$28,'Loan Analysis'!$E$29),0)</f>
        <v>0</v>
      </c>
      <c r="AA45" s="183"/>
      <c r="AB45" s="183"/>
      <c r="AC45" s="172"/>
    </row>
    <row r="46" spans="2:29" ht="11.45" customHeight="1" x14ac:dyDescent="0.2">
      <c r="C46" s="183"/>
      <c r="D46" s="202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</row>
  </sheetData>
  <pageMargins left="0.7" right="0.7" top="0.75" bottom="0.75" header="0.3" footer="0.3"/>
  <pageSetup scale="36" orientation="portrait" r:id="rId1"/>
  <colBreaks count="1" manualBreakCount="1">
    <brk id="12" max="45" man="1"/>
  </colBreaks>
  <ignoredErrors>
    <ignoredError sqref="Q1:XFD4 Q30:XFD32 D24 AC24:XFD24 Q38:XFD1048576 Q16 T16:U16 W16 D37 AB37:XFD37 A33:B38 Q33 S33:U33 W33 Q8:Q13 Y7:Y13 Q18:Q23 Y17:Y23 Q26:W26 Y26:Y29 Q35:Q36 Y34:Y36 AA11:XFD13 AA16:XFD23 AA26:XFD29 AA33:XFD36 A6:B13 Q5 W5 Q6:R6 D16 Q25:R25 A15:B29 Q14:R15 D33 AA5:XFD5 D15:O15 D38:O38 D35:N36 A39:O1048576 D18:N23 D25:O25 A30:O32 D6:O6 A14:O14 A1:O4 A5:D5 D8:N13 D7:N7 D17:N17 D27:N29 D26:N26 D34:N34 Q7 T7:W7 T8:W8 Q17 T17:W17 T18:W23 Q28:Q29 Q27 S27:W27 S28:W29 Q34 U34:W34 S35:W36 T5:U5 T10:W13 T9:W9 T6:AM6 T25:XFD25 T14:XFD15 AA7:AM10 AP7:XFD10 AO6:XFD6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Drop Down 1">
              <controlPr defaultSize="0" autoLine="0" autoPict="0">
                <anchor moveWithCells="1">
                  <from>
                    <xdr:col>18</xdr:col>
                    <xdr:colOff>28575</xdr:colOff>
                    <xdr:row>4</xdr:row>
                    <xdr:rowOff>0</xdr:rowOff>
                  </from>
                  <to>
                    <xdr:col>18</xdr:col>
                    <xdr:colOff>1247775</xdr:colOff>
                    <xdr:row>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2" tint="-0.499984740745262"/>
  </sheetPr>
  <dimension ref="A1:XFC47"/>
  <sheetViews>
    <sheetView showGridLines="0" zoomScaleNormal="100" workbookViewId="0"/>
  </sheetViews>
  <sheetFormatPr defaultColWidth="0" defaultRowHeight="11.45" customHeight="1" zeroHeight="1" x14ac:dyDescent="0.25"/>
  <cols>
    <col min="1" max="1" width="2.28515625" style="64" customWidth="1"/>
    <col min="2" max="12" width="8.85546875" style="64" customWidth="1"/>
    <col min="13" max="13" width="1.7109375" style="64" customWidth="1"/>
    <col min="14" max="14" width="28.140625" style="64" bestFit="1" customWidth="1"/>
    <col min="15" max="19" width="16.7109375" style="64" customWidth="1"/>
    <col min="20" max="20" width="2.7109375" style="64" customWidth="1"/>
    <col min="21" max="28" width="4.28515625" style="64" hidden="1"/>
    <col min="29" max="33" width="4.28515625" style="227" hidden="1"/>
    <col min="34" max="16383" width="4.28515625" style="64" hidden="1"/>
    <col min="16384" max="16384" width="1.28515625" style="64" hidden="1"/>
  </cols>
  <sheetData>
    <row r="1" spans="14:48" ht="11.45" customHeight="1" x14ac:dyDescent="0.25"/>
    <row r="2" spans="14:48" ht="11.45" customHeight="1" x14ac:dyDescent="0.25"/>
    <row r="3" spans="14:48" ht="11.45" customHeight="1" x14ac:dyDescent="0.25"/>
    <row r="4" spans="14:48" ht="11.45" customHeight="1" x14ac:dyDescent="0.25"/>
    <row r="5" spans="14:48" ht="11.45" customHeight="1" x14ac:dyDescent="0.25">
      <c r="N5" s="74" t="s">
        <v>12</v>
      </c>
      <c r="O5" s="75" t="s">
        <v>155</v>
      </c>
      <c r="P5" s="75" t="s">
        <v>154</v>
      </c>
      <c r="Q5" s="75" t="s">
        <v>151</v>
      </c>
      <c r="R5" s="75" t="s">
        <v>152</v>
      </c>
      <c r="S5" s="76" t="s">
        <v>153</v>
      </c>
      <c r="AC5" s="228" t="s">
        <v>155</v>
      </c>
      <c r="AD5" s="228" t="s">
        <v>154</v>
      </c>
      <c r="AE5" s="228" t="s">
        <v>151</v>
      </c>
      <c r="AF5" s="228" t="s">
        <v>152</v>
      </c>
      <c r="AG5" s="228" t="s">
        <v>153</v>
      </c>
      <c r="AK5" s="66"/>
      <c r="AL5" s="66"/>
      <c r="AM5" s="66"/>
      <c r="AN5" s="66"/>
      <c r="AO5" s="66"/>
      <c r="AP5" s="66"/>
      <c r="AQ5" s="66"/>
      <c r="AR5" s="66"/>
      <c r="AS5" s="66"/>
      <c r="AT5" s="66"/>
      <c r="AU5" s="66"/>
      <c r="AV5" s="66"/>
    </row>
    <row r="6" spans="14:48" ht="11.45" customHeight="1" x14ac:dyDescent="0.25">
      <c r="N6" s="239" t="s">
        <v>68</v>
      </c>
      <c r="O6" s="267">
        <f>IF(O$19="","",O$19)</f>
        <v>0</v>
      </c>
      <c r="P6" s="267">
        <f>IF(P$19="","",P$19)</f>
        <v>0</v>
      </c>
      <c r="Q6" s="267">
        <f>IF(Q$19="","",Q$19)</f>
        <v>0</v>
      </c>
      <c r="R6" s="267">
        <f>IF(R$19="","",R$19)</f>
        <v>0</v>
      </c>
      <c r="S6" s="268">
        <f>IF(S$19="","",S$19)</f>
        <v>0</v>
      </c>
      <c r="AA6" s="64" t="s">
        <v>61</v>
      </c>
      <c r="AC6" s="44"/>
      <c r="AD6" s="44"/>
      <c r="AE6" s="44"/>
      <c r="AF6" s="44"/>
      <c r="AG6" s="44"/>
      <c r="AJ6" s="65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</row>
    <row r="7" spans="14:48" ht="11.45" customHeight="1" x14ac:dyDescent="0.25">
      <c r="N7" s="225" t="s">
        <v>100</v>
      </c>
      <c r="O7" s="269">
        <f>IF(O$36="","",O$36)</f>
        <v>0</v>
      </c>
      <c r="P7" s="269">
        <f t="shared" ref="P7:S7" si="0">IF(P$36="","",P$36)</f>
        <v>0</v>
      </c>
      <c r="Q7" s="269">
        <f t="shared" si="0"/>
        <v>0</v>
      </c>
      <c r="R7" s="269">
        <f t="shared" si="0"/>
        <v>0</v>
      </c>
      <c r="S7" s="270">
        <f t="shared" si="0"/>
        <v>0</v>
      </c>
      <c r="AA7" s="64" t="s">
        <v>62</v>
      </c>
      <c r="AC7" s="44"/>
      <c r="AD7" s="44"/>
      <c r="AE7" s="44"/>
      <c r="AF7" s="44"/>
      <c r="AG7" s="44"/>
      <c r="AJ7" s="65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</row>
    <row r="8" spans="14:48" ht="11.45" customHeight="1" x14ac:dyDescent="0.25">
      <c r="N8" s="225" t="s">
        <v>84</v>
      </c>
      <c r="O8" s="269">
        <f>IF(O$37="","",O$37)</f>
        <v>0</v>
      </c>
      <c r="P8" s="269">
        <f t="shared" ref="P8:S8" si="1">IF(P$37="","",P$37)</f>
        <v>0</v>
      </c>
      <c r="Q8" s="269">
        <f t="shared" si="1"/>
        <v>0</v>
      </c>
      <c r="R8" s="269">
        <f t="shared" si="1"/>
        <v>0</v>
      </c>
      <c r="S8" s="270">
        <f t="shared" si="1"/>
        <v>0</v>
      </c>
      <c r="AA8" s="64" t="s">
        <v>174</v>
      </c>
      <c r="AC8" s="44"/>
      <c r="AD8" s="44"/>
      <c r="AE8" s="44"/>
      <c r="AF8" s="44"/>
      <c r="AG8" s="44"/>
      <c r="AJ8" s="65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</row>
    <row r="9" spans="14:48" ht="11.45" customHeight="1" x14ac:dyDescent="0.25">
      <c r="N9" s="226" t="s">
        <v>92</v>
      </c>
      <c r="O9" s="271">
        <f>IF(O$42="","",O$42)</f>
        <v>0</v>
      </c>
      <c r="P9" s="271">
        <f>IF(P$42="","",P$42)</f>
        <v>0</v>
      </c>
      <c r="Q9" s="271">
        <f>IF(Q$42="","",Q$42)</f>
        <v>0</v>
      </c>
      <c r="R9" s="271">
        <f>IF(R$42="","",R$42)</f>
        <v>0</v>
      </c>
      <c r="S9" s="272">
        <f>IF(S$42="","",S$42)</f>
        <v>0</v>
      </c>
      <c r="AA9" s="64" t="s">
        <v>64</v>
      </c>
      <c r="AC9" s="44"/>
      <c r="AD9" s="44"/>
      <c r="AE9" s="44"/>
      <c r="AF9" s="44"/>
      <c r="AG9" s="44"/>
      <c r="AJ9" s="65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</row>
    <row r="10" spans="14:48" ht="11.45" customHeight="1" x14ac:dyDescent="0.25">
      <c r="N10" s="42"/>
      <c r="O10" s="42"/>
      <c r="P10" s="42"/>
      <c r="Q10" s="42"/>
      <c r="R10" s="42"/>
      <c r="S10" s="42"/>
      <c r="AA10" s="64" t="s">
        <v>323</v>
      </c>
      <c r="AC10" s="44"/>
      <c r="AD10" s="44"/>
      <c r="AE10" s="44"/>
      <c r="AF10" s="44"/>
      <c r="AG10" s="44"/>
      <c r="AJ10" s="65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</row>
    <row r="11" spans="14:48" ht="11.45" customHeight="1" x14ac:dyDescent="0.25">
      <c r="N11" s="74" t="s">
        <v>12</v>
      </c>
      <c r="O11" s="75" t="s">
        <v>155</v>
      </c>
      <c r="P11" s="75" t="s">
        <v>154</v>
      </c>
      <c r="Q11" s="75" t="s">
        <v>151</v>
      </c>
      <c r="R11" s="75" t="s">
        <v>152</v>
      </c>
      <c r="S11" s="76" t="s">
        <v>153</v>
      </c>
      <c r="AA11" s="64" t="s">
        <v>66</v>
      </c>
      <c r="AC11" s="44"/>
      <c r="AD11" s="44"/>
      <c r="AE11" s="44"/>
      <c r="AF11" s="44"/>
      <c r="AG11" s="44"/>
      <c r="AJ11" s="65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</row>
    <row r="12" spans="14:48" ht="11.45" customHeight="1" x14ac:dyDescent="0.25">
      <c r="N12" s="77" t="s">
        <v>61</v>
      </c>
      <c r="O12" s="273">
        <f>SUMIF($AA:$AA,$N12,$AC:$AC)</f>
        <v>0</v>
      </c>
      <c r="P12" s="273">
        <f>SUMIF($AA:$AA,$N12,$AD:$AD)</f>
        <v>0</v>
      </c>
      <c r="Q12" s="273">
        <f>SUMIF($AA:$AA,$N12,$AE:$AE)</f>
        <v>0</v>
      </c>
      <c r="R12" s="273">
        <f>SUMIF($AA:$AA,$N12,$AF:$AF)</f>
        <v>0</v>
      </c>
      <c r="S12" s="274">
        <f>SUMIF($AA:$AA,$N12,$AG:$AG)</f>
        <v>0</v>
      </c>
      <c r="AA12" s="64" t="s">
        <v>67</v>
      </c>
      <c r="AC12" s="44"/>
      <c r="AD12" s="44"/>
      <c r="AE12" s="44"/>
      <c r="AF12" s="44"/>
      <c r="AG12" s="44"/>
      <c r="AJ12" s="65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</row>
    <row r="13" spans="14:48" ht="11.45" customHeight="1" x14ac:dyDescent="0.25">
      <c r="N13" s="77" t="s">
        <v>62</v>
      </c>
      <c r="O13" s="273">
        <f t="shared" ref="O13:O18" si="2">SUMIF($AA:$AA,$N13,$AC:$AC)</f>
        <v>0</v>
      </c>
      <c r="P13" s="273">
        <f t="shared" ref="P13:P18" si="3">SUMIF($AA:$AA,$N13,$AD:$AD)</f>
        <v>0</v>
      </c>
      <c r="Q13" s="273">
        <f t="shared" ref="Q13:Q18" si="4">SUMIF($AA:$AA,$N13,$AE:$AE)</f>
        <v>0</v>
      </c>
      <c r="R13" s="273">
        <f t="shared" ref="R13:R18" si="5">SUMIF($AA:$AA,$N13,$AF:$AF)</f>
        <v>0</v>
      </c>
      <c r="S13" s="274">
        <f t="shared" ref="S13:S18" si="6">SUMIF($AA:$AA,$N13,$AG:$AG)</f>
        <v>0</v>
      </c>
      <c r="AA13" s="64" t="s">
        <v>299</v>
      </c>
      <c r="AC13" s="44"/>
      <c r="AD13" s="44"/>
      <c r="AE13" s="44"/>
      <c r="AF13" s="44"/>
      <c r="AG13" s="44"/>
      <c r="AJ13" s="65"/>
      <c r="AK13" s="67"/>
    </row>
    <row r="14" spans="14:48" ht="11.45" customHeight="1" x14ac:dyDescent="0.25">
      <c r="N14" s="77" t="s">
        <v>174</v>
      </c>
      <c r="O14" s="273">
        <f t="shared" si="2"/>
        <v>0</v>
      </c>
      <c r="P14" s="273">
        <f t="shared" si="3"/>
        <v>0</v>
      </c>
      <c r="Q14" s="273">
        <f t="shared" si="4"/>
        <v>0</v>
      </c>
      <c r="R14" s="273">
        <f t="shared" si="5"/>
        <v>0</v>
      </c>
      <c r="S14" s="274">
        <f t="shared" si="6"/>
        <v>0</v>
      </c>
      <c r="AA14" s="64" t="s">
        <v>69</v>
      </c>
      <c r="AC14" s="44"/>
      <c r="AD14" s="44"/>
      <c r="AE14" s="44"/>
      <c r="AF14" s="44"/>
      <c r="AG14" s="44"/>
    </row>
    <row r="15" spans="14:48" ht="11.45" customHeight="1" x14ac:dyDescent="0.25">
      <c r="N15" s="77" t="s">
        <v>64</v>
      </c>
      <c r="O15" s="273">
        <f t="shared" si="2"/>
        <v>0</v>
      </c>
      <c r="P15" s="273">
        <f t="shared" si="3"/>
        <v>0</v>
      </c>
      <c r="Q15" s="273">
        <f t="shared" si="4"/>
        <v>0</v>
      </c>
      <c r="R15" s="273">
        <f t="shared" si="5"/>
        <v>0</v>
      </c>
      <c r="S15" s="274">
        <f t="shared" si="6"/>
        <v>0</v>
      </c>
      <c r="AA15" s="64" t="s">
        <v>70</v>
      </c>
      <c r="AC15" s="44"/>
      <c r="AD15" s="44"/>
      <c r="AE15" s="44"/>
      <c r="AF15" s="44"/>
      <c r="AG15" s="44"/>
      <c r="AK15" s="65"/>
      <c r="AL15" s="65"/>
      <c r="AM15" s="65"/>
      <c r="AN15" s="65"/>
      <c r="AO15" s="65"/>
    </row>
    <row r="16" spans="14:48" ht="11.45" customHeight="1" x14ac:dyDescent="0.25">
      <c r="N16" s="77" t="s">
        <v>323</v>
      </c>
      <c r="O16" s="273">
        <f t="shared" si="2"/>
        <v>0</v>
      </c>
      <c r="P16" s="273">
        <f t="shared" si="3"/>
        <v>0</v>
      </c>
      <c r="Q16" s="273">
        <f t="shared" si="4"/>
        <v>0</v>
      </c>
      <c r="R16" s="273">
        <f t="shared" si="5"/>
        <v>0</v>
      </c>
      <c r="S16" s="274">
        <f t="shared" si="6"/>
        <v>0</v>
      </c>
      <c r="AA16" s="64" t="s">
        <v>71</v>
      </c>
      <c r="AC16" s="44"/>
      <c r="AD16" s="44"/>
      <c r="AE16" s="44"/>
      <c r="AF16" s="44"/>
      <c r="AG16" s="44"/>
      <c r="AK16" s="67"/>
      <c r="AL16" s="67"/>
      <c r="AM16" s="67"/>
      <c r="AN16" s="67"/>
      <c r="AO16" s="67"/>
    </row>
    <row r="17" spans="14:41" ht="11.45" customHeight="1" x14ac:dyDescent="0.25">
      <c r="N17" s="77" t="s">
        <v>66</v>
      </c>
      <c r="O17" s="273">
        <f t="shared" si="2"/>
        <v>0</v>
      </c>
      <c r="P17" s="273">
        <f t="shared" si="3"/>
        <v>0</v>
      </c>
      <c r="Q17" s="273">
        <f t="shared" si="4"/>
        <v>0</v>
      </c>
      <c r="R17" s="273">
        <f t="shared" si="5"/>
        <v>0</v>
      </c>
      <c r="S17" s="274">
        <f t="shared" si="6"/>
        <v>0</v>
      </c>
      <c r="AA17" s="64" t="s">
        <v>44</v>
      </c>
      <c r="AC17" s="44"/>
      <c r="AD17" s="44"/>
      <c r="AE17" s="44"/>
      <c r="AF17" s="44"/>
      <c r="AG17" s="44"/>
      <c r="AK17" s="67"/>
      <c r="AL17" s="67"/>
      <c r="AM17" s="67"/>
      <c r="AN17" s="67"/>
      <c r="AO17" s="67"/>
    </row>
    <row r="18" spans="14:41" ht="11.45" customHeight="1" x14ac:dyDescent="0.25">
      <c r="N18" s="77" t="s">
        <v>67</v>
      </c>
      <c r="O18" s="273">
        <f t="shared" si="2"/>
        <v>0</v>
      </c>
      <c r="P18" s="273">
        <f t="shared" si="3"/>
        <v>0</v>
      </c>
      <c r="Q18" s="273">
        <f t="shared" si="4"/>
        <v>0</v>
      </c>
      <c r="R18" s="273">
        <f t="shared" si="5"/>
        <v>0</v>
      </c>
      <c r="S18" s="274">
        <f t="shared" si="6"/>
        <v>0</v>
      </c>
      <c r="AA18" s="64" t="s">
        <v>336</v>
      </c>
      <c r="AC18" s="44"/>
      <c r="AD18" s="44"/>
      <c r="AE18" s="44"/>
      <c r="AF18" s="44"/>
      <c r="AG18" s="44"/>
      <c r="AK18" s="67"/>
      <c r="AL18" s="67"/>
      <c r="AM18" s="67"/>
      <c r="AN18" s="67"/>
      <c r="AO18" s="67"/>
    </row>
    <row r="19" spans="14:41" ht="11.45" customHeight="1" x14ac:dyDescent="0.25">
      <c r="N19" s="79" t="s">
        <v>68</v>
      </c>
      <c r="O19" s="275">
        <f>SUM(O12:O18)</f>
        <v>0</v>
      </c>
      <c r="P19" s="275">
        <f>SUM(P12:P18)</f>
        <v>0</v>
      </c>
      <c r="Q19" s="275">
        <f>SUM(Q12:Q18)</f>
        <v>0</v>
      </c>
      <c r="R19" s="275">
        <f>SUM(R12:R18)</f>
        <v>0</v>
      </c>
      <c r="S19" s="276">
        <f>SUM(S12:S18)</f>
        <v>0</v>
      </c>
      <c r="AA19" s="64" t="s">
        <v>337</v>
      </c>
      <c r="AC19" s="44"/>
      <c r="AD19" s="44"/>
      <c r="AE19" s="44"/>
      <c r="AF19" s="44"/>
      <c r="AG19" s="44"/>
      <c r="AK19" s="67"/>
      <c r="AL19" s="67"/>
      <c r="AM19" s="67"/>
      <c r="AN19" s="67"/>
      <c r="AO19" s="67"/>
    </row>
    <row r="20" spans="14:41" ht="11.45" customHeight="1" x14ac:dyDescent="0.25">
      <c r="N20" s="238"/>
      <c r="O20" s="273"/>
      <c r="P20" s="273"/>
      <c r="Q20" s="273"/>
      <c r="R20" s="273"/>
      <c r="S20" s="274"/>
      <c r="AA20" s="64" t="s">
        <v>75</v>
      </c>
      <c r="AC20" s="44"/>
      <c r="AD20" s="44"/>
      <c r="AE20" s="44"/>
      <c r="AF20" s="44"/>
      <c r="AG20" s="44"/>
      <c r="AK20" s="67"/>
      <c r="AL20" s="67"/>
      <c r="AM20" s="67"/>
      <c r="AN20" s="67"/>
      <c r="AO20" s="67"/>
    </row>
    <row r="21" spans="14:41" ht="11.45" customHeight="1" x14ac:dyDescent="0.25">
      <c r="N21" s="77" t="s">
        <v>69</v>
      </c>
      <c r="O21" s="273">
        <f>SUMIF($AA:$AA,$N21,$AC:$AC)</f>
        <v>0</v>
      </c>
      <c r="P21" s="273">
        <f>SUMIF($AA:$AA,$N21,$AD:$AD)</f>
        <v>0</v>
      </c>
      <c r="Q21" s="273">
        <f>SUMIF($AA:$AA,$N21,$AE:$AE)</f>
        <v>0</v>
      </c>
      <c r="R21" s="273">
        <f>SUMIF($AA:$AA,$N21,$AF:$AF)</f>
        <v>0</v>
      </c>
      <c r="S21" s="274">
        <f>SUMIF($AA:$AA,$N21,$AG:$AG)</f>
        <v>0</v>
      </c>
      <c r="AA21" s="64" t="s">
        <v>324</v>
      </c>
      <c r="AC21" s="44"/>
      <c r="AD21" s="44"/>
      <c r="AE21" s="44"/>
      <c r="AF21" s="44"/>
      <c r="AG21" s="44"/>
      <c r="AK21" s="67"/>
      <c r="AL21" s="67"/>
      <c r="AM21" s="67"/>
      <c r="AN21" s="67"/>
      <c r="AO21" s="67"/>
    </row>
    <row r="22" spans="14:41" ht="11.45" customHeight="1" x14ac:dyDescent="0.25">
      <c r="N22" s="77" t="s">
        <v>70</v>
      </c>
      <c r="O22" s="273">
        <f t="shared" ref="O22:O27" si="7">SUMIF($AA:$AA,$N22,$AC:$AC)</f>
        <v>0</v>
      </c>
      <c r="P22" s="273">
        <f t="shared" ref="P22:P27" si="8">SUMIF($AA:$AA,$N22,$AD:$AD)</f>
        <v>0</v>
      </c>
      <c r="Q22" s="273">
        <f t="shared" ref="Q22:Q27" si="9">SUMIF($AA:$AA,$N22,$AE:$AE)</f>
        <v>0</v>
      </c>
      <c r="R22" s="273">
        <f t="shared" ref="R22:R27" si="10">SUMIF($AA:$AA,$N22,$AF:$AF)</f>
        <v>0</v>
      </c>
      <c r="S22" s="274">
        <f t="shared" ref="S22:S27" si="11">SUMIF($AA:$AA,$N22,$AG:$AG)</f>
        <v>0</v>
      </c>
      <c r="AA22" s="64" t="s">
        <v>325</v>
      </c>
      <c r="AC22" s="44"/>
      <c r="AD22" s="44"/>
      <c r="AE22" s="44"/>
      <c r="AF22" s="44"/>
      <c r="AG22" s="44"/>
    </row>
    <row r="23" spans="14:41" ht="11.45" customHeight="1" x14ac:dyDescent="0.25">
      <c r="N23" s="77" t="s">
        <v>71</v>
      </c>
      <c r="O23" s="273">
        <f t="shared" si="7"/>
        <v>0</v>
      </c>
      <c r="P23" s="273">
        <f t="shared" si="8"/>
        <v>0</v>
      </c>
      <c r="Q23" s="273">
        <f t="shared" si="9"/>
        <v>0</v>
      </c>
      <c r="R23" s="273">
        <f t="shared" si="10"/>
        <v>0</v>
      </c>
      <c r="S23" s="274">
        <f t="shared" si="11"/>
        <v>0</v>
      </c>
      <c r="AA23" s="64" t="s">
        <v>335</v>
      </c>
      <c r="AC23" s="44"/>
      <c r="AD23" s="44"/>
      <c r="AE23" s="44"/>
      <c r="AF23" s="44"/>
      <c r="AG23" s="44"/>
    </row>
    <row r="24" spans="14:41" ht="11.45" customHeight="1" x14ac:dyDescent="0.25">
      <c r="N24" s="77" t="s">
        <v>44</v>
      </c>
      <c r="O24" s="273">
        <f t="shared" si="7"/>
        <v>0</v>
      </c>
      <c r="P24" s="273">
        <f t="shared" si="8"/>
        <v>0</v>
      </c>
      <c r="Q24" s="273">
        <f t="shared" si="9"/>
        <v>0</v>
      </c>
      <c r="R24" s="273">
        <f t="shared" si="10"/>
        <v>0</v>
      </c>
      <c r="S24" s="274">
        <f t="shared" si="11"/>
        <v>0</v>
      </c>
      <c r="AA24" s="64" t="s">
        <v>81</v>
      </c>
      <c r="AC24" s="44"/>
      <c r="AD24" s="44"/>
      <c r="AE24" s="44"/>
      <c r="AF24" s="44"/>
      <c r="AG24" s="44"/>
    </row>
    <row r="25" spans="14:41" ht="11.45" customHeight="1" x14ac:dyDescent="0.25">
      <c r="N25" s="77" t="s">
        <v>336</v>
      </c>
      <c r="O25" s="273">
        <f t="shared" si="7"/>
        <v>0</v>
      </c>
      <c r="P25" s="273">
        <f t="shared" si="8"/>
        <v>0</v>
      </c>
      <c r="Q25" s="273">
        <f t="shared" si="9"/>
        <v>0</v>
      </c>
      <c r="R25" s="273">
        <f t="shared" si="10"/>
        <v>0</v>
      </c>
      <c r="S25" s="274">
        <f t="shared" si="11"/>
        <v>0</v>
      </c>
      <c r="AA25" s="64" t="s">
        <v>300</v>
      </c>
      <c r="AC25" s="44"/>
      <c r="AD25" s="44"/>
      <c r="AE25" s="44"/>
      <c r="AF25" s="44"/>
      <c r="AG25" s="44"/>
    </row>
    <row r="26" spans="14:41" ht="11.45" customHeight="1" x14ac:dyDescent="0.25">
      <c r="N26" s="77" t="s">
        <v>337</v>
      </c>
      <c r="O26" s="273">
        <f t="shared" si="7"/>
        <v>0</v>
      </c>
      <c r="P26" s="273">
        <f t="shared" si="8"/>
        <v>0</v>
      </c>
      <c r="Q26" s="273">
        <f t="shared" si="9"/>
        <v>0</v>
      </c>
      <c r="R26" s="273">
        <f t="shared" si="10"/>
        <v>0</v>
      </c>
      <c r="S26" s="274">
        <f t="shared" si="11"/>
        <v>0</v>
      </c>
      <c r="AA26" s="64" t="s">
        <v>86</v>
      </c>
      <c r="AC26" s="44"/>
      <c r="AD26" s="44"/>
      <c r="AE26" s="44"/>
      <c r="AF26" s="44"/>
      <c r="AG26" s="44"/>
    </row>
    <row r="27" spans="14:41" ht="11.45" customHeight="1" x14ac:dyDescent="0.25">
      <c r="N27" s="77" t="s">
        <v>75</v>
      </c>
      <c r="O27" s="273">
        <f t="shared" si="7"/>
        <v>0</v>
      </c>
      <c r="P27" s="273">
        <f t="shared" si="8"/>
        <v>0</v>
      </c>
      <c r="Q27" s="273">
        <f t="shared" si="9"/>
        <v>0</v>
      </c>
      <c r="R27" s="273">
        <f t="shared" si="10"/>
        <v>0</v>
      </c>
      <c r="S27" s="274">
        <f t="shared" si="11"/>
        <v>0</v>
      </c>
      <c r="AA27" s="64" t="s">
        <v>87</v>
      </c>
      <c r="AC27" s="44"/>
      <c r="AD27" s="44"/>
      <c r="AE27" s="44"/>
      <c r="AF27" s="44"/>
      <c r="AG27" s="44"/>
    </row>
    <row r="28" spans="14:41" ht="11.45" customHeight="1" x14ac:dyDescent="0.25">
      <c r="N28" s="79" t="s">
        <v>150</v>
      </c>
      <c r="O28" s="275">
        <f>SUM(O20:O27)</f>
        <v>0</v>
      </c>
      <c r="P28" s="275">
        <f>SUM(P20:P27)</f>
        <v>0</v>
      </c>
      <c r="Q28" s="275">
        <f>SUM(Q20:Q27)</f>
        <v>0</v>
      </c>
      <c r="R28" s="275">
        <f>SUM(R20:R27)</f>
        <v>0</v>
      </c>
      <c r="S28" s="276">
        <f>SUM(S20:S27)</f>
        <v>0</v>
      </c>
      <c r="AA28" s="64" t="s">
        <v>303</v>
      </c>
      <c r="AC28" s="44"/>
      <c r="AD28" s="44"/>
      <c r="AE28" s="44"/>
      <c r="AF28" s="44"/>
      <c r="AG28" s="44"/>
    </row>
    <row r="29" spans="14:41" ht="11.45" customHeight="1" x14ac:dyDescent="0.25">
      <c r="N29" s="238"/>
      <c r="O29" s="273"/>
      <c r="P29" s="273"/>
      <c r="Q29" s="273"/>
      <c r="R29" s="273"/>
      <c r="S29" s="274"/>
      <c r="AC29" s="44"/>
      <c r="AD29" s="44"/>
      <c r="AE29" s="44"/>
      <c r="AF29" s="44"/>
      <c r="AG29" s="44"/>
    </row>
    <row r="30" spans="14:41" ht="11.45" customHeight="1" x14ac:dyDescent="0.25">
      <c r="N30" s="77" t="s">
        <v>324</v>
      </c>
      <c r="O30" s="273">
        <f>SUMIF($AA:$AA,$N30,$AC:$AC)</f>
        <v>0</v>
      </c>
      <c r="P30" s="273">
        <f>SUMIF($AA:$AA,$N30,$AD:$AD)</f>
        <v>0</v>
      </c>
      <c r="Q30" s="273">
        <f>SUMIF($AA:$AA,$N30,$AE:$AE)</f>
        <v>0</v>
      </c>
      <c r="R30" s="273">
        <f>SUMIF($AA:$AA,$N30,$AF:$AF)</f>
        <v>0</v>
      </c>
      <c r="S30" s="274">
        <f>SUMIF($AA:$AA,$N30,$AG:$AG)</f>
        <v>0</v>
      </c>
      <c r="AC30" s="44"/>
      <c r="AD30" s="44"/>
      <c r="AE30" s="44"/>
      <c r="AF30" s="44"/>
      <c r="AG30" s="44"/>
    </row>
    <row r="31" spans="14:41" ht="11.45" customHeight="1" x14ac:dyDescent="0.25">
      <c r="N31" s="77" t="s">
        <v>325</v>
      </c>
      <c r="O31" s="273">
        <f t="shared" ref="O31:O33" si="12">SUMIF($AA:$AA,$N31,$AC:$AC)</f>
        <v>0</v>
      </c>
      <c r="P31" s="273">
        <f t="shared" ref="P31:P33" si="13">SUMIF($AA:$AA,$N31,$AD:$AD)</f>
        <v>0</v>
      </c>
      <c r="Q31" s="273">
        <f t="shared" ref="Q31:Q33" si="14">SUMIF($AA:$AA,$N31,$AE:$AE)</f>
        <v>0</v>
      </c>
      <c r="R31" s="273">
        <f t="shared" ref="R31:R33" si="15">SUMIF($AA:$AA,$N31,$AF:$AF)</f>
        <v>0</v>
      </c>
      <c r="S31" s="274">
        <f t="shared" ref="S31:S33" si="16">SUMIF($AA:$AA,$N31,$AG:$AG)</f>
        <v>0</v>
      </c>
      <c r="AC31" s="44"/>
      <c r="AD31" s="44"/>
      <c r="AE31" s="44"/>
      <c r="AF31" s="44"/>
      <c r="AG31" s="44"/>
    </row>
    <row r="32" spans="14:41" ht="11.45" customHeight="1" x14ac:dyDescent="0.25">
      <c r="N32" s="77" t="s">
        <v>335</v>
      </c>
      <c r="O32" s="273">
        <f t="shared" si="12"/>
        <v>0</v>
      </c>
      <c r="P32" s="273">
        <f t="shared" si="13"/>
        <v>0</v>
      </c>
      <c r="Q32" s="273">
        <f t="shared" si="14"/>
        <v>0</v>
      </c>
      <c r="R32" s="273">
        <f t="shared" si="15"/>
        <v>0</v>
      </c>
      <c r="S32" s="274">
        <f t="shared" si="16"/>
        <v>0</v>
      </c>
      <c r="AC32" s="44"/>
      <c r="AD32" s="44"/>
      <c r="AE32" s="44"/>
      <c r="AF32" s="44"/>
      <c r="AG32" s="44"/>
    </row>
    <row r="33" spans="14:33" ht="11.45" customHeight="1" x14ac:dyDescent="0.25">
      <c r="N33" s="77" t="s">
        <v>81</v>
      </c>
      <c r="O33" s="273">
        <f t="shared" si="12"/>
        <v>0</v>
      </c>
      <c r="P33" s="273">
        <f t="shared" si="13"/>
        <v>0</v>
      </c>
      <c r="Q33" s="273">
        <f t="shared" si="14"/>
        <v>0</v>
      </c>
      <c r="R33" s="273">
        <f t="shared" si="15"/>
        <v>0</v>
      </c>
      <c r="S33" s="274">
        <f t="shared" si="16"/>
        <v>0</v>
      </c>
      <c r="AC33" s="44"/>
      <c r="AD33" s="44"/>
      <c r="AE33" s="44"/>
      <c r="AF33" s="44"/>
      <c r="AG33" s="44"/>
    </row>
    <row r="34" spans="14:33" ht="11.45" customHeight="1" x14ac:dyDescent="0.25">
      <c r="N34" s="79" t="s">
        <v>77</v>
      </c>
      <c r="O34" s="275">
        <f>SUM(O30:O33)</f>
        <v>0</v>
      </c>
      <c r="P34" s="275">
        <f t="shared" ref="P34:S34" si="17">SUM(P30:P33)</f>
        <v>0</v>
      </c>
      <c r="Q34" s="275">
        <f t="shared" si="17"/>
        <v>0</v>
      </c>
      <c r="R34" s="275">
        <f t="shared" si="17"/>
        <v>0</v>
      </c>
      <c r="S34" s="276">
        <f t="shared" si="17"/>
        <v>0</v>
      </c>
      <c r="AC34" s="44"/>
      <c r="AD34" s="44"/>
      <c r="AE34" s="44"/>
      <c r="AF34" s="44"/>
      <c r="AG34" s="44"/>
    </row>
    <row r="35" spans="14:33" ht="11.45" customHeight="1" x14ac:dyDescent="0.25">
      <c r="N35" s="238"/>
      <c r="O35" s="275"/>
      <c r="P35" s="275"/>
      <c r="Q35" s="275"/>
      <c r="R35" s="275"/>
      <c r="S35" s="276"/>
      <c r="AC35" s="44"/>
      <c r="AD35" s="44"/>
      <c r="AE35" s="44"/>
      <c r="AF35" s="44"/>
      <c r="AG35" s="44"/>
    </row>
    <row r="36" spans="14:33" ht="11.45" customHeight="1" x14ac:dyDescent="0.25">
      <c r="N36" s="79" t="s">
        <v>100</v>
      </c>
      <c r="O36" s="275">
        <f>SUM(O34,O28)</f>
        <v>0</v>
      </c>
      <c r="P36" s="275">
        <f t="shared" ref="P36:S36" si="18">SUM(P34,P28)</f>
        <v>0</v>
      </c>
      <c r="Q36" s="275">
        <f t="shared" si="18"/>
        <v>0</v>
      </c>
      <c r="R36" s="275">
        <f t="shared" si="18"/>
        <v>0</v>
      </c>
      <c r="S36" s="276">
        <f t="shared" si="18"/>
        <v>0</v>
      </c>
      <c r="AC36" s="44"/>
      <c r="AD36" s="44"/>
      <c r="AE36" s="44"/>
      <c r="AF36" s="44"/>
      <c r="AG36" s="44"/>
    </row>
    <row r="37" spans="14:33" ht="11.45" customHeight="1" x14ac:dyDescent="0.25">
      <c r="N37" s="79" t="s">
        <v>84</v>
      </c>
      <c r="O37" s="275">
        <f>O19-O36</f>
        <v>0</v>
      </c>
      <c r="P37" s="275">
        <f t="shared" ref="P37:S37" si="19">P19-P36</f>
        <v>0</v>
      </c>
      <c r="Q37" s="275">
        <f t="shared" si="19"/>
        <v>0</v>
      </c>
      <c r="R37" s="275">
        <f t="shared" si="19"/>
        <v>0</v>
      </c>
      <c r="S37" s="276">
        <f t="shared" si="19"/>
        <v>0</v>
      </c>
      <c r="AC37" s="44"/>
      <c r="AD37" s="44"/>
      <c r="AE37" s="44"/>
      <c r="AF37" s="44"/>
      <c r="AG37" s="44"/>
    </row>
    <row r="38" spans="14:33" ht="11.45" customHeight="1" x14ac:dyDescent="0.25">
      <c r="N38" s="238"/>
      <c r="O38" s="273"/>
      <c r="P38" s="273"/>
      <c r="Q38" s="273"/>
      <c r="R38" s="273"/>
      <c r="S38" s="274"/>
      <c r="AC38" s="44"/>
      <c r="AD38" s="44"/>
      <c r="AE38" s="44"/>
      <c r="AF38" s="44"/>
      <c r="AG38" s="44"/>
    </row>
    <row r="39" spans="14:33" ht="11.45" customHeight="1" x14ac:dyDescent="0.25">
      <c r="N39" s="77" t="s">
        <v>86</v>
      </c>
      <c r="O39" s="273">
        <f>SUMIF($AA:$AA,$N39,$AC:$AC)</f>
        <v>0</v>
      </c>
      <c r="P39" s="273">
        <f>SUMIF($AA:$AA,$N39,$AD:$AD)</f>
        <v>0</v>
      </c>
      <c r="Q39" s="273">
        <f>SUMIF($AA:$AA,$N39,$AE:$AE)</f>
        <v>0</v>
      </c>
      <c r="R39" s="273">
        <f>SUMIF($AA:$AA,$N39,$AF:$AF)</f>
        <v>0</v>
      </c>
      <c r="S39" s="274">
        <f>SUMIF($AA:$AA,$N39,$AG:$AG)</f>
        <v>0</v>
      </c>
    </row>
    <row r="40" spans="14:33" ht="11.45" customHeight="1" x14ac:dyDescent="0.25">
      <c r="N40" s="77" t="s">
        <v>87</v>
      </c>
      <c r="O40" s="273">
        <f t="shared" ref="O40:O41" si="20">SUMIF($AA:$AA,$N40,$AC:$AC)</f>
        <v>0</v>
      </c>
      <c r="P40" s="273">
        <f t="shared" ref="P40:P41" si="21">SUMIF($AA:$AA,$N40,$AD:$AD)</f>
        <v>0</v>
      </c>
      <c r="Q40" s="273">
        <f t="shared" ref="Q40:Q41" si="22">SUMIF($AA:$AA,$N40,$AE:$AE)</f>
        <v>0</v>
      </c>
      <c r="R40" s="273">
        <f t="shared" ref="R40:R41" si="23">SUMIF($AA:$AA,$N40,$AF:$AF)</f>
        <v>0</v>
      </c>
      <c r="S40" s="274">
        <f t="shared" ref="S40:S41" si="24">SUMIF($AA:$AA,$N40,$AG:$AG)</f>
        <v>0</v>
      </c>
    </row>
    <row r="41" spans="14:33" ht="11.45" customHeight="1" x14ac:dyDescent="0.25">
      <c r="N41" s="77" t="s">
        <v>303</v>
      </c>
      <c r="O41" s="273">
        <f t="shared" si="20"/>
        <v>0</v>
      </c>
      <c r="P41" s="273">
        <f t="shared" si="21"/>
        <v>0</v>
      </c>
      <c r="Q41" s="273">
        <f t="shared" si="22"/>
        <v>0</v>
      </c>
      <c r="R41" s="273">
        <f t="shared" si="23"/>
        <v>0</v>
      </c>
      <c r="S41" s="274">
        <f t="shared" si="24"/>
        <v>0</v>
      </c>
    </row>
    <row r="42" spans="14:33" ht="11.45" customHeight="1" x14ac:dyDescent="0.25">
      <c r="N42" s="80" t="s">
        <v>92</v>
      </c>
      <c r="O42" s="277">
        <f>O37-SUM(O39:O41)</f>
        <v>0</v>
      </c>
      <c r="P42" s="277">
        <f t="shared" ref="P42:S42" si="25">P37-SUM(P39:P41)</f>
        <v>0</v>
      </c>
      <c r="Q42" s="277">
        <f t="shared" si="25"/>
        <v>0</v>
      </c>
      <c r="R42" s="277">
        <f t="shared" si="25"/>
        <v>0</v>
      </c>
      <c r="S42" s="278">
        <f t="shared" si="25"/>
        <v>0</v>
      </c>
    </row>
    <row r="43" spans="14:33" ht="11.45" customHeight="1" x14ac:dyDescent="0.25"/>
    <row r="44" spans="14:33" ht="11.45" customHeight="1" x14ac:dyDescent="0.25"/>
    <row r="45" spans="14:33" ht="11.45" customHeight="1" x14ac:dyDescent="0.25"/>
    <row r="46" spans="14:33" ht="11.45" customHeight="1" x14ac:dyDescent="0.25"/>
    <row r="47" spans="14:33" ht="11.45" customHeight="1" x14ac:dyDescent="0.25"/>
  </sheetData>
  <pageMargins left="0.7" right="0.7" top="0.75" bottom="0.75" header="0.3" footer="0.3"/>
  <pageSetup orientation="portrait" horizontalDpi="300" verticalDpi="300" r:id="rId1"/>
  <ignoredErrors>
    <ignoredError sqref="O19:S19 O28:S28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theme="2" tint="-0.499984740745262"/>
  </sheetPr>
  <dimension ref="A5:AG50"/>
  <sheetViews>
    <sheetView showGridLines="0" zoomScaleNormal="100" workbookViewId="0">
      <pane xSplit="1" ySplit="10" topLeftCell="B11" activePane="bottomRight" state="frozen"/>
      <selection pane="topRight" activeCell="B1" sqref="B1"/>
      <selection pane="bottomLeft" activeCell="A11" sqref="A11"/>
      <selection pane="bottomRight"/>
    </sheetView>
  </sheetViews>
  <sheetFormatPr defaultColWidth="0" defaultRowHeight="11.45" customHeight="1" x14ac:dyDescent="0.2"/>
  <cols>
    <col min="1" max="1" width="2.28515625" style="1" customWidth="1"/>
    <col min="2" max="2" width="8.42578125" style="1" bestFit="1" customWidth="1"/>
    <col min="3" max="3" width="8.28515625" style="1" customWidth="1"/>
    <col min="4" max="4" width="12.7109375" style="1" customWidth="1"/>
    <col min="5" max="6" width="8.28515625" style="1" customWidth="1"/>
    <col min="7" max="7" width="12.7109375" style="1" bestFit="1" customWidth="1"/>
    <col min="8" max="8" width="29.85546875" style="1" bestFit="1" customWidth="1"/>
    <col min="9" max="9" width="8.85546875" style="1" customWidth="1"/>
    <col min="10" max="10" width="15.42578125" style="1" bestFit="1" customWidth="1"/>
    <col min="11" max="11" width="12.7109375" style="1" bestFit="1" customWidth="1"/>
    <col min="12" max="12" width="10.42578125" style="10" customWidth="1"/>
    <col min="13" max="13" width="15.28515625" style="10" customWidth="1"/>
    <col min="14" max="14" width="18.5703125" style="1" customWidth="1"/>
    <col min="15" max="15" width="15.7109375" style="1" customWidth="1"/>
    <col min="16" max="16" width="15.7109375" style="1" bestFit="1" customWidth="1"/>
    <col min="17" max="20" width="15.7109375" style="1" customWidth="1"/>
    <col min="21" max="21" width="16.85546875" style="1" hidden="1" customWidth="1"/>
    <col min="22" max="23" width="15.7109375" style="1" customWidth="1"/>
    <col min="24" max="24" width="16.28515625" style="1" customWidth="1"/>
    <col min="25" max="31" width="15.7109375" style="1" customWidth="1"/>
    <col min="32" max="32" width="40" style="1" customWidth="1"/>
    <col min="33" max="33" width="2.28515625" style="1" customWidth="1"/>
    <col min="34" max="16384" width="8.7109375" style="1" hidden="1"/>
  </cols>
  <sheetData>
    <row r="5" spans="1:33" ht="11.45" customHeight="1" x14ac:dyDescent="0.2">
      <c r="B5" s="349" t="s">
        <v>209</v>
      </c>
      <c r="C5" s="349"/>
      <c r="D5" s="350"/>
      <c r="E5" s="351"/>
    </row>
    <row r="7" spans="1:33" ht="11.45" customHeight="1" x14ac:dyDescent="0.2">
      <c r="A7" s="6"/>
      <c r="B7" s="358" t="s">
        <v>394</v>
      </c>
      <c r="C7" s="355" t="s">
        <v>390</v>
      </c>
      <c r="D7" s="356" t="s">
        <v>20</v>
      </c>
      <c r="E7" s="357"/>
      <c r="F7" s="357"/>
      <c r="G7" s="357"/>
      <c r="H7" s="357"/>
      <c r="I7" s="358"/>
      <c r="J7" s="354" t="s">
        <v>21</v>
      </c>
      <c r="K7" s="354"/>
      <c r="L7" s="354" t="s">
        <v>22</v>
      </c>
      <c r="M7" s="354"/>
      <c r="N7" s="354"/>
      <c r="O7" s="354" t="s">
        <v>23</v>
      </c>
      <c r="P7" s="354"/>
      <c r="Q7" s="354"/>
      <c r="R7" s="47" t="s">
        <v>24</v>
      </c>
      <c r="S7" s="354" t="s">
        <v>25</v>
      </c>
      <c r="T7" s="354"/>
      <c r="U7" s="356" t="s">
        <v>26</v>
      </c>
      <c r="V7" s="357"/>
      <c r="W7" s="357"/>
      <c r="X7" s="358"/>
      <c r="Y7" s="359" t="s">
        <v>205</v>
      </c>
      <c r="Z7" s="360" t="s">
        <v>206</v>
      </c>
      <c r="AA7" s="360" t="s">
        <v>207</v>
      </c>
      <c r="AB7" s="360" t="s">
        <v>203</v>
      </c>
      <c r="AC7" s="360" t="s">
        <v>415</v>
      </c>
      <c r="AD7" s="355" t="s">
        <v>43</v>
      </c>
      <c r="AE7" s="355" t="s">
        <v>204</v>
      </c>
      <c r="AF7" s="356" t="s">
        <v>27</v>
      </c>
      <c r="AG7" s="7"/>
    </row>
    <row r="8" spans="1:33" ht="11.45" customHeight="1" x14ac:dyDescent="0.2">
      <c r="B8" s="364"/>
      <c r="C8" s="355"/>
      <c r="D8" s="352" t="s">
        <v>30</v>
      </c>
      <c r="E8" s="353" t="s">
        <v>391</v>
      </c>
      <c r="F8" s="353" t="s">
        <v>392</v>
      </c>
      <c r="G8" s="352" t="s">
        <v>28</v>
      </c>
      <c r="H8" s="352" t="s">
        <v>29</v>
      </c>
      <c r="I8" s="352" t="s">
        <v>31</v>
      </c>
      <c r="J8" s="352" t="s">
        <v>32</v>
      </c>
      <c r="K8" s="352" t="s">
        <v>33</v>
      </c>
      <c r="L8" s="368" t="s">
        <v>34</v>
      </c>
      <c r="M8" s="368" t="s">
        <v>35</v>
      </c>
      <c r="N8" s="352" t="s">
        <v>36</v>
      </c>
      <c r="O8" s="353" t="s">
        <v>37</v>
      </c>
      <c r="P8" s="352" t="s">
        <v>38</v>
      </c>
      <c r="Q8" s="352" t="s">
        <v>39</v>
      </c>
      <c r="R8" s="352" t="s">
        <v>40</v>
      </c>
      <c r="S8" s="352" t="s">
        <v>41</v>
      </c>
      <c r="T8" s="363" t="s">
        <v>42</v>
      </c>
      <c r="U8" s="353"/>
      <c r="V8" s="353" t="s">
        <v>44</v>
      </c>
      <c r="W8" s="353" t="s">
        <v>331</v>
      </c>
      <c r="X8" s="352" t="s">
        <v>332</v>
      </c>
      <c r="Y8" s="360"/>
      <c r="Z8" s="360"/>
      <c r="AA8" s="360"/>
      <c r="AB8" s="360"/>
      <c r="AC8" s="360"/>
      <c r="AD8" s="355"/>
      <c r="AE8" s="355"/>
      <c r="AF8" s="366"/>
    </row>
    <row r="9" spans="1:33" ht="14.45" customHeight="1" x14ac:dyDescent="0.2">
      <c r="B9" s="365"/>
      <c r="C9" s="354"/>
      <c r="D9" s="353"/>
      <c r="E9" s="354"/>
      <c r="F9" s="354"/>
      <c r="G9" s="353"/>
      <c r="H9" s="353"/>
      <c r="I9" s="353"/>
      <c r="J9" s="353"/>
      <c r="K9" s="353"/>
      <c r="L9" s="369"/>
      <c r="M9" s="369"/>
      <c r="N9" s="353"/>
      <c r="O9" s="354"/>
      <c r="P9" s="353"/>
      <c r="Q9" s="353"/>
      <c r="R9" s="353"/>
      <c r="S9" s="353"/>
      <c r="T9" s="359"/>
      <c r="U9" s="354"/>
      <c r="V9" s="354"/>
      <c r="W9" s="354"/>
      <c r="X9" s="353"/>
      <c r="Y9" s="361"/>
      <c r="Z9" s="361"/>
      <c r="AA9" s="361"/>
      <c r="AB9" s="361"/>
      <c r="AC9" s="361"/>
      <c r="AD9" s="354"/>
      <c r="AE9" s="354"/>
      <c r="AF9" s="367"/>
    </row>
    <row r="10" spans="1:33" ht="11.45" customHeight="1" x14ac:dyDescent="0.2">
      <c r="A10" s="4"/>
      <c r="B10" s="362" t="s">
        <v>45</v>
      </c>
      <c r="C10" s="362"/>
      <c r="D10" s="362"/>
      <c r="E10" s="362"/>
      <c r="F10" s="362"/>
      <c r="G10" s="362"/>
      <c r="H10" s="362"/>
      <c r="I10" s="362"/>
      <c r="J10" s="236">
        <f>SUM($J$11:$J50)</f>
        <v>0</v>
      </c>
      <c r="K10" s="48">
        <f>IF($J$10=0,0,IF($J$10="",0,$J$10/J$10))</f>
        <v>0</v>
      </c>
      <c r="L10" s="49"/>
      <c r="M10" s="49"/>
      <c r="N10" s="50"/>
      <c r="O10" s="51">
        <f>SUM($O$11:$O50)</f>
        <v>0</v>
      </c>
      <c r="P10" s="52">
        <f>$O$10*12</f>
        <v>0</v>
      </c>
      <c r="Q10" s="52">
        <f>IF($J$10=0,0,IF($J$10="",0,$P$10/$J$10))</f>
        <v>0</v>
      </c>
      <c r="R10" s="52">
        <f>SUM($R$11:$R50)</f>
        <v>0</v>
      </c>
      <c r="S10" s="52">
        <f>SUM($S$11:$S50)</f>
        <v>0</v>
      </c>
      <c r="T10" s="52">
        <f>IF($J$10=0,0,IF($J$10="",0,$S$10/$J$10))</f>
        <v>0</v>
      </c>
      <c r="U10" s="52"/>
      <c r="V10" s="52">
        <f>SUM($V$11:$V50)</f>
        <v>0</v>
      </c>
      <c r="W10" s="52">
        <f>SUM($W$11:$W50)</f>
        <v>0</v>
      </c>
      <c r="X10" s="52">
        <f>SUM($V$10:$W$10)*12</f>
        <v>0</v>
      </c>
      <c r="Y10" s="52">
        <f>SUM($Y$11:$Y50)</f>
        <v>0</v>
      </c>
      <c r="Z10" s="52">
        <f>SUM($Z$11:$Z50)</f>
        <v>0</v>
      </c>
      <c r="AA10" s="52">
        <f>SUM($AA$11:$AA50)</f>
        <v>0</v>
      </c>
      <c r="AB10" s="52">
        <f>SUM($AB$11:$AB50)</f>
        <v>0</v>
      </c>
      <c r="AC10" s="52">
        <f>SUM($AC$11:$AC50)</f>
        <v>0</v>
      </c>
      <c r="AD10" s="52">
        <f>SUM($AD$11:$AD50)</f>
        <v>0</v>
      </c>
      <c r="AE10" s="52">
        <f>SUM($AE$11:$AE50)</f>
        <v>0</v>
      </c>
      <c r="AF10" s="53"/>
    </row>
    <row r="11" spans="1:33" ht="11.45" customHeight="1" x14ac:dyDescent="0.2">
      <c r="B11" s="160">
        <v>1</v>
      </c>
      <c r="C11" s="54"/>
      <c r="D11" s="54"/>
      <c r="E11" s="160" t="str">
        <f>IFERROR(IF(VLOOKUP(IF(OR($D11=0,$D11="",$D11="-",$D11="N/A"),$G11,$D11),'Rent Roll Analysis'!$B$31:$D$45,2,0)=0,"-",VLOOKUP(IF(OR($D11=0,$D11="",$D11="-",$D11="N/A"),$G11,$D11),'Rent Roll Analysis'!$B$31:$D$45,2,0)),"-")</f>
        <v>-</v>
      </c>
      <c r="F11" s="160" t="str">
        <f>IFERROR(IF(VLOOKUP(IF(OR($D11=0,$D11="",$D11="-",$D11="N/A"),$G11,$D11),'Rent Roll Analysis'!$B$31:$D$45,3,0)=0,"-",VLOOKUP(IF(OR($D11=0,$D11="",$D11="-",$D11="N/A"),$G11,$D11),'Rent Roll Analysis'!$B$31:$D$45,3,0)),"-")</f>
        <v>-</v>
      </c>
      <c r="G11" s="54"/>
      <c r="H11" s="54"/>
      <c r="I11" s="54"/>
      <c r="J11" s="158"/>
      <c r="K11" s="55">
        <f>IF($J11=0,0,IF($J11="",0,$J11/J$10))</f>
        <v>0</v>
      </c>
      <c r="L11" s="256"/>
      <c r="M11" s="256"/>
      <c r="N11" s="56" t="str">
        <f ca="1">IFERROR(IF($M11="","",SUM((YEAR($M11)-YEAR(NOW()))*12,MONTH($M11)-MONTH(NOW()))),"")</f>
        <v/>
      </c>
      <c r="O11" s="57"/>
      <c r="P11" s="58">
        <f>$O11*12</f>
        <v>0</v>
      </c>
      <c r="Q11" s="60">
        <f>IF($J11=0,0,IF($J11="",0,$P11/$J11))</f>
        <v>0</v>
      </c>
      <c r="R11" s="57"/>
      <c r="S11" s="60" t="str">
        <f>IF(OR($I11="Occupied",$I11="MTM",$I11="Employee"),$P11,IF(OR($I11="Admin/Model",$I11="Vacant",$I11="Down"),$R11*12,""))</f>
        <v/>
      </c>
      <c r="T11" s="60">
        <f>IF($J11=0,0,IF($J11="",0,$S11/$J11))</f>
        <v>0</v>
      </c>
      <c r="U11" s="57"/>
      <c r="V11" s="57"/>
      <c r="W11" s="57"/>
      <c r="X11" s="58">
        <f>SUM($U11:$W11)*12</f>
        <v>0</v>
      </c>
      <c r="Y11" s="57"/>
      <c r="Z11" s="57"/>
      <c r="AA11" s="58">
        <f>$O11-$Y11+$Z11</f>
        <v>0</v>
      </c>
      <c r="AB11" s="57"/>
      <c r="AC11" s="57"/>
      <c r="AD11" s="57"/>
      <c r="AE11" s="58">
        <f>SUM($AA11:$AD11)</f>
        <v>0</v>
      </c>
      <c r="AF11" s="61"/>
    </row>
    <row r="12" spans="1:33" ht="11.45" customHeight="1" x14ac:dyDescent="0.2">
      <c r="B12" s="161">
        <f>$B11+1</f>
        <v>2</v>
      </c>
      <c r="C12" s="59"/>
      <c r="D12" s="59"/>
      <c r="E12" s="160" t="str">
        <f>IFERROR(IF(VLOOKUP(IF(OR($D12=0,$D12="",$D12="-",$D12="N/A"),$G12,$D12),'Rent Roll Analysis'!$B$31:$D$45,2,0)=0,"-",VLOOKUP(IF(OR($D12=0,$D12="",$D12="-",$D12="N/A"),$G12,$D12),'Rent Roll Analysis'!$B$31:$D$45,2,0)),"-")</f>
        <v>-</v>
      </c>
      <c r="F12" s="160" t="str">
        <f>IFERROR(IF(VLOOKUP(IF(OR($D12=0,$D12="",$D12="-",$D12="N/A"),$G12,$D12),'Rent Roll Analysis'!$B$31:$D$45,3,0)=0,"-",VLOOKUP(IF(OR($D12=0,$D12="",$D12="-",$D12="N/A"),$G12,$D12),'Rent Roll Analysis'!$B$31:$D$45,3,0)),"-")</f>
        <v>-</v>
      </c>
      <c r="G12" s="59"/>
      <c r="H12" s="59"/>
      <c r="I12" s="59"/>
      <c r="J12" s="158"/>
      <c r="K12" s="55">
        <f t="shared" ref="K12:K50" si="0">IF($J12=0,0,IF($J12="",0,$J12/J$10))</f>
        <v>0</v>
      </c>
      <c r="L12" s="257"/>
      <c r="M12" s="257"/>
      <c r="N12" s="56" t="str">
        <f t="shared" ref="N12:N50" ca="1" si="1">IFERROR(IF($M12="","",SUM((YEAR($M12)-YEAR(NOW()))*12,MONTH($M12)-MONTH(NOW()))),"")</f>
        <v/>
      </c>
      <c r="O12" s="57"/>
      <c r="P12" s="58">
        <f t="shared" ref="P12:P50" si="2">$O12*12</f>
        <v>0</v>
      </c>
      <c r="Q12" s="60">
        <f t="shared" ref="Q12:Q50" si="3">IF($J12=0,0,IF($J12="",0,$P12/$J12))</f>
        <v>0</v>
      </c>
      <c r="R12" s="57"/>
      <c r="S12" s="60" t="str">
        <f t="shared" ref="S12:S50" si="4">IF(OR($I12="Occupied",$I12="MTM",$I12="Employee"),$P12,IF(OR($I12="Admin/Model",$I12="Vacant",$I12="Down"),$R12*12,""))</f>
        <v/>
      </c>
      <c r="T12" s="60">
        <f t="shared" ref="T12:T50" si="5">IF($J12=0,0,IF($J12="",0,$S12/$J12))</f>
        <v>0</v>
      </c>
      <c r="U12" s="57"/>
      <c r="V12" s="57"/>
      <c r="W12" s="57"/>
      <c r="X12" s="58">
        <f t="shared" ref="X12:X50" si="6">SUM($U12:$W12)*12</f>
        <v>0</v>
      </c>
      <c r="Y12" s="57"/>
      <c r="Z12" s="57"/>
      <c r="AA12" s="58">
        <f t="shared" ref="AA12:AA50" si="7">$O12-$Y12+$Z12</f>
        <v>0</v>
      </c>
      <c r="AB12" s="57"/>
      <c r="AC12" s="57"/>
      <c r="AD12" s="57"/>
      <c r="AE12" s="58">
        <f t="shared" ref="AE12:AE50" si="8">SUM($AA12:$AD12)</f>
        <v>0</v>
      </c>
      <c r="AF12" s="61"/>
    </row>
    <row r="13" spans="1:33" ht="11.45" customHeight="1" x14ac:dyDescent="0.2">
      <c r="B13" s="161">
        <f t="shared" ref="B13:B50" si="9">$B12+1</f>
        <v>3</v>
      </c>
      <c r="C13" s="59"/>
      <c r="D13" s="59"/>
      <c r="E13" s="160" t="str">
        <f>IFERROR(IF(VLOOKUP(IF(OR($D13=0,$D13="",$D13="-",$D13="N/A"),$G13,$D13),'Rent Roll Analysis'!$B$31:$D$45,2,0)=0,"-",VLOOKUP(IF(OR($D13=0,$D13="",$D13="-",$D13="N/A"),$G13,$D13),'Rent Roll Analysis'!$B$31:$D$45,2,0)),"-")</f>
        <v>-</v>
      </c>
      <c r="F13" s="160" t="str">
        <f>IFERROR(IF(VLOOKUP(IF(OR($D13=0,$D13="",$D13="-",$D13="N/A"),$G13,$D13),'Rent Roll Analysis'!$B$31:$D$45,3,0)=0,"-",VLOOKUP(IF(OR($D13=0,$D13="",$D13="-",$D13="N/A"),$G13,$D13),'Rent Roll Analysis'!$B$31:$D$45,3,0)),"-")</f>
        <v>-</v>
      </c>
      <c r="G13" s="59"/>
      <c r="H13" s="59"/>
      <c r="I13" s="59"/>
      <c r="J13" s="158"/>
      <c r="K13" s="55">
        <f t="shared" si="0"/>
        <v>0</v>
      </c>
      <c r="L13" s="257"/>
      <c r="M13" s="257"/>
      <c r="N13" s="56" t="str">
        <f t="shared" ca="1" si="1"/>
        <v/>
      </c>
      <c r="O13" s="57"/>
      <c r="P13" s="58">
        <f t="shared" si="2"/>
        <v>0</v>
      </c>
      <c r="Q13" s="60">
        <f t="shared" si="3"/>
        <v>0</v>
      </c>
      <c r="R13" s="57"/>
      <c r="S13" s="60" t="str">
        <f t="shared" si="4"/>
        <v/>
      </c>
      <c r="T13" s="60">
        <f t="shared" si="5"/>
        <v>0</v>
      </c>
      <c r="U13" s="59"/>
      <c r="V13" s="59"/>
      <c r="W13" s="59"/>
      <c r="X13" s="58">
        <f t="shared" si="6"/>
        <v>0</v>
      </c>
      <c r="Y13" s="59"/>
      <c r="Z13" s="59"/>
      <c r="AA13" s="58">
        <f t="shared" si="7"/>
        <v>0</v>
      </c>
      <c r="AB13" s="59"/>
      <c r="AC13" s="59"/>
      <c r="AD13" s="59"/>
      <c r="AE13" s="58">
        <f t="shared" si="8"/>
        <v>0</v>
      </c>
      <c r="AF13" s="59"/>
    </row>
    <row r="14" spans="1:33" ht="11.45" customHeight="1" x14ac:dyDescent="0.2">
      <c r="B14" s="161">
        <f t="shared" si="9"/>
        <v>4</v>
      </c>
      <c r="C14" s="59"/>
      <c r="D14" s="54"/>
      <c r="E14" s="160" t="str">
        <f>IFERROR(IF(VLOOKUP(IF(OR($D14=0,$D14="",$D14="-",$D14="N/A"),$G14,$D14),'Rent Roll Analysis'!$B$31:$D$45,2,0)=0,"-",VLOOKUP(IF(OR($D14=0,$D14="",$D14="-",$D14="N/A"),$G14,$D14),'Rent Roll Analysis'!$B$31:$D$45,2,0)),"-")</f>
        <v>-</v>
      </c>
      <c r="F14" s="160" t="str">
        <f>IFERROR(IF(VLOOKUP(IF(OR($D14=0,$D14="",$D14="-",$D14="N/A"),$G14,$D14),'Rent Roll Analysis'!$B$31:$D$45,3,0)=0,"-",VLOOKUP(IF(OR($D14=0,$D14="",$D14="-",$D14="N/A"),$G14,$D14),'Rent Roll Analysis'!$B$31:$D$45,3,0)),"-")</f>
        <v>-</v>
      </c>
      <c r="G14" s="59"/>
      <c r="H14" s="59"/>
      <c r="I14" s="59"/>
      <c r="J14" s="158"/>
      <c r="K14" s="55">
        <f t="shared" si="0"/>
        <v>0</v>
      </c>
      <c r="L14" s="257"/>
      <c r="M14" s="257"/>
      <c r="N14" s="56" t="str">
        <f t="shared" ca="1" si="1"/>
        <v/>
      </c>
      <c r="O14" s="57"/>
      <c r="P14" s="58">
        <f t="shared" si="2"/>
        <v>0</v>
      </c>
      <c r="Q14" s="60">
        <f t="shared" si="3"/>
        <v>0</v>
      </c>
      <c r="R14" s="57"/>
      <c r="S14" s="60" t="str">
        <f t="shared" si="4"/>
        <v/>
      </c>
      <c r="T14" s="60">
        <f t="shared" si="5"/>
        <v>0</v>
      </c>
      <c r="U14" s="57"/>
      <c r="V14" s="57"/>
      <c r="W14" s="57"/>
      <c r="X14" s="58">
        <f t="shared" si="6"/>
        <v>0</v>
      </c>
      <c r="Y14" s="57"/>
      <c r="Z14" s="57"/>
      <c r="AA14" s="58">
        <f t="shared" si="7"/>
        <v>0</v>
      </c>
      <c r="AB14" s="57"/>
      <c r="AC14" s="57"/>
      <c r="AD14" s="57"/>
      <c r="AE14" s="58">
        <f t="shared" si="8"/>
        <v>0</v>
      </c>
      <c r="AF14" s="61"/>
    </row>
    <row r="15" spans="1:33" ht="11.45" customHeight="1" x14ac:dyDescent="0.2">
      <c r="B15" s="161">
        <f t="shared" si="9"/>
        <v>5</v>
      </c>
      <c r="C15" s="59"/>
      <c r="D15" s="59"/>
      <c r="E15" s="160" t="str">
        <f>IFERROR(IF(VLOOKUP(IF(OR($D15=0,$D15="",$D15="-",$D15="N/A"),$G15,$D15),'Rent Roll Analysis'!$B$31:$D$45,2,0)=0,"-",VLOOKUP(IF(OR($D15=0,$D15="",$D15="-",$D15="N/A"),$G15,$D15),'Rent Roll Analysis'!$B$31:$D$45,2,0)),"-")</f>
        <v>-</v>
      </c>
      <c r="F15" s="160" t="str">
        <f>IFERROR(IF(VLOOKUP(IF(OR($D15=0,$D15="",$D15="-",$D15="N/A"),$G15,$D15),'Rent Roll Analysis'!$B$31:$D$45,3,0)=0,"-",VLOOKUP(IF(OR($D15=0,$D15="",$D15="-",$D15="N/A"),$G15,$D15),'Rent Roll Analysis'!$B$31:$D$45,3,0)),"-")</f>
        <v>-</v>
      </c>
      <c r="G15" s="59"/>
      <c r="H15" s="59"/>
      <c r="I15" s="59"/>
      <c r="J15" s="158"/>
      <c r="K15" s="55">
        <f t="shared" si="0"/>
        <v>0</v>
      </c>
      <c r="L15" s="257"/>
      <c r="M15" s="257"/>
      <c r="N15" s="56" t="str">
        <f t="shared" ca="1" si="1"/>
        <v/>
      </c>
      <c r="O15" s="57"/>
      <c r="P15" s="58">
        <f t="shared" si="2"/>
        <v>0</v>
      </c>
      <c r="Q15" s="60">
        <f t="shared" si="3"/>
        <v>0</v>
      </c>
      <c r="R15" s="57"/>
      <c r="S15" s="60" t="str">
        <f t="shared" si="4"/>
        <v/>
      </c>
      <c r="T15" s="60">
        <f t="shared" si="5"/>
        <v>0</v>
      </c>
      <c r="U15" s="59"/>
      <c r="V15" s="59"/>
      <c r="W15" s="59"/>
      <c r="X15" s="58">
        <f t="shared" si="6"/>
        <v>0</v>
      </c>
      <c r="Y15" s="59"/>
      <c r="Z15" s="59"/>
      <c r="AA15" s="58">
        <f t="shared" si="7"/>
        <v>0</v>
      </c>
      <c r="AB15" s="59"/>
      <c r="AC15" s="59"/>
      <c r="AD15" s="59"/>
      <c r="AE15" s="58">
        <f t="shared" si="8"/>
        <v>0</v>
      </c>
      <c r="AF15" s="59"/>
    </row>
    <row r="16" spans="1:33" ht="11.45" customHeight="1" x14ac:dyDescent="0.2">
      <c r="B16" s="161">
        <f t="shared" si="9"/>
        <v>6</v>
      </c>
      <c r="C16" s="59"/>
      <c r="D16" s="59"/>
      <c r="E16" s="160" t="str">
        <f>IFERROR(IF(VLOOKUP(IF(OR($D16=0,$D16="",$D16="-",$D16="N/A"),$G16,$D16),'Rent Roll Analysis'!$B$31:$D$45,2,0)=0,"-",VLOOKUP(IF(OR($D16=0,$D16="",$D16="-",$D16="N/A"),$G16,$D16),'Rent Roll Analysis'!$B$31:$D$45,2,0)),"-")</f>
        <v>-</v>
      </c>
      <c r="F16" s="160" t="str">
        <f>IFERROR(IF(VLOOKUP(IF(OR($D16=0,$D16="",$D16="-",$D16="N/A"),$G16,$D16),'Rent Roll Analysis'!$B$31:$D$45,3,0)=0,"-",VLOOKUP(IF(OR($D16=0,$D16="",$D16="-",$D16="N/A"),$G16,$D16),'Rent Roll Analysis'!$B$31:$D$45,3,0)),"-")</f>
        <v>-</v>
      </c>
      <c r="G16" s="59"/>
      <c r="H16" s="59"/>
      <c r="I16" s="59"/>
      <c r="J16" s="158"/>
      <c r="K16" s="55">
        <f t="shared" si="0"/>
        <v>0</v>
      </c>
      <c r="L16" s="257"/>
      <c r="M16" s="257"/>
      <c r="N16" s="56" t="str">
        <f t="shared" ca="1" si="1"/>
        <v/>
      </c>
      <c r="O16" s="57"/>
      <c r="P16" s="58">
        <f t="shared" si="2"/>
        <v>0</v>
      </c>
      <c r="Q16" s="60">
        <f t="shared" si="3"/>
        <v>0</v>
      </c>
      <c r="R16" s="57"/>
      <c r="S16" s="60" t="str">
        <f t="shared" si="4"/>
        <v/>
      </c>
      <c r="T16" s="60">
        <f t="shared" si="5"/>
        <v>0</v>
      </c>
      <c r="U16" s="57"/>
      <c r="V16" s="57"/>
      <c r="W16" s="57"/>
      <c r="X16" s="58">
        <f t="shared" si="6"/>
        <v>0</v>
      </c>
      <c r="Y16" s="57"/>
      <c r="Z16" s="57"/>
      <c r="AA16" s="58">
        <f t="shared" si="7"/>
        <v>0</v>
      </c>
      <c r="AB16" s="57"/>
      <c r="AC16" s="57"/>
      <c r="AD16" s="57"/>
      <c r="AE16" s="58">
        <f t="shared" si="8"/>
        <v>0</v>
      </c>
      <c r="AF16" s="61"/>
    </row>
    <row r="17" spans="2:32" ht="11.45" customHeight="1" x14ac:dyDescent="0.2">
      <c r="B17" s="161">
        <f t="shared" si="9"/>
        <v>7</v>
      </c>
      <c r="C17" s="59"/>
      <c r="D17" s="59"/>
      <c r="E17" s="160" t="str">
        <f>IFERROR(IF(VLOOKUP(IF(OR($D17=0,$D17="",$D17="-",$D17="N/A"),$G17,$D17),'Rent Roll Analysis'!$B$31:$D$45,2,0)=0,"-",VLOOKUP(IF(OR($D17=0,$D17="",$D17="-",$D17="N/A"),$G17,$D17),'Rent Roll Analysis'!$B$31:$D$45,2,0)),"-")</f>
        <v>-</v>
      </c>
      <c r="F17" s="160" t="str">
        <f>IFERROR(IF(VLOOKUP(IF(OR($D17=0,$D17="",$D17="-",$D17="N/A"),$G17,$D17),'Rent Roll Analysis'!$B$31:$D$45,3,0)=0,"-",VLOOKUP(IF(OR($D17=0,$D17="",$D17="-",$D17="N/A"),$G17,$D17),'Rent Roll Analysis'!$B$31:$D$45,3,0)),"-")</f>
        <v>-</v>
      </c>
      <c r="G17" s="59"/>
      <c r="H17" s="59"/>
      <c r="I17" s="59"/>
      <c r="J17" s="159"/>
      <c r="K17" s="55">
        <f t="shared" si="0"/>
        <v>0</v>
      </c>
      <c r="L17" s="257"/>
      <c r="M17" s="257"/>
      <c r="N17" s="56" t="str">
        <f t="shared" ca="1" si="1"/>
        <v/>
      </c>
      <c r="O17" s="57"/>
      <c r="P17" s="58">
        <f t="shared" si="2"/>
        <v>0</v>
      </c>
      <c r="Q17" s="60">
        <f t="shared" si="3"/>
        <v>0</v>
      </c>
      <c r="R17" s="57"/>
      <c r="S17" s="60" t="str">
        <f t="shared" si="4"/>
        <v/>
      </c>
      <c r="T17" s="60">
        <f t="shared" si="5"/>
        <v>0</v>
      </c>
      <c r="U17" s="59"/>
      <c r="V17" s="59"/>
      <c r="W17" s="59"/>
      <c r="X17" s="58">
        <f t="shared" si="6"/>
        <v>0</v>
      </c>
      <c r="Y17" s="59"/>
      <c r="Z17" s="59"/>
      <c r="AA17" s="58">
        <f t="shared" si="7"/>
        <v>0</v>
      </c>
      <c r="AB17" s="59"/>
      <c r="AC17" s="59"/>
      <c r="AD17" s="59"/>
      <c r="AE17" s="58">
        <f t="shared" si="8"/>
        <v>0</v>
      </c>
      <c r="AF17" s="59"/>
    </row>
    <row r="18" spans="2:32" ht="11.45" customHeight="1" x14ac:dyDescent="0.2">
      <c r="B18" s="161">
        <f t="shared" si="9"/>
        <v>8</v>
      </c>
      <c r="C18" s="59"/>
      <c r="D18" s="59"/>
      <c r="E18" s="160" t="str">
        <f>IFERROR(IF(VLOOKUP(IF(OR($D18=0,$D18="",$D18="-",$D18="N/A"),$G18,$D18),'Rent Roll Analysis'!$B$31:$D$45,2,0)=0,"-",VLOOKUP(IF(OR($D18=0,$D18="",$D18="-",$D18="N/A"),$G18,$D18),'Rent Roll Analysis'!$B$31:$D$45,2,0)),"-")</f>
        <v>-</v>
      </c>
      <c r="F18" s="160" t="str">
        <f>IFERROR(IF(VLOOKUP(IF(OR($D18=0,$D18="",$D18="-",$D18="N/A"),$G18,$D18),'Rent Roll Analysis'!$B$31:$D$45,3,0)=0,"-",VLOOKUP(IF(OR($D18=0,$D18="",$D18="-",$D18="N/A"),$G18,$D18),'Rent Roll Analysis'!$B$31:$D$45,3,0)),"-")</f>
        <v>-</v>
      </c>
      <c r="G18" s="59"/>
      <c r="H18" s="59"/>
      <c r="I18" s="59"/>
      <c r="J18" s="159"/>
      <c r="K18" s="55">
        <f t="shared" si="0"/>
        <v>0</v>
      </c>
      <c r="L18" s="257"/>
      <c r="M18" s="257"/>
      <c r="N18" s="56" t="str">
        <f t="shared" ca="1" si="1"/>
        <v/>
      </c>
      <c r="O18" s="57"/>
      <c r="P18" s="58">
        <f t="shared" si="2"/>
        <v>0</v>
      </c>
      <c r="Q18" s="60">
        <f t="shared" si="3"/>
        <v>0</v>
      </c>
      <c r="R18" s="57"/>
      <c r="S18" s="60" t="str">
        <f t="shared" si="4"/>
        <v/>
      </c>
      <c r="T18" s="60">
        <f t="shared" si="5"/>
        <v>0</v>
      </c>
      <c r="U18" s="57"/>
      <c r="V18" s="57"/>
      <c r="W18" s="57"/>
      <c r="X18" s="58">
        <f t="shared" si="6"/>
        <v>0</v>
      </c>
      <c r="Y18" s="57"/>
      <c r="Z18" s="57"/>
      <c r="AA18" s="58">
        <f t="shared" si="7"/>
        <v>0</v>
      </c>
      <c r="AB18" s="57"/>
      <c r="AC18" s="57"/>
      <c r="AD18" s="57"/>
      <c r="AE18" s="58">
        <f t="shared" si="8"/>
        <v>0</v>
      </c>
      <c r="AF18" s="61"/>
    </row>
    <row r="19" spans="2:32" ht="11.45" customHeight="1" x14ac:dyDescent="0.2">
      <c r="B19" s="161">
        <f t="shared" si="9"/>
        <v>9</v>
      </c>
      <c r="C19" s="59"/>
      <c r="D19" s="59"/>
      <c r="E19" s="160" t="str">
        <f>IFERROR(IF(VLOOKUP(IF(OR($D19=0,$D19="",$D19="-",$D19="N/A"),$G19,$D19),'Rent Roll Analysis'!$B$31:$D$45,2,0)=0,"-",VLOOKUP(IF(OR($D19=0,$D19="",$D19="-",$D19="N/A"),$G19,$D19),'Rent Roll Analysis'!$B$31:$D$45,2,0)),"-")</f>
        <v>-</v>
      </c>
      <c r="F19" s="160" t="str">
        <f>IFERROR(IF(VLOOKUP(IF(OR($D19=0,$D19="",$D19="-",$D19="N/A"),$G19,$D19),'Rent Roll Analysis'!$B$31:$D$45,3,0)=0,"-",VLOOKUP(IF(OR($D19=0,$D19="",$D19="-",$D19="N/A"),$G19,$D19),'Rent Roll Analysis'!$B$31:$D$45,3,0)),"-")</f>
        <v>-</v>
      </c>
      <c r="G19" s="59"/>
      <c r="H19" s="59"/>
      <c r="I19" s="59"/>
      <c r="J19" s="159"/>
      <c r="K19" s="55">
        <f t="shared" si="0"/>
        <v>0</v>
      </c>
      <c r="L19" s="257"/>
      <c r="M19" s="257"/>
      <c r="N19" s="56" t="str">
        <f t="shared" ca="1" si="1"/>
        <v/>
      </c>
      <c r="O19" s="57"/>
      <c r="P19" s="58">
        <f t="shared" si="2"/>
        <v>0</v>
      </c>
      <c r="Q19" s="60">
        <f t="shared" si="3"/>
        <v>0</v>
      </c>
      <c r="R19" s="57"/>
      <c r="S19" s="60" t="str">
        <f t="shared" si="4"/>
        <v/>
      </c>
      <c r="T19" s="60">
        <f t="shared" si="5"/>
        <v>0</v>
      </c>
      <c r="U19" s="59"/>
      <c r="V19" s="59"/>
      <c r="W19" s="59"/>
      <c r="X19" s="58">
        <f t="shared" si="6"/>
        <v>0</v>
      </c>
      <c r="Y19" s="59"/>
      <c r="Z19" s="59"/>
      <c r="AA19" s="58">
        <f t="shared" si="7"/>
        <v>0</v>
      </c>
      <c r="AB19" s="59"/>
      <c r="AC19" s="59"/>
      <c r="AD19" s="59"/>
      <c r="AE19" s="58">
        <f t="shared" si="8"/>
        <v>0</v>
      </c>
      <c r="AF19" s="59"/>
    </row>
    <row r="20" spans="2:32" ht="11.45" customHeight="1" x14ac:dyDescent="0.2">
      <c r="B20" s="161">
        <f t="shared" si="9"/>
        <v>10</v>
      </c>
      <c r="C20" s="59"/>
      <c r="D20" s="59"/>
      <c r="E20" s="160" t="str">
        <f>IFERROR(IF(VLOOKUP(IF(OR($D20=0,$D20="",$D20="-",$D20="N/A"),$G20,$D20),'Rent Roll Analysis'!$B$31:$D$45,2,0)=0,"-",VLOOKUP(IF(OR($D20=0,$D20="",$D20="-",$D20="N/A"),$G20,$D20),'Rent Roll Analysis'!$B$31:$D$45,2,0)),"-")</f>
        <v>-</v>
      </c>
      <c r="F20" s="160" t="str">
        <f>IFERROR(IF(VLOOKUP(IF(OR($D20=0,$D20="",$D20="-",$D20="N/A"),$G20,$D20),'Rent Roll Analysis'!$B$31:$D$45,3,0)=0,"-",VLOOKUP(IF(OR($D20=0,$D20="",$D20="-",$D20="N/A"),$G20,$D20),'Rent Roll Analysis'!$B$31:$D$45,3,0)),"-")</f>
        <v>-</v>
      </c>
      <c r="G20" s="59"/>
      <c r="H20" s="59"/>
      <c r="I20" s="59"/>
      <c r="J20" s="159"/>
      <c r="K20" s="55">
        <f t="shared" si="0"/>
        <v>0</v>
      </c>
      <c r="L20" s="257"/>
      <c r="M20" s="257"/>
      <c r="N20" s="56" t="str">
        <f t="shared" ca="1" si="1"/>
        <v/>
      </c>
      <c r="O20" s="57"/>
      <c r="P20" s="58">
        <f t="shared" si="2"/>
        <v>0</v>
      </c>
      <c r="Q20" s="60">
        <f t="shared" si="3"/>
        <v>0</v>
      </c>
      <c r="R20" s="57"/>
      <c r="S20" s="60" t="str">
        <f t="shared" si="4"/>
        <v/>
      </c>
      <c r="T20" s="60">
        <f t="shared" si="5"/>
        <v>0</v>
      </c>
      <c r="U20" s="57"/>
      <c r="V20" s="57"/>
      <c r="W20" s="57"/>
      <c r="X20" s="58">
        <f t="shared" si="6"/>
        <v>0</v>
      </c>
      <c r="Y20" s="57"/>
      <c r="Z20" s="57"/>
      <c r="AA20" s="58">
        <f t="shared" si="7"/>
        <v>0</v>
      </c>
      <c r="AB20" s="57"/>
      <c r="AC20" s="57"/>
      <c r="AD20" s="57"/>
      <c r="AE20" s="58">
        <f t="shared" si="8"/>
        <v>0</v>
      </c>
      <c r="AF20" s="61"/>
    </row>
    <row r="21" spans="2:32" ht="11.45" customHeight="1" x14ac:dyDescent="0.2">
      <c r="B21" s="161">
        <f t="shared" si="9"/>
        <v>11</v>
      </c>
      <c r="C21" s="59"/>
      <c r="D21" s="59"/>
      <c r="E21" s="160" t="str">
        <f>IFERROR(IF(VLOOKUP(IF(OR($D21=0,$D21="",$D21="-",$D21="N/A"),$G21,$D21),'Rent Roll Analysis'!$B$31:$D$45,2,0)=0,"-",VLOOKUP(IF(OR($D21=0,$D21="",$D21="-",$D21="N/A"),$G21,$D21),'Rent Roll Analysis'!$B$31:$D$45,2,0)),"-")</f>
        <v>-</v>
      </c>
      <c r="F21" s="160" t="str">
        <f>IFERROR(IF(VLOOKUP(IF(OR($D21=0,$D21="",$D21="-",$D21="N/A"),$G21,$D21),'Rent Roll Analysis'!$B$31:$D$45,3,0)=0,"-",VLOOKUP(IF(OR($D21=0,$D21="",$D21="-",$D21="N/A"),$G21,$D21),'Rent Roll Analysis'!$B$31:$D$45,3,0)),"-")</f>
        <v>-</v>
      </c>
      <c r="G21" s="59"/>
      <c r="H21" s="59"/>
      <c r="I21" s="59"/>
      <c r="J21" s="159"/>
      <c r="K21" s="55">
        <f t="shared" si="0"/>
        <v>0</v>
      </c>
      <c r="L21" s="257"/>
      <c r="M21" s="257"/>
      <c r="N21" s="56" t="str">
        <f t="shared" ca="1" si="1"/>
        <v/>
      </c>
      <c r="O21" s="57"/>
      <c r="P21" s="58">
        <f t="shared" si="2"/>
        <v>0</v>
      </c>
      <c r="Q21" s="60">
        <f t="shared" si="3"/>
        <v>0</v>
      </c>
      <c r="R21" s="57"/>
      <c r="S21" s="60" t="str">
        <f t="shared" si="4"/>
        <v/>
      </c>
      <c r="T21" s="60">
        <f t="shared" si="5"/>
        <v>0</v>
      </c>
      <c r="U21" s="59"/>
      <c r="V21" s="59"/>
      <c r="W21" s="59"/>
      <c r="X21" s="58">
        <f t="shared" si="6"/>
        <v>0</v>
      </c>
      <c r="Y21" s="59"/>
      <c r="Z21" s="59"/>
      <c r="AA21" s="58">
        <f t="shared" si="7"/>
        <v>0</v>
      </c>
      <c r="AB21" s="59"/>
      <c r="AC21" s="59"/>
      <c r="AD21" s="59"/>
      <c r="AE21" s="58">
        <f t="shared" si="8"/>
        <v>0</v>
      </c>
      <c r="AF21" s="59"/>
    </row>
    <row r="22" spans="2:32" ht="11.45" customHeight="1" x14ac:dyDescent="0.2">
      <c r="B22" s="161">
        <f t="shared" si="9"/>
        <v>12</v>
      </c>
      <c r="C22" s="59"/>
      <c r="D22" s="59"/>
      <c r="E22" s="160" t="str">
        <f>IFERROR(IF(VLOOKUP(IF(OR($D22=0,$D22="",$D22="-",$D22="N/A"),$G22,$D22),'Rent Roll Analysis'!$B$31:$D$45,2,0)=0,"-",VLOOKUP(IF(OR($D22=0,$D22="",$D22="-",$D22="N/A"),$G22,$D22),'Rent Roll Analysis'!$B$31:$D$45,2,0)),"-")</f>
        <v>-</v>
      </c>
      <c r="F22" s="160" t="str">
        <f>IFERROR(IF(VLOOKUP(IF(OR($D22=0,$D22="",$D22="-",$D22="N/A"),$G22,$D22),'Rent Roll Analysis'!$B$31:$D$45,3,0)=0,"-",VLOOKUP(IF(OR($D22=0,$D22="",$D22="-",$D22="N/A"),$G22,$D22),'Rent Roll Analysis'!$B$31:$D$45,3,0)),"-")</f>
        <v>-</v>
      </c>
      <c r="G22" s="59"/>
      <c r="H22" s="59"/>
      <c r="I22" s="59"/>
      <c r="J22" s="159"/>
      <c r="K22" s="55">
        <f t="shared" si="0"/>
        <v>0</v>
      </c>
      <c r="L22" s="257"/>
      <c r="M22" s="257"/>
      <c r="N22" s="56" t="str">
        <f t="shared" ca="1" si="1"/>
        <v/>
      </c>
      <c r="O22" s="57"/>
      <c r="P22" s="58">
        <f t="shared" si="2"/>
        <v>0</v>
      </c>
      <c r="Q22" s="60">
        <f t="shared" si="3"/>
        <v>0</v>
      </c>
      <c r="R22" s="57"/>
      <c r="S22" s="60" t="str">
        <f t="shared" si="4"/>
        <v/>
      </c>
      <c r="T22" s="60">
        <f t="shared" si="5"/>
        <v>0</v>
      </c>
      <c r="U22" s="57"/>
      <c r="V22" s="57"/>
      <c r="W22" s="57"/>
      <c r="X22" s="58">
        <f t="shared" si="6"/>
        <v>0</v>
      </c>
      <c r="Y22" s="57"/>
      <c r="Z22" s="57"/>
      <c r="AA22" s="58">
        <f t="shared" si="7"/>
        <v>0</v>
      </c>
      <c r="AB22" s="57"/>
      <c r="AC22" s="57"/>
      <c r="AD22" s="57"/>
      <c r="AE22" s="58">
        <f t="shared" si="8"/>
        <v>0</v>
      </c>
      <c r="AF22" s="61"/>
    </row>
    <row r="23" spans="2:32" ht="11.45" customHeight="1" x14ac:dyDescent="0.2">
      <c r="B23" s="161">
        <f t="shared" si="9"/>
        <v>13</v>
      </c>
      <c r="C23" s="59"/>
      <c r="D23" s="59"/>
      <c r="E23" s="160" t="str">
        <f>IFERROR(IF(VLOOKUP(IF(OR($D23=0,$D23="",$D23="-",$D23="N/A"),$G23,$D23),'Rent Roll Analysis'!$B$31:$D$45,2,0)=0,"-",VLOOKUP(IF(OR($D23=0,$D23="",$D23="-",$D23="N/A"),$G23,$D23),'Rent Roll Analysis'!$B$31:$D$45,2,0)),"-")</f>
        <v>-</v>
      </c>
      <c r="F23" s="160" t="str">
        <f>IFERROR(IF(VLOOKUP(IF(OR($D23=0,$D23="",$D23="-",$D23="N/A"),$G23,$D23),'Rent Roll Analysis'!$B$31:$D$45,3,0)=0,"-",VLOOKUP(IF(OR($D23=0,$D23="",$D23="-",$D23="N/A"),$G23,$D23),'Rent Roll Analysis'!$B$31:$D$45,3,0)),"-")</f>
        <v>-</v>
      </c>
      <c r="G23" s="59"/>
      <c r="H23" s="59"/>
      <c r="I23" s="59"/>
      <c r="J23" s="159"/>
      <c r="K23" s="55">
        <f t="shared" si="0"/>
        <v>0</v>
      </c>
      <c r="L23" s="257"/>
      <c r="M23" s="257"/>
      <c r="N23" s="56" t="str">
        <f t="shared" ca="1" si="1"/>
        <v/>
      </c>
      <c r="O23" s="57"/>
      <c r="P23" s="58">
        <f t="shared" si="2"/>
        <v>0</v>
      </c>
      <c r="Q23" s="60">
        <f t="shared" si="3"/>
        <v>0</v>
      </c>
      <c r="R23" s="57"/>
      <c r="S23" s="60" t="str">
        <f t="shared" si="4"/>
        <v/>
      </c>
      <c r="T23" s="60">
        <f t="shared" si="5"/>
        <v>0</v>
      </c>
      <c r="U23" s="59"/>
      <c r="V23" s="59"/>
      <c r="W23" s="59"/>
      <c r="X23" s="58">
        <f t="shared" si="6"/>
        <v>0</v>
      </c>
      <c r="Y23" s="59"/>
      <c r="Z23" s="59"/>
      <c r="AA23" s="58">
        <f t="shared" si="7"/>
        <v>0</v>
      </c>
      <c r="AB23" s="59"/>
      <c r="AC23" s="59"/>
      <c r="AD23" s="59"/>
      <c r="AE23" s="58">
        <f t="shared" si="8"/>
        <v>0</v>
      </c>
      <c r="AF23" s="59"/>
    </row>
    <row r="24" spans="2:32" ht="11.45" customHeight="1" x14ac:dyDescent="0.2">
      <c r="B24" s="161">
        <f t="shared" si="9"/>
        <v>14</v>
      </c>
      <c r="C24" s="59"/>
      <c r="D24" s="59"/>
      <c r="E24" s="160" t="str">
        <f>IFERROR(IF(VLOOKUP(IF(OR($D24=0,$D24="",$D24="-",$D24="N/A"),$G24,$D24),'Rent Roll Analysis'!$B$31:$D$45,2,0)=0,"-",VLOOKUP(IF(OR($D24=0,$D24="",$D24="-",$D24="N/A"),$G24,$D24),'Rent Roll Analysis'!$B$31:$D$45,2,0)),"-")</f>
        <v>-</v>
      </c>
      <c r="F24" s="160" t="str">
        <f>IFERROR(IF(VLOOKUP(IF(OR($D24=0,$D24="",$D24="-",$D24="N/A"),$G24,$D24),'Rent Roll Analysis'!$B$31:$D$45,3,0)=0,"-",VLOOKUP(IF(OR($D24=0,$D24="",$D24="-",$D24="N/A"),$G24,$D24),'Rent Roll Analysis'!$B$31:$D$45,3,0)),"-")</f>
        <v>-</v>
      </c>
      <c r="G24" s="59"/>
      <c r="H24" s="59"/>
      <c r="I24" s="59"/>
      <c r="J24" s="159"/>
      <c r="K24" s="55">
        <f t="shared" si="0"/>
        <v>0</v>
      </c>
      <c r="L24" s="257"/>
      <c r="M24" s="257"/>
      <c r="N24" s="56" t="str">
        <f t="shared" ca="1" si="1"/>
        <v/>
      </c>
      <c r="O24" s="57"/>
      <c r="P24" s="58">
        <f t="shared" si="2"/>
        <v>0</v>
      </c>
      <c r="Q24" s="60">
        <f t="shared" si="3"/>
        <v>0</v>
      </c>
      <c r="R24" s="57"/>
      <c r="S24" s="60" t="str">
        <f t="shared" si="4"/>
        <v/>
      </c>
      <c r="T24" s="60">
        <f t="shared" si="5"/>
        <v>0</v>
      </c>
      <c r="U24" s="57"/>
      <c r="V24" s="57"/>
      <c r="W24" s="57"/>
      <c r="X24" s="58">
        <f t="shared" si="6"/>
        <v>0</v>
      </c>
      <c r="Y24" s="57"/>
      <c r="Z24" s="57"/>
      <c r="AA24" s="58">
        <f t="shared" si="7"/>
        <v>0</v>
      </c>
      <c r="AB24" s="57"/>
      <c r="AC24" s="57"/>
      <c r="AD24" s="57"/>
      <c r="AE24" s="58">
        <f t="shared" si="8"/>
        <v>0</v>
      </c>
      <c r="AF24" s="61"/>
    </row>
    <row r="25" spans="2:32" ht="11.45" customHeight="1" x14ac:dyDescent="0.2">
      <c r="B25" s="161">
        <f t="shared" si="9"/>
        <v>15</v>
      </c>
      <c r="C25" s="59"/>
      <c r="D25" s="59"/>
      <c r="E25" s="160" t="str">
        <f>IFERROR(IF(VLOOKUP(IF(OR($D25=0,$D25="",$D25="-",$D25="N/A"),$G25,$D25),'Rent Roll Analysis'!$B$31:$D$45,2,0)=0,"-",VLOOKUP(IF(OR($D25=0,$D25="",$D25="-",$D25="N/A"),$G25,$D25),'Rent Roll Analysis'!$B$31:$D$45,2,0)),"-")</f>
        <v>-</v>
      </c>
      <c r="F25" s="160" t="str">
        <f>IFERROR(IF(VLOOKUP(IF(OR($D25=0,$D25="",$D25="-",$D25="N/A"),$G25,$D25),'Rent Roll Analysis'!$B$31:$D$45,3,0)=0,"-",VLOOKUP(IF(OR($D25=0,$D25="",$D25="-",$D25="N/A"),$G25,$D25),'Rent Roll Analysis'!$B$31:$D$45,3,0)),"-")</f>
        <v>-</v>
      </c>
      <c r="G25" s="59"/>
      <c r="H25" s="59"/>
      <c r="I25" s="59"/>
      <c r="J25" s="159"/>
      <c r="K25" s="55">
        <f t="shared" si="0"/>
        <v>0</v>
      </c>
      <c r="L25" s="257"/>
      <c r="M25" s="257"/>
      <c r="N25" s="56" t="str">
        <f t="shared" ca="1" si="1"/>
        <v/>
      </c>
      <c r="O25" s="57"/>
      <c r="P25" s="58">
        <f t="shared" si="2"/>
        <v>0</v>
      </c>
      <c r="Q25" s="60">
        <f t="shared" si="3"/>
        <v>0</v>
      </c>
      <c r="R25" s="57"/>
      <c r="S25" s="60" t="str">
        <f t="shared" si="4"/>
        <v/>
      </c>
      <c r="T25" s="60">
        <f t="shared" si="5"/>
        <v>0</v>
      </c>
      <c r="U25" s="59"/>
      <c r="V25" s="59"/>
      <c r="W25" s="59"/>
      <c r="X25" s="58">
        <f t="shared" si="6"/>
        <v>0</v>
      </c>
      <c r="Y25" s="59"/>
      <c r="Z25" s="59"/>
      <c r="AA25" s="58">
        <f t="shared" si="7"/>
        <v>0</v>
      </c>
      <c r="AB25" s="59"/>
      <c r="AC25" s="59"/>
      <c r="AD25" s="59"/>
      <c r="AE25" s="58">
        <f t="shared" si="8"/>
        <v>0</v>
      </c>
      <c r="AF25" s="59"/>
    </row>
    <row r="26" spans="2:32" ht="11.45" customHeight="1" x14ac:dyDescent="0.2">
      <c r="B26" s="161">
        <f t="shared" si="9"/>
        <v>16</v>
      </c>
      <c r="C26" s="59"/>
      <c r="D26" s="59"/>
      <c r="E26" s="160" t="str">
        <f>IFERROR(IF(VLOOKUP(IF(OR($D26=0,$D26="",$D26="-",$D26="N/A"),$G26,$D26),'Rent Roll Analysis'!$B$31:$D$45,2,0)=0,"-",VLOOKUP(IF(OR($D26=0,$D26="",$D26="-",$D26="N/A"),$G26,$D26),'Rent Roll Analysis'!$B$31:$D$45,2,0)),"-")</f>
        <v>-</v>
      </c>
      <c r="F26" s="160" t="str">
        <f>IFERROR(IF(VLOOKUP(IF(OR($D26=0,$D26="",$D26="-",$D26="N/A"),$G26,$D26),'Rent Roll Analysis'!$B$31:$D$45,3,0)=0,"-",VLOOKUP(IF(OR($D26=0,$D26="",$D26="-",$D26="N/A"),$G26,$D26),'Rent Roll Analysis'!$B$31:$D$45,3,0)),"-")</f>
        <v>-</v>
      </c>
      <c r="G26" s="59"/>
      <c r="H26" s="59"/>
      <c r="I26" s="59"/>
      <c r="J26" s="159"/>
      <c r="K26" s="55">
        <f t="shared" si="0"/>
        <v>0</v>
      </c>
      <c r="L26" s="257"/>
      <c r="M26" s="257"/>
      <c r="N26" s="56" t="str">
        <f t="shared" ca="1" si="1"/>
        <v/>
      </c>
      <c r="O26" s="57"/>
      <c r="P26" s="58">
        <f t="shared" si="2"/>
        <v>0</v>
      </c>
      <c r="Q26" s="60">
        <f t="shared" si="3"/>
        <v>0</v>
      </c>
      <c r="R26" s="57"/>
      <c r="S26" s="60" t="str">
        <f t="shared" si="4"/>
        <v/>
      </c>
      <c r="T26" s="60">
        <f t="shared" si="5"/>
        <v>0</v>
      </c>
      <c r="U26" s="57"/>
      <c r="V26" s="57"/>
      <c r="W26" s="57"/>
      <c r="X26" s="58">
        <f t="shared" si="6"/>
        <v>0</v>
      </c>
      <c r="Y26" s="57"/>
      <c r="Z26" s="57"/>
      <c r="AA26" s="58">
        <f t="shared" si="7"/>
        <v>0</v>
      </c>
      <c r="AB26" s="57"/>
      <c r="AC26" s="57"/>
      <c r="AD26" s="57"/>
      <c r="AE26" s="58">
        <f t="shared" si="8"/>
        <v>0</v>
      </c>
      <c r="AF26" s="61"/>
    </row>
    <row r="27" spans="2:32" ht="11.45" customHeight="1" x14ac:dyDescent="0.2">
      <c r="B27" s="161">
        <f t="shared" si="9"/>
        <v>17</v>
      </c>
      <c r="C27" s="59"/>
      <c r="D27" s="59"/>
      <c r="E27" s="160" t="str">
        <f>IFERROR(IF(VLOOKUP(IF(OR($D27=0,$D27="",$D27="-",$D27="N/A"),$G27,$D27),'Rent Roll Analysis'!$B$31:$D$45,2,0)=0,"-",VLOOKUP(IF(OR($D27=0,$D27="",$D27="-",$D27="N/A"),$G27,$D27),'Rent Roll Analysis'!$B$31:$D$45,2,0)),"-")</f>
        <v>-</v>
      </c>
      <c r="F27" s="160" t="str">
        <f>IFERROR(IF(VLOOKUP(IF(OR($D27=0,$D27="",$D27="-",$D27="N/A"),$G27,$D27),'Rent Roll Analysis'!$B$31:$D$45,3,0)=0,"-",VLOOKUP(IF(OR($D27=0,$D27="",$D27="-",$D27="N/A"),$G27,$D27),'Rent Roll Analysis'!$B$31:$D$45,3,0)),"-")</f>
        <v>-</v>
      </c>
      <c r="G27" s="59"/>
      <c r="H27" s="59"/>
      <c r="I27" s="59"/>
      <c r="J27" s="159"/>
      <c r="K27" s="55">
        <f t="shared" si="0"/>
        <v>0</v>
      </c>
      <c r="L27" s="257"/>
      <c r="M27" s="257"/>
      <c r="N27" s="56" t="str">
        <f t="shared" ca="1" si="1"/>
        <v/>
      </c>
      <c r="O27" s="57"/>
      <c r="P27" s="58">
        <f t="shared" si="2"/>
        <v>0</v>
      </c>
      <c r="Q27" s="60">
        <f t="shared" si="3"/>
        <v>0</v>
      </c>
      <c r="R27" s="57"/>
      <c r="S27" s="60" t="str">
        <f t="shared" si="4"/>
        <v/>
      </c>
      <c r="T27" s="60">
        <f t="shared" si="5"/>
        <v>0</v>
      </c>
      <c r="U27" s="59"/>
      <c r="V27" s="59"/>
      <c r="W27" s="59"/>
      <c r="X27" s="58">
        <f t="shared" si="6"/>
        <v>0</v>
      </c>
      <c r="Y27" s="59"/>
      <c r="Z27" s="59"/>
      <c r="AA27" s="58">
        <f t="shared" si="7"/>
        <v>0</v>
      </c>
      <c r="AB27" s="59"/>
      <c r="AC27" s="59"/>
      <c r="AD27" s="59"/>
      <c r="AE27" s="58">
        <f t="shared" si="8"/>
        <v>0</v>
      </c>
      <c r="AF27" s="59"/>
    </row>
    <row r="28" spans="2:32" ht="11.45" customHeight="1" x14ac:dyDescent="0.2">
      <c r="B28" s="161">
        <f t="shared" si="9"/>
        <v>18</v>
      </c>
      <c r="C28" s="59"/>
      <c r="D28" s="59"/>
      <c r="E28" s="160" t="str">
        <f>IFERROR(IF(VLOOKUP(IF(OR($D28=0,$D28="",$D28="-",$D28="N/A"),$G28,$D28),'Rent Roll Analysis'!$B$31:$D$45,2,0)=0,"-",VLOOKUP(IF(OR($D28=0,$D28="",$D28="-",$D28="N/A"),$G28,$D28),'Rent Roll Analysis'!$B$31:$D$45,2,0)),"-")</f>
        <v>-</v>
      </c>
      <c r="F28" s="160" t="str">
        <f>IFERROR(IF(VLOOKUP(IF(OR($D28=0,$D28="",$D28="-",$D28="N/A"),$G28,$D28),'Rent Roll Analysis'!$B$31:$D$45,3,0)=0,"-",VLOOKUP(IF(OR($D28=0,$D28="",$D28="-",$D28="N/A"),$G28,$D28),'Rent Roll Analysis'!$B$31:$D$45,3,0)),"-")</f>
        <v>-</v>
      </c>
      <c r="G28" s="59"/>
      <c r="H28" s="59"/>
      <c r="I28" s="59"/>
      <c r="J28" s="159"/>
      <c r="K28" s="55">
        <f t="shared" si="0"/>
        <v>0</v>
      </c>
      <c r="L28" s="257"/>
      <c r="M28" s="257"/>
      <c r="N28" s="56" t="str">
        <f t="shared" ca="1" si="1"/>
        <v/>
      </c>
      <c r="O28" s="57"/>
      <c r="P28" s="58">
        <f t="shared" si="2"/>
        <v>0</v>
      </c>
      <c r="Q28" s="60">
        <f t="shared" si="3"/>
        <v>0</v>
      </c>
      <c r="R28" s="57"/>
      <c r="S28" s="60" t="str">
        <f t="shared" si="4"/>
        <v/>
      </c>
      <c r="T28" s="60">
        <f t="shared" si="5"/>
        <v>0</v>
      </c>
      <c r="U28" s="57"/>
      <c r="V28" s="57"/>
      <c r="W28" s="57"/>
      <c r="X28" s="58">
        <f t="shared" si="6"/>
        <v>0</v>
      </c>
      <c r="Y28" s="57"/>
      <c r="Z28" s="57"/>
      <c r="AA28" s="58">
        <f t="shared" si="7"/>
        <v>0</v>
      </c>
      <c r="AB28" s="57"/>
      <c r="AC28" s="57"/>
      <c r="AD28" s="57"/>
      <c r="AE28" s="58">
        <f t="shared" si="8"/>
        <v>0</v>
      </c>
      <c r="AF28" s="61"/>
    </row>
    <row r="29" spans="2:32" ht="11.45" customHeight="1" x14ac:dyDescent="0.2">
      <c r="B29" s="161">
        <f t="shared" si="9"/>
        <v>19</v>
      </c>
      <c r="C29" s="59"/>
      <c r="D29" s="59"/>
      <c r="E29" s="160" t="str">
        <f>IFERROR(IF(VLOOKUP(IF(OR($D29=0,$D29="",$D29="-",$D29="N/A"),$G29,$D29),'Rent Roll Analysis'!$B$31:$D$45,2,0)=0,"-",VLOOKUP(IF(OR($D29=0,$D29="",$D29="-",$D29="N/A"),$G29,$D29),'Rent Roll Analysis'!$B$31:$D$45,2,0)),"-")</f>
        <v>-</v>
      </c>
      <c r="F29" s="160" t="str">
        <f>IFERROR(IF(VLOOKUP(IF(OR($D29=0,$D29="",$D29="-",$D29="N/A"),$G29,$D29),'Rent Roll Analysis'!$B$31:$D$45,3,0)=0,"-",VLOOKUP(IF(OR($D29=0,$D29="",$D29="-",$D29="N/A"),$G29,$D29),'Rent Roll Analysis'!$B$31:$D$45,3,0)),"-")</f>
        <v>-</v>
      </c>
      <c r="G29" s="59"/>
      <c r="H29" s="59"/>
      <c r="I29" s="59"/>
      <c r="J29" s="159"/>
      <c r="K29" s="55">
        <f t="shared" si="0"/>
        <v>0</v>
      </c>
      <c r="L29" s="257"/>
      <c r="M29" s="257"/>
      <c r="N29" s="56" t="str">
        <f t="shared" ca="1" si="1"/>
        <v/>
      </c>
      <c r="O29" s="57"/>
      <c r="P29" s="58">
        <f t="shared" si="2"/>
        <v>0</v>
      </c>
      <c r="Q29" s="60">
        <f t="shared" si="3"/>
        <v>0</v>
      </c>
      <c r="R29" s="57"/>
      <c r="S29" s="60" t="str">
        <f t="shared" si="4"/>
        <v/>
      </c>
      <c r="T29" s="60">
        <f t="shared" si="5"/>
        <v>0</v>
      </c>
      <c r="U29" s="59"/>
      <c r="V29" s="59"/>
      <c r="W29" s="59"/>
      <c r="X29" s="58">
        <f t="shared" si="6"/>
        <v>0</v>
      </c>
      <c r="Y29" s="59"/>
      <c r="Z29" s="59"/>
      <c r="AA29" s="58">
        <f t="shared" si="7"/>
        <v>0</v>
      </c>
      <c r="AB29" s="59"/>
      <c r="AC29" s="59"/>
      <c r="AD29" s="59"/>
      <c r="AE29" s="58">
        <f t="shared" si="8"/>
        <v>0</v>
      </c>
      <c r="AF29" s="59"/>
    </row>
    <row r="30" spans="2:32" ht="11.45" customHeight="1" x14ac:dyDescent="0.2">
      <c r="B30" s="161">
        <f t="shared" si="9"/>
        <v>20</v>
      </c>
      <c r="C30" s="59"/>
      <c r="D30" s="59"/>
      <c r="E30" s="160" t="str">
        <f>IFERROR(IF(VLOOKUP(IF(OR($D30=0,$D30="",$D30="-",$D30="N/A"),$G30,$D30),'Rent Roll Analysis'!$B$31:$D$45,2,0)=0,"-",VLOOKUP(IF(OR($D30=0,$D30="",$D30="-",$D30="N/A"),$G30,$D30),'Rent Roll Analysis'!$B$31:$D$45,2,0)),"-")</f>
        <v>-</v>
      </c>
      <c r="F30" s="160" t="str">
        <f>IFERROR(IF(VLOOKUP(IF(OR($D30=0,$D30="",$D30="-",$D30="N/A"),$G30,$D30),'Rent Roll Analysis'!$B$31:$D$45,3,0)=0,"-",VLOOKUP(IF(OR($D30=0,$D30="",$D30="-",$D30="N/A"),$G30,$D30),'Rent Roll Analysis'!$B$31:$D$45,3,0)),"-")</f>
        <v>-</v>
      </c>
      <c r="G30" s="59"/>
      <c r="H30" s="59"/>
      <c r="I30" s="59"/>
      <c r="J30" s="159"/>
      <c r="K30" s="55">
        <f t="shared" si="0"/>
        <v>0</v>
      </c>
      <c r="L30" s="257"/>
      <c r="M30" s="257"/>
      <c r="N30" s="56" t="str">
        <f t="shared" ca="1" si="1"/>
        <v/>
      </c>
      <c r="O30" s="57"/>
      <c r="P30" s="58">
        <f t="shared" si="2"/>
        <v>0</v>
      </c>
      <c r="Q30" s="60">
        <f t="shared" si="3"/>
        <v>0</v>
      </c>
      <c r="R30" s="57"/>
      <c r="S30" s="60" t="str">
        <f t="shared" si="4"/>
        <v/>
      </c>
      <c r="T30" s="60">
        <f t="shared" si="5"/>
        <v>0</v>
      </c>
      <c r="U30" s="57"/>
      <c r="V30" s="57"/>
      <c r="W30" s="57"/>
      <c r="X30" s="58">
        <f t="shared" si="6"/>
        <v>0</v>
      </c>
      <c r="Y30" s="57"/>
      <c r="Z30" s="57"/>
      <c r="AA30" s="58">
        <f t="shared" si="7"/>
        <v>0</v>
      </c>
      <c r="AB30" s="57"/>
      <c r="AC30" s="57"/>
      <c r="AD30" s="57"/>
      <c r="AE30" s="58">
        <f t="shared" si="8"/>
        <v>0</v>
      </c>
      <c r="AF30" s="61"/>
    </row>
    <row r="31" spans="2:32" ht="11.45" customHeight="1" x14ac:dyDescent="0.2">
      <c r="B31" s="161">
        <f t="shared" si="9"/>
        <v>21</v>
      </c>
      <c r="C31" s="59"/>
      <c r="D31" s="59"/>
      <c r="E31" s="160" t="str">
        <f>IFERROR(IF(VLOOKUP(IF(OR($D31=0,$D31="",$D31="-",$D31="N/A"),$G31,$D31),'Rent Roll Analysis'!$B$31:$D$45,2,0)=0,"-",VLOOKUP(IF(OR($D31=0,$D31="",$D31="-",$D31="N/A"),$G31,$D31),'Rent Roll Analysis'!$B$31:$D$45,2,0)),"-")</f>
        <v>-</v>
      </c>
      <c r="F31" s="160" t="str">
        <f>IFERROR(IF(VLOOKUP(IF(OR($D31=0,$D31="",$D31="-",$D31="N/A"),$G31,$D31),'Rent Roll Analysis'!$B$31:$D$45,3,0)=0,"-",VLOOKUP(IF(OR($D31=0,$D31="",$D31="-",$D31="N/A"),$G31,$D31),'Rent Roll Analysis'!$B$31:$D$45,3,0)),"-")</f>
        <v>-</v>
      </c>
      <c r="G31" s="59"/>
      <c r="H31" s="59"/>
      <c r="I31" s="59"/>
      <c r="J31" s="159"/>
      <c r="K31" s="55">
        <f t="shared" si="0"/>
        <v>0</v>
      </c>
      <c r="L31" s="257"/>
      <c r="M31" s="257"/>
      <c r="N31" s="56" t="str">
        <f t="shared" ca="1" si="1"/>
        <v/>
      </c>
      <c r="O31" s="57"/>
      <c r="P31" s="58">
        <f t="shared" si="2"/>
        <v>0</v>
      </c>
      <c r="Q31" s="60">
        <f t="shared" si="3"/>
        <v>0</v>
      </c>
      <c r="R31" s="57"/>
      <c r="S31" s="60" t="str">
        <f t="shared" si="4"/>
        <v/>
      </c>
      <c r="T31" s="60">
        <f t="shared" si="5"/>
        <v>0</v>
      </c>
      <c r="U31" s="57"/>
      <c r="V31" s="57"/>
      <c r="W31" s="57"/>
      <c r="X31" s="58">
        <f t="shared" si="6"/>
        <v>0</v>
      </c>
      <c r="Y31" s="57"/>
      <c r="Z31" s="57"/>
      <c r="AA31" s="58">
        <f t="shared" si="7"/>
        <v>0</v>
      </c>
      <c r="AB31" s="57"/>
      <c r="AC31" s="57"/>
      <c r="AD31" s="57"/>
      <c r="AE31" s="58">
        <f t="shared" si="8"/>
        <v>0</v>
      </c>
      <c r="AF31" s="61"/>
    </row>
    <row r="32" spans="2:32" ht="11.45" customHeight="1" x14ac:dyDescent="0.2">
      <c r="B32" s="161">
        <f t="shared" si="9"/>
        <v>22</v>
      </c>
      <c r="C32" s="59"/>
      <c r="D32" s="59"/>
      <c r="E32" s="160" t="str">
        <f>IFERROR(IF(VLOOKUP(IF(OR($D32=0,$D32="",$D32="-",$D32="N/A"),$G32,$D32),'Rent Roll Analysis'!$B$31:$D$45,2,0)=0,"-",VLOOKUP(IF(OR($D32=0,$D32="",$D32="-",$D32="N/A"),$G32,$D32),'Rent Roll Analysis'!$B$31:$D$45,2,0)),"-")</f>
        <v>-</v>
      </c>
      <c r="F32" s="160" t="str">
        <f>IFERROR(IF(VLOOKUP(IF(OR($D32=0,$D32="",$D32="-",$D32="N/A"),$G32,$D32),'Rent Roll Analysis'!$B$31:$D$45,3,0)=0,"-",VLOOKUP(IF(OR($D32=0,$D32="",$D32="-",$D32="N/A"),$G32,$D32),'Rent Roll Analysis'!$B$31:$D$45,3,0)),"-")</f>
        <v>-</v>
      </c>
      <c r="G32" s="59"/>
      <c r="H32" s="59"/>
      <c r="I32" s="59"/>
      <c r="J32" s="159"/>
      <c r="K32" s="55">
        <f t="shared" si="0"/>
        <v>0</v>
      </c>
      <c r="L32" s="257"/>
      <c r="M32" s="257"/>
      <c r="N32" s="56" t="str">
        <f t="shared" ca="1" si="1"/>
        <v/>
      </c>
      <c r="O32" s="57"/>
      <c r="P32" s="58">
        <f t="shared" si="2"/>
        <v>0</v>
      </c>
      <c r="Q32" s="60">
        <f t="shared" si="3"/>
        <v>0</v>
      </c>
      <c r="R32" s="57"/>
      <c r="S32" s="60" t="str">
        <f t="shared" si="4"/>
        <v/>
      </c>
      <c r="T32" s="60">
        <f t="shared" si="5"/>
        <v>0</v>
      </c>
      <c r="U32" s="57"/>
      <c r="V32" s="57"/>
      <c r="W32" s="57"/>
      <c r="X32" s="58">
        <f t="shared" si="6"/>
        <v>0</v>
      </c>
      <c r="Y32" s="57"/>
      <c r="Z32" s="57"/>
      <c r="AA32" s="58">
        <f t="shared" si="7"/>
        <v>0</v>
      </c>
      <c r="AB32" s="57"/>
      <c r="AC32" s="57"/>
      <c r="AD32" s="57"/>
      <c r="AE32" s="58">
        <f t="shared" si="8"/>
        <v>0</v>
      </c>
      <c r="AF32" s="61"/>
    </row>
    <row r="33" spans="2:32" ht="11.45" customHeight="1" x14ac:dyDescent="0.2">
      <c r="B33" s="161">
        <f t="shared" si="9"/>
        <v>23</v>
      </c>
      <c r="C33" s="59"/>
      <c r="D33" s="59"/>
      <c r="E33" s="160" t="str">
        <f>IFERROR(IF(VLOOKUP(IF(OR($D33=0,$D33="",$D33="-",$D33="N/A"),$G33,$D33),'Rent Roll Analysis'!$B$31:$D$45,2,0)=0,"-",VLOOKUP(IF(OR($D33=0,$D33="",$D33="-",$D33="N/A"),$G33,$D33),'Rent Roll Analysis'!$B$31:$D$45,2,0)),"-")</f>
        <v>-</v>
      </c>
      <c r="F33" s="160" t="str">
        <f>IFERROR(IF(VLOOKUP(IF(OR($D33=0,$D33="",$D33="-",$D33="N/A"),$G33,$D33),'Rent Roll Analysis'!$B$31:$D$45,3,0)=0,"-",VLOOKUP(IF(OR($D33=0,$D33="",$D33="-",$D33="N/A"),$G33,$D33),'Rent Roll Analysis'!$B$31:$D$45,3,0)),"-")</f>
        <v>-</v>
      </c>
      <c r="G33" s="59"/>
      <c r="H33" s="59"/>
      <c r="I33" s="59"/>
      <c r="J33" s="159"/>
      <c r="K33" s="55">
        <f t="shared" si="0"/>
        <v>0</v>
      </c>
      <c r="L33" s="257"/>
      <c r="M33" s="257"/>
      <c r="N33" s="56" t="str">
        <f t="shared" ca="1" si="1"/>
        <v/>
      </c>
      <c r="O33" s="57"/>
      <c r="P33" s="58">
        <f t="shared" si="2"/>
        <v>0</v>
      </c>
      <c r="Q33" s="60">
        <f t="shared" si="3"/>
        <v>0</v>
      </c>
      <c r="R33" s="57"/>
      <c r="S33" s="60" t="str">
        <f t="shared" si="4"/>
        <v/>
      </c>
      <c r="T33" s="60">
        <f t="shared" si="5"/>
        <v>0</v>
      </c>
      <c r="U33" s="57"/>
      <c r="V33" s="57"/>
      <c r="W33" s="57"/>
      <c r="X33" s="58">
        <f t="shared" si="6"/>
        <v>0</v>
      </c>
      <c r="Y33" s="57"/>
      <c r="Z33" s="57"/>
      <c r="AA33" s="58">
        <f t="shared" si="7"/>
        <v>0</v>
      </c>
      <c r="AB33" s="57"/>
      <c r="AC33" s="57"/>
      <c r="AD33" s="57"/>
      <c r="AE33" s="58">
        <f t="shared" si="8"/>
        <v>0</v>
      </c>
      <c r="AF33" s="61"/>
    </row>
    <row r="34" spans="2:32" ht="11.45" customHeight="1" x14ac:dyDescent="0.2">
      <c r="B34" s="161">
        <f t="shared" si="9"/>
        <v>24</v>
      </c>
      <c r="C34" s="59"/>
      <c r="D34" s="59"/>
      <c r="E34" s="160" t="str">
        <f>IFERROR(IF(VLOOKUP(IF(OR($D34=0,$D34="",$D34="-",$D34="N/A"),$G34,$D34),'Rent Roll Analysis'!$B$31:$D$45,2,0)=0,"-",VLOOKUP(IF(OR($D34=0,$D34="",$D34="-",$D34="N/A"),$G34,$D34),'Rent Roll Analysis'!$B$31:$D$45,2,0)),"-")</f>
        <v>-</v>
      </c>
      <c r="F34" s="160" t="str">
        <f>IFERROR(IF(VLOOKUP(IF(OR($D34=0,$D34="",$D34="-",$D34="N/A"),$G34,$D34),'Rent Roll Analysis'!$B$31:$D$45,3,0)=0,"-",VLOOKUP(IF(OR($D34=0,$D34="",$D34="-",$D34="N/A"),$G34,$D34),'Rent Roll Analysis'!$B$31:$D$45,3,0)),"-")</f>
        <v>-</v>
      </c>
      <c r="G34" s="59"/>
      <c r="H34" s="59"/>
      <c r="I34" s="59"/>
      <c r="J34" s="159"/>
      <c r="K34" s="55">
        <f t="shared" si="0"/>
        <v>0</v>
      </c>
      <c r="L34" s="257"/>
      <c r="M34" s="257"/>
      <c r="N34" s="56" t="str">
        <f t="shared" ca="1" si="1"/>
        <v/>
      </c>
      <c r="O34" s="57"/>
      <c r="P34" s="58">
        <f t="shared" si="2"/>
        <v>0</v>
      </c>
      <c r="Q34" s="60">
        <f t="shared" si="3"/>
        <v>0</v>
      </c>
      <c r="R34" s="57"/>
      <c r="S34" s="60" t="str">
        <f t="shared" si="4"/>
        <v/>
      </c>
      <c r="T34" s="60">
        <f t="shared" si="5"/>
        <v>0</v>
      </c>
      <c r="U34" s="57"/>
      <c r="V34" s="57"/>
      <c r="W34" s="57"/>
      <c r="X34" s="58">
        <f t="shared" si="6"/>
        <v>0</v>
      </c>
      <c r="Y34" s="57"/>
      <c r="Z34" s="57"/>
      <c r="AA34" s="58">
        <f t="shared" si="7"/>
        <v>0</v>
      </c>
      <c r="AB34" s="57"/>
      <c r="AC34" s="57"/>
      <c r="AD34" s="57"/>
      <c r="AE34" s="58">
        <f t="shared" si="8"/>
        <v>0</v>
      </c>
      <c r="AF34" s="61"/>
    </row>
    <row r="35" spans="2:32" ht="11.45" customHeight="1" x14ac:dyDescent="0.2">
      <c r="B35" s="161">
        <f t="shared" si="9"/>
        <v>25</v>
      </c>
      <c r="C35" s="59"/>
      <c r="D35" s="59"/>
      <c r="E35" s="160" t="str">
        <f>IFERROR(IF(VLOOKUP(IF(OR($D35=0,$D35="",$D35="-",$D35="N/A"),$G35,$D35),'Rent Roll Analysis'!$B$31:$D$45,2,0)=0,"-",VLOOKUP(IF(OR($D35=0,$D35="",$D35="-",$D35="N/A"),$G35,$D35),'Rent Roll Analysis'!$B$31:$D$45,2,0)),"-")</f>
        <v>-</v>
      </c>
      <c r="F35" s="160" t="str">
        <f>IFERROR(IF(VLOOKUP(IF(OR($D35=0,$D35="",$D35="-",$D35="N/A"),$G35,$D35),'Rent Roll Analysis'!$B$31:$D$45,3,0)=0,"-",VLOOKUP(IF(OR($D35=0,$D35="",$D35="-",$D35="N/A"),$G35,$D35),'Rent Roll Analysis'!$B$31:$D$45,3,0)),"-")</f>
        <v>-</v>
      </c>
      <c r="G35" s="59"/>
      <c r="H35" s="59"/>
      <c r="I35" s="59"/>
      <c r="J35" s="159"/>
      <c r="K35" s="55">
        <f t="shared" si="0"/>
        <v>0</v>
      </c>
      <c r="L35" s="257"/>
      <c r="M35" s="257"/>
      <c r="N35" s="56" t="str">
        <f t="shared" ca="1" si="1"/>
        <v/>
      </c>
      <c r="O35" s="57"/>
      <c r="P35" s="58">
        <f t="shared" si="2"/>
        <v>0</v>
      </c>
      <c r="Q35" s="60">
        <f t="shared" si="3"/>
        <v>0</v>
      </c>
      <c r="R35" s="57"/>
      <c r="S35" s="60" t="str">
        <f t="shared" si="4"/>
        <v/>
      </c>
      <c r="T35" s="60">
        <f t="shared" si="5"/>
        <v>0</v>
      </c>
      <c r="U35" s="57"/>
      <c r="V35" s="57"/>
      <c r="W35" s="57"/>
      <c r="X35" s="58">
        <f t="shared" si="6"/>
        <v>0</v>
      </c>
      <c r="Y35" s="57"/>
      <c r="Z35" s="57"/>
      <c r="AA35" s="58">
        <f t="shared" si="7"/>
        <v>0</v>
      </c>
      <c r="AB35" s="57"/>
      <c r="AC35" s="57"/>
      <c r="AD35" s="57"/>
      <c r="AE35" s="58">
        <f t="shared" si="8"/>
        <v>0</v>
      </c>
      <c r="AF35" s="61"/>
    </row>
    <row r="36" spans="2:32" ht="11.45" customHeight="1" x14ac:dyDescent="0.2">
      <c r="B36" s="161">
        <f t="shared" si="9"/>
        <v>26</v>
      </c>
      <c r="C36" s="59"/>
      <c r="D36" s="59"/>
      <c r="E36" s="160" t="str">
        <f>IFERROR(IF(VLOOKUP(IF(OR($D36=0,$D36="",$D36="-",$D36="N/A"),$G36,$D36),'Rent Roll Analysis'!$B$31:$D$45,2,0)=0,"-",VLOOKUP(IF(OR($D36=0,$D36="",$D36="-",$D36="N/A"),$G36,$D36),'Rent Roll Analysis'!$B$31:$D$45,2,0)),"-")</f>
        <v>-</v>
      </c>
      <c r="F36" s="160" t="str">
        <f>IFERROR(IF(VLOOKUP(IF(OR($D36=0,$D36="",$D36="-",$D36="N/A"),$G36,$D36),'Rent Roll Analysis'!$B$31:$D$45,3,0)=0,"-",VLOOKUP(IF(OR($D36=0,$D36="",$D36="-",$D36="N/A"),$G36,$D36),'Rent Roll Analysis'!$B$31:$D$45,3,0)),"-")</f>
        <v>-</v>
      </c>
      <c r="G36" s="59"/>
      <c r="H36" s="59"/>
      <c r="I36" s="59"/>
      <c r="J36" s="159"/>
      <c r="K36" s="55">
        <f t="shared" si="0"/>
        <v>0</v>
      </c>
      <c r="L36" s="257"/>
      <c r="M36" s="257"/>
      <c r="N36" s="56" t="str">
        <f t="shared" ca="1" si="1"/>
        <v/>
      </c>
      <c r="O36" s="57"/>
      <c r="P36" s="58">
        <f t="shared" si="2"/>
        <v>0</v>
      </c>
      <c r="Q36" s="60">
        <f t="shared" si="3"/>
        <v>0</v>
      </c>
      <c r="R36" s="57"/>
      <c r="S36" s="60" t="str">
        <f t="shared" si="4"/>
        <v/>
      </c>
      <c r="T36" s="60">
        <f t="shared" si="5"/>
        <v>0</v>
      </c>
      <c r="U36" s="57"/>
      <c r="V36" s="57"/>
      <c r="W36" s="57"/>
      <c r="X36" s="58">
        <f t="shared" si="6"/>
        <v>0</v>
      </c>
      <c r="Y36" s="57"/>
      <c r="Z36" s="57"/>
      <c r="AA36" s="58">
        <f t="shared" si="7"/>
        <v>0</v>
      </c>
      <c r="AB36" s="57"/>
      <c r="AC36" s="57"/>
      <c r="AD36" s="57"/>
      <c r="AE36" s="58">
        <f t="shared" si="8"/>
        <v>0</v>
      </c>
      <c r="AF36" s="61"/>
    </row>
    <row r="37" spans="2:32" ht="11.45" customHeight="1" x14ac:dyDescent="0.2">
      <c r="B37" s="161">
        <f t="shared" si="9"/>
        <v>27</v>
      </c>
      <c r="C37" s="59"/>
      <c r="D37" s="59"/>
      <c r="E37" s="160" t="str">
        <f>IFERROR(IF(VLOOKUP(IF(OR($D37=0,$D37="",$D37="-",$D37="N/A"),$G37,$D37),'Rent Roll Analysis'!$B$31:$D$45,2,0)=0,"-",VLOOKUP(IF(OR($D37=0,$D37="",$D37="-",$D37="N/A"),$G37,$D37),'Rent Roll Analysis'!$B$31:$D$45,2,0)),"-")</f>
        <v>-</v>
      </c>
      <c r="F37" s="160" t="str">
        <f>IFERROR(IF(VLOOKUP(IF(OR($D37=0,$D37="",$D37="-",$D37="N/A"),$G37,$D37),'Rent Roll Analysis'!$B$31:$D$45,3,0)=0,"-",VLOOKUP(IF(OR($D37=0,$D37="",$D37="-",$D37="N/A"),$G37,$D37),'Rent Roll Analysis'!$B$31:$D$45,3,0)),"-")</f>
        <v>-</v>
      </c>
      <c r="G37" s="59"/>
      <c r="H37" s="59"/>
      <c r="I37" s="59"/>
      <c r="J37" s="159"/>
      <c r="K37" s="55">
        <f t="shared" si="0"/>
        <v>0</v>
      </c>
      <c r="L37" s="257"/>
      <c r="M37" s="257"/>
      <c r="N37" s="56" t="str">
        <f t="shared" ca="1" si="1"/>
        <v/>
      </c>
      <c r="O37" s="57"/>
      <c r="P37" s="58">
        <f t="shared" si="2"/>
        <v>0</v>
      </c>
      <c r="Q37" s="60">
        <f t="shared" si="3"/>
        <v>0</v>
      </c>
      <c r="R37" s="57"/>
      <c r="S37" s="60" t="str">
        <f t="shared" si="4"/>
        <v/>
      </c>
      <c r="T37" s="60">
        <f t="shared" si="5"/>
        <v>0</v>
      </c>
      <c r="U37" s="57"/>
      <c r="V37" s="57"/>
      <c r="W37" s="57"/>
      <c r="X37" s="58">
        <f t="shared" si="6"/>
        <v>0</v>
      </c>
      <c r="Y37" s="57"/>
      <c r="Z37" s="57"/>
      <c r="AA37" s="58">
        <f t="shared" si="7"/>
        <v>0</v>
      </c>
      <c r="AB37" s="57"/>
      <c r="AC37" s="57"/>
      <c r="AD37" s="57"/>
      <c r="AE37" s="58">
        <f t="shared" si="8"/>
        <v>0</v>
      </c>
      <c r="AF37" s="61"/>
    </row>
    <row r="38" spans="2:32" ht="11.45" customHeight="1" x14ac:dyDescent="0.2">
      <c r="B38" s="161">
        <f t="shared" si="9"/>
        <v>28</v>
      </c>
      <c r="C38" s="59"/>
      <c r="D38" s="59"/>
      <c r="E38" s="160" t="str">
        <f>IFERROR(IF(VLOOKUP(IF(OR($D38=0,$D38="",$D38="-",$D38="N/A"),$G38,$D38),'Rent Roll Analysis'!$B$31:$D$45,2,0)=0,"-",VLOOKUP(IF(OR($D38=0,$D38="",$D38="-",$D38="N/A"),$G38,$D38),'Rent Roll Analysis'!$B$31:$D$45,2,0)),"-")</f>
        <v>-</v>
      </c>
      <c r="F38" s="160" t="str">
        <f>IFERROR(IF(VLOOKUP(IF(OR($D38=0,$D38="",$D38="-",$D38="N/A"),$G38,$D38),'Rent Roll Analysis'!$B$31:$D$45,3,0)=0,"-",VLOOKUP(IF(OR($D38=0,$D38="",$D38="-",$D38="N/A"),$G38,$D38),'Rent Roll Analysis'!$B$31:$D$45,3,0)),"-")</f>
        <v>-</v>
      </c>
      <c r="G38" s="59"/>
      <c r="H38" s="59"/>
      <c r="I38" s="59"/>
      <c r="J38" s="159"/>
      <c r="K38" s="55">
        <f t="shared" si="0"/>
        <v>0</v>
      </c>
      <c r="L38" s="257"/>
      <c r="M38" s="257"/>
      <c r="N38" s="56" t="str">
        <f t="shared" ca="1" si="1"/>
        <v/>
      </c>
      <c r="O38" s="57"/>
      <c r="P38" s="58">
        <f t="shared" si="2"/>
        <v>0</v>
      </c>
      <c r="Q38" s="60">
        <f t="shared" si="3"/>
        <v>0</v>
      </c>
      <c r="R38" s="57"/>
      <c r="S38" s="60" t="str">
        <f t="shared" si="4"/>
        <v/>
      </c>
      <c r="T38" s="60">
        <f t="shared" si="5"/>
        <v>0</v>
      </c>
      <c r="U38" s="57"/>
      <c r="V38" s="57"/>
      <c r="W38" s="57"/>
      <c r="X38" s="58">
        <f t="shared" si="6"/>
        <v>0</v>
      </c>
      <c r="Y38" s="57"/>
      <c r="Z38" s="57"/>
      <c r="AA38" s="58">
        <f t="shared" si="7"/>
        <v>0</v>
      </c>
      <c r="AB38" s="57"/>
      <c r="AC38" s="57"/>
      <c r="AD38" s="57"/>
      <c r="AE38" s="58">
        <f t="shared" si="8"/>
        <v>0</v>
      </c>
      <c r="AF38" s="61"/>
    </row>
    <row r="39" spans="2:32" ht="11.45" customHeight="1" x14ac:dyDescent="0.2">
      <c r="B39" s="161">
        <f t="shared" si="9"/>
        <v>29</v>
      </c>
      <c r="C39" s="59"/>
      <c r="D39" s="59"/>
      <c r="E39" s="160" t="str">
        <f>IFERROR(IF(VLOOKUP(IF(OR($D39=0,$D39="",$D39="-",$D39="N/A"),$G39,$D39),'Rent Roll Analysis'!$B$31:$D$45,2,0)=0,"-",VLOOKUP(IF(OR($D39=0,$D39="",$D39="-",$D39="N/A"),$G39,$D39),'Rent Roll Analysis'!$B$31:$D$45,2,0)),"-")</f>
        <v>-</v>
      </c>
      <c r="F39" s="160" t="str">
        <f>IFERROR(IF(VLOOKUP(IF(OR($D39=0,$D39="",$D39="-",$D39="N/A"),$G39,$D39),'Rent Roll Analysis'!$B$31:$D$45,3,0)=0,"-",VLOOKUP(IF(OR($D39=0,$D39="",$D39="-",$D39="N/A"),$G39,$D39),'Rent Roll Analysis'!$B$31:$D$45,3,0)),"-")</f>
        <v>-</v>
      </c>
      <c r="G39" s="59"/>
      <c r="H39" s="59"/>
      <c r="I39" s="59"/>
      <c r="J39" s="159"/>
      <c r="K39" s="55">
        <f t="shared" si="0"/>
        <v>0</v>
      </c>
      <c r="L39" s="257"/>
      <c r="M39" s="257"/>
      <c r="N39" s="56" t="str">
        <f t="shared" ca="1" si="1"/>
        <v/>
      </c>
      <c r="O39" s="57"/>
      <c r="P39" s="58">
        <f t="shared" si="2"/>
        <v>0</v>
      </c>
      <c r="Q39" s="60">
        <f t="shared" si="3"/>
        <v>0</v>
      </c>
      <c r="R39" s="57"/>
      <c r="S39" s="60" t="str">
        <f t="shared" si="4"/>
        <v/>
      </c>
      <c r="T39" s="60">
        <f t="shared" si="5"/>
        <v>0</v>
      </c>
      <c r="U39" s="57"/>
      <c r="V39" s="57"/>
      <c r="W39" s="57"/>
      <c r="X39" s="58">
        <f t="shared" si="6"/>
        <v>0</v>
      </c>
      <c r="Y39" s="57"/>
      <c r="Z39" s="57"/>
      <c r="AA39" s="58">
        <f t="shared" si="7"/>
        <v>0</v>
      </c>
      <c r="AB39" s="57"/>
      <c r="AC39" s="57"/>
      <c r="AD39" s="57"/>
      <c r="AE39" s="58">
        <f t="shared" si="8"/>
        <v>0</v>
      </c>
      <c r="AF39" s="61"/>
    </row>
    <row r="40" spans="2:32" ht="11.45" customHeight="1" x14ac:dyDescent="0.2">
      <c r="B40" s="161">
        <f t="shared" si="9"/>
        <v>30</v>
      </c>
      <c r="C40" s="59"/>
      <c r="D40" s="59"/>
      <c r="E40" s="160" t="str">
        <f>IFERROR(IF(VLOOKUP(IF(OR($D40=0,$D40="",$D40="-",$D40="N/A"),$G40,$D40),'Rent Roll Analysis'!$B$31:$D$45,2,0)=0,"-",VLOOKUP(IF(OR($D40=0,$D40="",$D40="-",$D40="N/A"),$G40,$D40),'Rent Roll Analysis'!$B$31:$D$45,2,0)),"-")</f>
        <v>-</v>
      </c>
      <c r="F40" s="160" t="str">
        <f>IFERROR(IF(VLOOKUP(IF(OR($D40=0,$D40="",$D40="-",$D40="N/A"),$G40,$D40),'Rent Roll Analysis'!$B$31:$D$45,3,0)=0,"-",VLOOKUP(IF(OR($D40=0,$D40="",$D40="-",$D40="N/A"),$G40,$D40),'Rent Roll Analysis'!$B$31:$D$45,3,0)),"-")</f>
        <v>-</v>
      </c>
      <c r="G40" s="59"/>
      <c r="H40" s="59"/>
      <c r="I40" s="59"/>
      <c r="J40" s="159"/>
      <c r="K40" s="55">
        <f t="shared" si="0"/>
        <v>0</v>
      </c>
      <c r="L40" s="257"/>
      <c r="M40" s="257"/>
      <c r="N40" s="56" t="str">
        <f t="shared" ca="1" si="1"/>
        <v/>
      </c>
      <c r="O40" s="57"/>
      <c r="P40" s="58">
        <f t="shared" si="2"/>
        <v>0</v>
      </c>
      <c r="Q40" s="60">
        <f t="shared" si="3"/>
        <v>0</v>
      </c>
      <c r="R40" s="57"/>
      <c r="S40" s="60" t="str">
        <f t="shared" si="4"/>
        <v/>
      </c>
      <c r="T40" s="60">
        <f t="shared" si="5"/>
        <v>0</v>
      </c>
      <c r="U40" s="57"/>
      <c r="V40" s="57"/>
      <c r="W40" s="57"/>
      <c r="X40" s="58">
        <f t="shared" si="6"/>
        <v>0</v>
      </c>
      <c r="Y40" s="57"/>
      <c r="Z40" s="57"/>
      <c r="AA40" s="58">
        <f t="shared" si="7"/>
        <v>0</v>
      </c>
      <c r="AB40" s="57"/>
      <c r="AC40" s="57"/>
      <c r="AD40" s="57"/>
      <c r="AE40" s="58">
        <f t="shared" si="8"/>
        <v>0</v>
      </c>
      <c r="AF40" s="61"/>
    </row>
    <row r="41" spans="2:32" ht="11.45" customHeight="1" x14ac:dyDescent="0.2">
      <c r="B41" s="161">
        <f t="shared" si="9"/>
        <v>31</v>
      </c>
      <c r="C41" s="59"/>
      <c r="D41" s="59"/>
      <c r="E41" s="160" t="str">
        <f>IFERROR(IF(VLOOKUP(IF(OR($D41=0,$D41="",$D41="-",$D41="N/A"),$G41,$D41),'Rent Roll Analysis'!$B$31:$D$45,2,0)=0,"-",VLOOKUP(IF(OR($D41=0,$D41="",$D41="-",$D41="N/A"),$G41,$D41),'Rent Roll Analysis'!$B$31:$D$45,2,0)),"-")</f>
        <v>-</v>
      </c>
      <c r="F41" s="160" t="str">
        <f>IFERROR(IF(VLOOKUP(IF(OR($D41=0,$D41="",$D41="-",$D41="N/A"),$G41,$D41),'Rent Roll Analysis'!$B$31:$D$45,3,0)=0,"-",VLOOKUP(IF(OR($D41=0,$D41="",$D41="-",$D41="N/A"),$G41,$D41),'Rent Roll Analysis'!$B$31:$D$45,3,0)),"-")</f>
        <v>-</v>
      </c>
      <c r="G41" s="59"/>
      <c r="H41" s="59"/>
      <c r="I41" s="59"/>
      <c r="J41" s="159"/>
      <c r="K41" s="55">
        <f t="shared" si="0"/>
        <v>0</v>
      </c>
      <c r="L41" s="257"/>
      <c r="M41" s="257"/>
      <c r="N41" s="56" t="str">
        <f t="shared" ca="1" si="1"/>
        <v/>
      </c>
      <c r="O41" s="57"/>
      <c r="P41" s="58">
        <f t="shared" si="2"/>
        <v>0</v>
      </c>
      <c r="Q41" s="60">
        <f t="shared" si="3"/>
        <v>0</v>
      </c>
      <c r="R41" s="57"/>
      <c r="S41" s="60" t="str">
        <f t="shared" si="4"/>
        <v/>
      </c>
      <c r="T41" s="60">
        <f t="shared" si="5"/>
        <v>0</v>
      </c>
      <c r="U41" s="57"/>
      <c r="V41" s="57"/>
      <c r="W41" s="57"/>
      <c r="X41" s="58">
        <f t="shared" si="6"/>
        <v>0</v>
      </c>
      <c r="Y41" s="57"/>
      <c r="Z41" s="57"/>
      <c r="AA41" s="58">
        <f t="shared" si="7"/>
        <v>0</v>
      </c>
      <c r="AB41" s="57"/>
      <c r="AC41" s="57"/>
      <c r="AD41" s="57"/>
      <c r="AE41" s="58">
        <f t="shared" si="8"/>
        <v>0</v>
      </c>
      <c r="AF41" s="61"/>
    </row>
    <row r="42" spans="2:32" ht="11.45" customHeight="1" x14ac:dyDescent="0.2">
      <c r="B42" s="161">
        <f t="shared" si="9"/>
        <v>32</v>
      </c>
      <c r="C42" s="59"/>
      <c r="D42" s="59"/>
      <c r="E42" s="160" t="str">
        <f>IFERROR(IF(VLOOKUP(IF(OR($D42=0,$D42="",$D42="-",$D42="N/A"),$G42,$D42),'Rent Roll Analysis'!$B$31:$D$45,2,0)=0,"-",VLOOKUP(IF(OR($D42=0,$D42="",$D42="-",$D42="N/A"),$G42,$D42),'Rent Roll Analysis'!$B$31:$D$45,2,0)),"-")</f>
        <v>-</v>
      </c>
      <c r="F42" s="160" t="str">
        <f>IFERROR(IF(VLOOKUP(IF(OR($D42=0,$D42="",$D42="-",$D42="N/A"),$G42,$D42),'Rent Roll Analysis'!$B$31:$D$45,3,0)=0,"-",VLOOKUP(IF(OR($D42=0,$D42="",$D42="-",$D42="N/A"),$G42,$D42),'Rent Roll Analysis'!$B$31:$D$45,3,0)),"-")</f>
        <v>-</v>
      </c>
      <c r="G42" s="59"/>
      <c r="H42" s="59"/>
      <c r="I42" s="59"/>
      <c r="J42" s="159"/>
      <c r="K42" s="55">
        <f t="shared" si="0"/>
        <v>0</v>
      </c>
      <c r="L42" s="257"/>
      <c r="M42" s="257"/>
      <c r="N42" s="56" t="str">
        <f t="shared" ca="1" si="1"/>
        <v/>
      </c>
      <c r="O42" s="57"/>
      <c r="P42" s="58">
        <f t="shared" si="2"/>
        <v>0</v>
      </c>
      <c r="Q42" s="60">
        <f t="shared" si="3"/>
        <v>0</v>
      </c>
      <c r="R42" s="57"/>
      <c r="S42" s="60" t="str">
        <f t="shared" si="4"/>
        <v/>
      </c>
      <c r="T42" s="60">
        <f t="shared" si="5"/>
        <v>0</v>
      </c>
      <c r="U42" s="57"/>
      <c r="V42" s="57"/>
      <c r="W42" s="57"/>
      <c r="X42" s="58">
        <f t="shared" si="6"/>
        <v>0</v>
      </c>
      <c r="Y42" s="57"/>
      <c r="Z42" s="57"/>
      <c r="AA42" s="58">
        <f t="shared" si="7"/>
        <v>0</v>
      </c>
      <c r="AB42" s="57"/>
      <c r="AC42" s="57"/>
      <c r="AD42" s="57"/>
      <c r="AE42" s="58">
        <f t="shared" si="8"/>
        <v>0</v>
      </c>
      <c r="AF42" s="61"/>
    </row>
    <row r="43" spans="2:32" ht="11.45" customHeight="1" x14ac:dyDescent="0.2">
      <c r="B43" s="161">
        <f t="shared" si="9"/>
        <v>33</v>
      </c>
      <c r="C43" s="59"/>
      <c r="D43" s="59"/>
      <c r="E43" s="160" t="str">
        <f>IFERROR(IF(VLOOKUP(IF(OR($D43=0,$D43="",$D43="-",$D43="N/A"),$G43,$D43),'Rent Roll Analysis'!$B$31:$D$45,2,0)=0,"-",VLOOKUP(IF(OR($D43=0,$D43="",$D43="-",$D43="N/A"),$G43,$D43),'Rent Roll Analysis'!$B$31:$D$45,2,0)),"-")</f>
        <v>-</v>
      </c>
      <c r="F43" s="160" t="str">
        <f>IFERROR(IF(VLOOKUP(IF(OR($D43=0,$D43="",$D43="-",$D43="N/A"),$G43,$D43),'Rent Roll Analysis'!$B$31:$D$45,3,0)=0,"-",VLOOKUP(IF(OR($D43=0,$D43="",$D43="-",$D43="N/A"),$G43,$D43),'Rent Roll Analysis'!$B$31:$D$45,3,0)),"-")</f>
        <v>-</v>
      </c>
      <c r="G43" s="59"/>
      <c r="H43" s="59"/>
      <c r="I43" s="59"/>
      <c r="J43" s="159"/>
      <c r="K43" s="55">
        <f t="shared" si="0"/>
        <v>0</v>
      </c>
      <c r="L43" s="257"/>
      <c r="M43" s="257"/>
      <c r="N43" s="56" t="str">
        <f t="shared" ca="1" si="1"/>
        <v/>
      </c>
      <c r="O43" s="57"/>
      <c r="P43" s="58">
        <f t="shared" si="2"/>
        <v>0</v>
      </c>
      <c r="Q43" s="60">
        <f t="shared" si="3"/>
        <v>0</v>
      </c>
      <c r="R43" s="57"/>
      <c r="S43" s="60" t="str">
        <f t="shared" si="4"/>
        <v/>
      </c>
      <c r="T43" s="60">
        <f t="shared" si="5"/>
        <v>0</v>
      </c>
      <c r="U43" s="57"/>
      <c r="V43" s="57"/>
      <c r="W43" s="57"/>
      <c r="X43" s="58">
        <f t="shared" si="6"/>
        <v>0</v>
      </c>
      <c r="Y43" s="57"/>
      <c r="Z43" s="57"/>
      <c r="AA43" s="58">
        <f t="shared" si="7"/>
        <v>0</v>
      </c>
      <c r="AB43" s="57"/>
      <c r="AC43" s="57"/>
      <c r="AD43" s="57"/>
      <c r="AE43" s="58">
        <f t="shared" si="8"/>
        <v>0</v>
      </c>
      <c r="AF43" s="61"/>
    </row>
    <row r="44" spans="2:32" ht="11.45" customHeight="1" x14ac:dyDescent="0.2">
      <c r="B44" s="161">
        <f t="shared" si="9"/>
        <v>34</v>
      </c>
      <c r="C44" s="59"/>
      <c r="D44" s="59"/>
      <c r="E44" s="160" t="str">
        <f>IFERROR(IF(VLOOKUP(IF(OR($D44=0,$D44="",$D44="-",$D44="N/A"),$G44,$D44),'Rent Roll Analysis'!$B$31:$D$45,2,0)=0,"-",VLOOKUP(IF(OR($D44=0,$D44="",$D44="-",$D44="N/A"),$G44,$D44),'Rent Roll Analysis'!$B$31:$D$45,2,0)),"-")</f>
        <v>-</v>
      </c>
      <c r="F44" s="160" t="str">
        <f>IFERROR(IF(VLOOKUP(IF(OR($D44=0,$D44="",$D44="-",$D44="N/A"),$G44,$D44),'Rent Roll Analysis'!$B$31:$D$45,3,0)=0,"-",VLOOKUP(IF(OR($D44=0,$D44="",$D44="-",$D44="N/A"),$G44,$D44),'Rent Roll Analysis'!$B$31:$D$45,3,0)),"-")</f>
        <v>-</v>
      </c>
      <c r="G44" s="59"/>
      <c r="H44" s="59"/>
      <c r="I44" s="59"/>
      <c r="J44" s="159"/>
      <c r="K44" s="55">
        <f t="shared" si="0"/>
        <v>0</v>
      </c>
      <c r="L44" s="257"/>
      <c r="M44" s="257"/>
      <c r="N44" s="56" t="str">
        <f t="shared" ca="1" si="1"/>
        <v/>
      </c>
      <c r="O44" s="57"/>
      <c r="P44" s="58">
        <f t="shared" si="2"/>
        <v>0</v>
      </c>
      <c r="Q44" s="60">
        <f t="shared" si="3"/>
        <v>0</v>
      </c>
      <c r="R44" s="57"/>
      <c r="S44" s="60" t="str">
        <f t="shared" si="4"/>
        <v/>
      </c>
      <c r="T44" s="60">
        <f t="shared" si="5"/>
        <v>0</v>
      </c>
      <c r="U44" s="57"/>
      <c r="V44" s="57"/>
      <c r="W44" s="57"/>
      <c r="X44" s="58">
        <f t="shared" si="6"/>
        <v>0</v>
      </c>
      <c r="Y44" s="57"/>
      <c r="Z44" s="57"/>
      <c r="AA44" s="58">
        <f t="shared" si="7"/>
        <v>0</v>
      </c>
      <c r="AB44" s="57"/>
      <c r="AC44" s="57"/>
      <c r="AD44" s="57"/>
      <c r="AE44" s="58">
        <f t="shared" si="8"/>
        <v>0</v>
      </c>
      <c r="AF44" s="61"/>
    </row>
    <row r="45" spans="2:32" ht="11.45" customHeight="1" x14ac:dyDescent="0.2">
      <c r="B45" s="161">
        <f t="shared" si="9"/>
        <v>35</v>
      </c>
      <c r="C45" s="59"/>
      <c r="D45" s="59"/>
      <c r="E45" s="160" t="str">
        <f>IFERROR(IF(VLOOKUP(IF(OR($D45=0,$D45="",$D45="-",$D45="N/A"),$G45,$D45),'Rent Roll Analysis'!$B$31:$D$45,2,0)=0,"-",VLOOKUP(IF(OR($D45=0,$D45="",$D45="-",$D45="N/A"),$G45,$D45),'Rent Roll Analysis'!$B$31:$D$45,2,0)),"-")</f>
        <v>-</v>
      </c>
      <c r="F45" s="160" t="str">
        <f>IFERROR(IF(VLOOKUP(IF(OR($D45=0,$D45="",$D45="-",$D45="N/A"),$G45,$D45),'Rent Roll Analysis'!$B$31:$D$45,3,0)=0,"-",VLOOKUP(IF(OR($D45=0,$D45="",$D45="-",$D45="N/A"),$G45,$D45),'Rent Roll Analysis'!$B$31:$D$45,3,0)),"-")</f>
        <v>-</v>
      </c>
      <c r="G45" s="59"/>
      <c r="H45" s="59"/>
      <c r="I45" s="59"/>
      <c r="J45" s="159"/>
      <c r="K45" s="55">
        <f t="shared" si="0"/>
        <v>0</v>
      </c>
      <c r="L45" s="257"/>
      <c r="M45" s="257"/>
      <c r="N45" s="56" t="str">
        <f t="shared" ca="1" si="1"/>
        <v/>
      </c>
      <c r="O45" s="57"/>
      <c r="P45" s="58">
        <f t="shared" si="2"/>
        <v>0</v>
      </c>
      <c r="Q45" s="60">
        <f t="shared" si="3"/>
        <v>0</v>
      </c>
      <c r="R45" s="57"/>
      <c r="S45" s="60" t="str">
        <f t="shared" si="4"/>
        <v/>
      </c>
      <c r="T45" s="60">
        <f t="shared" si="5"/>
        <v>0</v>
      </c>
      <c r="U45" s="57"/>
      <c r="V45" s="57"/>
      <c r="W45" s="57"/>
      <c r="X45" s="58">
        <f t="shared" si="6"/>
        <v>0</v>
      </c>
      <c r="Y45" s="57"/>
      <c r="Z45" s="57"/>
      <c r="AA45" s="58">
        <f t="shared" si="7"/>
        <v>0</v>
      </c>
      <c r="AB45" s="57"/>
      <c r="AC45" s="57"/>
      <c r="AD45" s="57"/>
      <c r="AE45" s="58">
        <f t="shared" si="8"/>
        <v>0</v>
      </c>
      <c r="AF45" s="61"/>
    </row>
    <row r="46" spans="2:32" ht="11.45" customHeight="1" x14ac:dyDescent="0.2">
      <c r="B46" s="161">
        <f t="shared" si="9"/>
        <v>36</v>
      </c>
      <c r="C46" s="59"/>
      <c r="D46" s="59"/>
      <c r="E46" s="160" t="str">
        <f>IFERROR(IF(VLOOKUP(IF(OR($D46=0,$D46="",$D46="-",$D46="N/A"),$G46,$D46),'Rent Roll Analysis'!$B$31:$D$45,2,0)=0,"-",VLOOKUP(IF(OR($D46=0,$D46="",$D46="-",$D46="N/A"),$G46,$D46),'Rent Roll Analysis'!$B$31:$D$45,2,0)),"-")</f>
        <v>-</v>
      </c>
      <c r="F46" s="160" t="str">
        <f>IFERROR(IF(VLOOKUP(IF(OR($D46=0,$D46="",$D46="-",$D46="N/A"),$G46,$D46),'Rent Roll Analysis'!$B$31:$D$45,3,0)=0,"-",VLOOKUP(IF(OR($D46=0,$D46="",$D46="-",$D46="N/A"),$G46,$D46),'Rent Roll Analysis'!$B$31:$D$45,3,0)),"-")</f>
        <v>-</v>
      </c>
      <c r="G46" s="59"/>
      <c r="H46" s="59"/>
      <c r="I46" s="59"/>
      <c r="J46" s="159"/>
      <c r="K46" s="55">
        <f t="shared" si="0"/>
        <v>0</v>
      </c>
      <c r="L46" s="257"/>
      <c r="M46" s="257"/>
      <c r="N46" s="56" t="str">
        <f t="shared" ca="1" si="1"/>
        <v/>
      </c>
      <c r="O46" s="57"/>
      <c r="P46" s="58">
        <f t="shared" si="2"/>
        <v>0</v>
      </c>
      <c r="Q46" s="60">
        <f t="shared" si="3"/>
        <v>0</v>
      </c>
      <c r="R46" s="57"/>
      <c r="S46" s="60" t="str">
        <f t="shared" si="4"/>
        <v/>
      </c>
      <c r="T46" s="60">
        <f t="shared" si="5"/>
        <v>0</v>
      </c>
      <c r="U46" s="57"/>
      <c r="V46" s="57"/>
      <c r="W46" s="57"/>
      <c r="X46" s="58">
        <f t="shared" si="6"/>
        <v>0</v>
      </c>
      <c r="Y46" s="57"/>
      <c r="Z46" s="57"/>
      <c r="AA46" s="58">
        <f t="shared" si="7"/>
        <v>0</v>
      </c>
      <c r="AB46" s="57"/>
      <c r="AC46" s="57"/>
      <c r="AD46" s="57"/>
      <c r="AE46" s="58">
        <f t="shared" si="8"/>
        <v>0</v>
      </c>
      <c r="AF46" s="61"/>
    </row>
    <row r="47" spans="2:32" ht="11.45" customHeight="1" x14ac:dyDescent="0.2">
      <c r="B47" s="161">
        <f t="shared" si="9"/>
        <v>37</v>
      </c>
      <c r="C47" s="59"/>
      <c r="D47" s="59"/>
      <c r="E47" s="160" t="str">
        <f>IFERROR(IF(VLOOKUP(IF(OR($D47=0,$D47="",$D47="-",$D47="N/A"),$G47,$D47),'Rent Roll Analysis'!$B$31:$D$45,2,0)=0,"-",VLOOKUP(IF(OR($D47=0,$D47="",$D47="-",$D47="N/A"),$G47,$D47),'Rent Roll Analysis'!$B$31:$D$45,2,0)),"-")</f>
        <v>-</v>
      </c>
      <c r="F47" s="160" t="str">
        <f>IFERROR(IF(VLOOKUP(IF(OR($D47=0,$D47="",$D47="-",$D47="N/A"),$G47,$D47),'Rent Roll Analysis'!$B$31:$D$45,3,0)=0,"-",VLOOKUP(IF(OR($D47=0,$D47="",$D47="-",$D47="N/A"),$G47,$D47),'Rent Roll Analysis'!$B$31:$D$45,3,0)),"-")</f>
        <v>-</v>
      </c>
      <c r="G47" s="59"/>
      <c r="H47" s="59"/>
      <c r="I47" s="59"/>
      <c r="J47" s="159"/>
      <c r="K47" s="55">
        <f t="shared" si="0"/>
        <v>0</v>
      </c>
      <c r="L47" s="257"/>
      <c r="M47" s="257"/>
      <c r="N47" s="56" t="str">
        <f t="shared" ca="1" si="1"/>
        <v/>
      </c>
      <c r="O47" s="57"/>
      <c r="P47" s="58">
        <f t="shared" si="2"/>
        <v>0</v>
      </c>
      <c r="Q47" s="60">
        <f t="shared" si="3"/>
        <v>0</v>
      </c>
      <c r="R47" s="57"/>
      <c r="S47" s="60" t="str">
        <f t="shared" si="4"/>
        <v/>
      </c>
      <c r="T47" s="60">
        <f t="shared" si="5"/>
        <v>0</v>
      </c>
      <c r="U47" s="57"/>
      <c r="V47" s="57"/>
      <c r="W47" s="57"/>
      <c r="X47" s="58">
        <f t="shared" si="6"/>
        <v>0</v>
      </c>
      <c r="Y47" s="57"/>
      <c r="Z47" s="57"/>
      <c r="AA47" s="58">
        <f t="shared" si="7"/>
        <v>0</v>
      </c>
      <c r="AB47" s="57"/>
      <c r="AC47" s="57"/>
      <c r="AD47" s="57"/>
      <c r="AE47" s="58">
        <f t="shared" si="8"/>
        <v>0</v>
      </c>
      <c r="AF47" s="61"/>
    </row>
    <row r="48" spans="2:32" ht="11.45" customHeight="1" x14ac:dyDescent="0.2">
      <c r="B48" s="161">
        <f t="shared" si="9"/>
        <v>38</v>
      </c>
      <c r="C48" s="59"/>
      <c r="D48" s="59"/>
      <c r="E48" s="160" t="str">
        <f>IFERROR(IF(VLOOKUP(IF(OR($D48=0,$D48="",$D48="-",$D48="N/A"),$G48,$D48),'Rent Roll Analysis'!$B$31:$D$45,2,0)=0,"-",VLOOKUP(IF(OR($D48=0,$D48="",$D48="-",$D48="N/A"),$G48,$D48),'Rent Roll Analysis'!$B$31:$D$45,2,0)),"-")</f>
        <v>-</v>
      </c>
      <c r="F48" s="160" t="str">
        <f>IFERROR(IF(VLOOKUP(IF(OR($D48=0,$D48="",$D48="-",$D48="N/A"),$G48,$D48),'Rent Roll Analysis'!$B$31:$D$45,3,0)=0,"-",VLOOKUP(IF(OR($D48=0,$D48="",$D48="-",$D48="N/A"),$G48,$D48),'Rent Roll Analysis'!$B$31:$D$45,3,0)),"-")</f>
        <v>-</v>
      </c>
      <c r="G48" s="59"/>
      <c r="H48" s="59"/>
      <c r="I48" s="59"/>
      <c r="J48" s="159"/>
      <c r="K48" s="55">
        <f t="shared" si="0"/>
        <v>0</v>
      </c>
      <c r="L48" s="257"/>
      <c r="M48" s="257"/>
      <c r="N48" s="56" t="str">
        <f t="shared" ca="1" si="1"/>
        <v/>
      </c>
      <c r="O48" s="57"/>
      <c r="P48" s="58">
        <f t="shared" si="2"/>
        <v>0</v>
      </c>
      <c r="Q48" s="60">
        <f t="shared" si="3"/>
        <v>0</v>
      </c>
      <c r="R48" s="57"/>
      <c r="S48" s="60" t="str">
        <f t="shared" si="4"/>
        <v/>
      </c>
      <c r="T48" s="60">
        <f t="shared" si="5"/>
        <v>0</v>
      </c>
      <c r="U48" s="57"/>
      <c r="V48" s="57"/>
      <c r="W48" s="57"/>
      <c r="X48" s="58">
        <f t="shared" si="6"/>
        <v>0</v>
      </c>
      <c r="Y48" s="57"/>
      <c r="Z48" s="57"/>
      <c r="AA48" s="58">
        <f t="shared" si="7"/>
        <v>0</v>
      </c>
      <c r="AB48" s="57"/>
      <c r="AC48" s="57"/>
      <c r="AD48" s="57"/>
      <c r="AE48" s="58">
        <f t="shared" si="8"/>
        <v>0</v>
      </c>
      <c r="AF48" s="61"/>
    </row>
    <row r="49" spans="2:32" ht="11.45" customHeight="1" x14ac:dyDescent="0.2">
      <c r="B49" s="161">
        <f t="shared" si="9"/>
        <v>39</v>
      </c>
      <c r="C49" s="59"/>
      <c r="D49" s="59"/>
      <c r="E49" s="160" t="str">
        <f>IFERROR(IF(VLOOKUP(IF(OR($D49=0,$D49="",$D49="-",$D49="N/A"),$G49,$D49),'Rent Roll Analysis'!$B$31:$D$45,2,0)=0,"-",VLOOKUP(IF(OR($D49=0,$D49="",$D49="-",$D49="N/A"),$G49,$D49),'Rent Roll Analysis'!$B$31:$D$45,2,0)),"-")</f>
        <v>-</v>
      </c>
      <c r="F49" s="160" t="str">
        <f>IFERROR(IF(VLOOKUP(IF(OR($D49=0,$D49="",$D49="-",$D49="N/A"),$G49,$D49),'Rent Roll Analysis'!$B$31:$D$45,3,0)=0,"-",VLOOKUP(IF(OR($D49=0,$D49="",$D49="-",$D49="N/A"),$G49,$D49),'Rent Roll Analysis'!$B$31:$D$45,3,0)),"-")</f>
        <v>-</v>
      </c>
      <c r="G49" s="59"/>
      <c r="H49" s="59"/>
      <c r="I49" s="59"/>
      <c r="J49" s="159"/>
      <c r="K49" s="55">
        <f t="shared" si="0"/>
        <v>0</v>
      </c>
      <c r="L49" s="257"/>
      <c r="M49" s="257"/>
      <c r="N49" s="56" t="str">
        <f t="shared" ca="1" si="1"/>
        <v/>
      </c>
      <c r="O49" s="57"/>
      <c r="P49" s="58">
        <f t="shared" si="2"/>
        <v>0</v>
      </c>
      <c r="Q49" s="60">
        <f t="shared" si="3"/>
        <v>0</v>
      </c>
      <c r="R49" s="57"/>
      <c r="S49" s="60" t="str">
        <f t="shared" si="4"/>
        <v/>
      </c>
      <c r="T49" s="60">
        <f t="shared" si="5"/>
        <v>0</v>
      </c>
      <c r="U49" s="57"/>
      <c r="V49" s="57"/>
      <c r="W49" s="57"/>
      <c r="X49" s="58">
        <f t="shared" si="6"/>
        <v>0</v>
      </c>
      <c r="Y49" s="57"/>
      <c r="Z49" s="57"/>
      <c r="AA49" s="58">
        <f t="shared" si="7"/>
        <v>0</v>
      </c>
      <c r="AB49" s="57"/>
      <c r="AC49" s="57"/>
      <c r="AD49" s="57"/>
      <c r="AE49" s="58">
        <f t="shared" si="8"/>
        <v>0</v>
      </c>
      <c r="AF49" s="61"/>
    </row>
    <row r="50" spans="2:32" ht="11.45" customHeight="1" x14ac:dyDescent="0.2">
      <c r="B50" s="161">
        <f t="shared" si="9"/>
        <v>40</v>
      </c>
      <c r="C50" s="59"/>
      <c r="D50" s="59"/>
      <c r="E50" s="160" t="str">
        <f>IFERROR(IF(VLOOKUP(IF(OR($D50=0,$D50="",$D50="-",$D50="N/A"),$G50,$D50),'Rent Roll Analysis'!$B$31:$D$45,2,0)=0,"-",VLOOKUP(IF(OR($D50=0,$D50="",$D50="-",$D50="N/A"),$G50,$D50),'Rent Roll Analysis'!$B$31:$D$45,2,0)),"-")</f>
        <v>-</v>
      </c>
      <c r="F50" s="160" t="str">
        <f>IFERROR(IF(VLOOKUP(IF(OR($D50=0,$D50="",$D50="-",$D50="N/A"),$G50,$D50),'Rent Roll Analysis'!$B$31:$D$45,3,0)=0,"-",VLOOKUP(IF(OR($D50=0,$D50="",$D50="-",$D50="N/A"),$G50,$D50),'Rent Roll Analysis'!$B$31:$D$45,3,0)),"-")</f>
        <v>-</v>
      </c>
      <c r="G50" s="59"/>
      <c r="H50" s="59"/>
      <c r="I50" s="59"/>
      <c r="J50" s="159"/>
      <c r="K50" s="55">
        <f t="shared" si="0"/>
        <v>0</v>
      </c>
      <c r="L50" s="257"/>
      <c r="M50" s="257"/>
      <c r="N50" s="56" t="str">
        <f t="shared" ca="1" si="1"/>
        <v/>
      </c>
      <c r="O50" s="57"/>
      <c r="P50" s="58">
        <f t="shared" si="2"/>
        <v>0</v>
      </c>
      <c r="Q50" s="60">
        <f t="shared" si="3"/>
        <v>0</v>
      </c>
      <c r="R50" s="57"/>
      <c r="S50" s="60" t="str">
        <f t="shared" si="4"/>
        <v/>
      </c>
      <c r="T50" s="60">
        <f t="shared" si="5"/>
        <v>0</v>
      </c>
      <c r="U50" s="57"/>
      <c r="V50" s="57"/>
      <c r="W50" s="57"/>
      <c r="X50" s="58">
        <f t="shared" si="6"/>
        <v>0</v>
      </c>
      <c r="Y50" s="57"/>
      <c r="Z50" s="57"/>
      <c r="AA50" s="58">
        <f t="shared" si="7"/>
        <v>0</v>
      </c>
      <c r="AB50" s="57"/>
      <c r="AC50" s="57"/>
      <c r="AD50" s="57"/>
      <c r="AE50" s="58">
        <f t="shared" si="8"/>
        <v>0</v>
      </c>
      <c r="AF50" s="61"/>
    </row>
  </sheetData>
  <mergeCells count="40">
    <mergeCell ref="AF7:AF9"/>
    <mergeCell ref="G8:G9"/>
    <mergeCell ref="H8:H9"/>
    <mergeCell ref="I8:I9"/>
    <mergeCell ref="J8:J9"/>
    <mergeCell ref="K8:K9"/>
    <mergeCell ref="L8:L9"/>
    <mergeCell ref="J7:K7"/>
    <mergeCell ref="L7:N7"/>
    <mergeCell ref="O7:Q7"/>
    <mergeCell ref="S7:T7"/>
    <mergeCell ref="M8:M9"/>
    <mergeCell ref="X8:X9"/>
    <mergeCell ref="AE7:AE9"/>
    <mergeCell ref="AA7:AA9"/>
    <mergeCell ref="AB7:AB9"/>
    <mergeCell ref="B10:I10"/>
    <mergeCell ref="Q8:Q9"/>
    <mergeCell ref="R8:R9"/>
    <mergeCell ref="S8:S9"/>
    <mergeCell ref="T8:T9"/>
    <mergeCell ref="B7:B9"/>
    <mergeCell ref="N8:N9"/>
    <mergeCell ref="P8:P9"/>
    <mergeCell ref="C7:C9"/>
    <mergeCell ref="D7:I7"/>
    <mergeCell ref="O8:O9"/>
    <mergeCell ref="AD7:AD9"/>
    <mergeCell ref="U7:X7"/>
    <mergeCell ref="Y7:Y9"/>
    <mergeCell ref="W8:W9"/>
    <mergeCell ref="V8:V9"/>
    <mergeCell ref="U8:U9"/>
    <mergeCell ref="Z7:Z9"/>
    <mergeCell ref="AC7:AC9"/>
    <mergeCell ref="B5:C5"/>
    <mergeCell ref="D5:E5"/>
    <mergeCell ref="D8:D9"/>
    <mergeCell ref="E8:E9"/>
    <mergeCell ref="F8:F9"/>
  </mergeCells>
  <dataValidations count="1">
    <dataValidation type="list" allowBlank="1" showInputMessage="1" showErrorMessage="1" sqref="I11:I50" xr:uid="{00000000-0002-0000-0800-000000000000}">
      <formula1>rng_rent_status</formula1>
    </dataValidation>
  </dataValidation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>
    <tabColor theme="2" tint="-0.499984740745262"/>
  </sheetPr>
  <dimension ref="A1:AD1048567"/>
  <sheetViews>
    <sheetView showGridLines="0" zoomScaleNormal="100" workbookViewId="0">
      <pane ySplit="20" topLeftCell="A21" activePane="bottomLeft" state="frozen"/>
      <selection pane="bottomLeft"/>
    </sheetView>
  </sheetViews>
  <sheetFormatPr defaultColWidth="0" defaultRowHeight="11.45" customHeight="1" zeroHeight="1" x14ac:dyDescent="0.2"/>
  <cols>
    <col min="1" max="1" width="2.28515625" style="14" customWidth="1"/>
    <col min="2" max="4" width="10.5703125" style="14" customWidth="1"/>
    <col min="5" max="11" width="11.85546875" style="14" customWidth="1"/>
    <col min="12" max="13" width="12.28515625" style="14" customWidth="1"/>
    <col min="14" max="14" width="18.28515625" style="14" customWidth="1"/>
    <col min="15" max="15" width="0.28515625" style="14" customWidth="1"/>
    <col min="16" max="16" width="12.28515625" style="14" customWidth="1"/>
    <col min="17" max="17" width="13" style="14" customWidth="1"/>
    <col min="18" max="18" width="16.5703125" style="14" bestFit="1" customWidth="1"/>
    <col min="19" max="19" width="12.5703125" style="14" hidden="1" customWidth="1"/>
    <col min="20" max="20" width="2.28515625" style="14" customWidth="1"/>
    <col min="21" max="21" width="4.85546875" style="14" hidden="1" customWidth="1"/>
    <col min="22" max="23" width="10.5703125" style="14" hidden="1" customWidth="1"/>
    <col min="24" max="24" width="7.5703125" style="14" hidden="1" customWidth="1"/>
    <col min="25" max="28" width="10.5703125" style="14" hidden="1" customWidth="1"/>
    <col min="29" max="30" width="12.5703125" style="14" hidden="1" customWidth="1"/>
    <col min="31" max="16384" width="10.5703125" style="14" hidden="1"/>
  </cols>
  <sheetData>
    <row r="1" spans="1:3" ht="11.45" customHeight="1" x14ac:dyDescent="0.2"/>
    <row r="2" spans="1:3" ht="11.45" customHeight="1" x14ac:dyDescent="0.2"/>
    <row r="3" spans="1:3" ht="11.45" customHeight="1" x14ac:dyDescent="0.2"/>
    <row r="4" spans="1:3" ht="11.45" customHeight="1" x14ac:dyDescent="0.2">
      <c r="B4" s="204" t="str">
        <f>$B$22&amp;" Units: "&amp;$E$22</f>
        <v>Occupied Units: 0</v>
      </c>
      <c r="C4" s="204"/>
    </row>
    <row r="5" spans="1:3" ht="11.45" customHeight="1" x14ac:dyDescent="0.2">
      <c r="B5" s="204" t="str">
        <f>$B$27&amp;" Units: "&amp;$E$27</f>
        <v>Vacant Units: 0</v>
      </c>
      <c r="C5" s="204"/>
    </row>
    <row r="6" spans="1:3" ht="11.45" customHeight="1" x14ac:dyDescent="0.2">
      <c r="B6" s="204" t="str">
        <f>$B$28&amp;" Units: "&amp;$E$28</f>
        <v>Total Units: 0</v>
      </c>
      <c r="C6" s="204"/>
    </row>
    <row r="7" spans="1:3" ht="11.45" customHeight="1" x14ac:dyDescent="0.2">
      <c r="B7" s="204" t="str">
        <f>"Rentable Area: "&amp;TEXT(F22,"#,##0")</f>
        <v>Rentable Area: 0</v>
      </c>
      <c r="C7" s="204"/>
    </row>
    <row r="8" spans="1:3" ht="11.45" customHeight="1" x14ac:dyDescent="0.2">
      <c r="B8" s="204" t="str">
        <f>"AVG Unit Size: "&amp;TEXT(ROUND(G28,0),"#,##0")</f>
        <v>AVG Unit Size: 0</v>
      </c>
      <c r="C8" s="204"/>
    </row>
    <row r="9" spans="1:3" ht="11.45" customHeight="1" x14ac:dyDescent="0.2">
      <c r="B9" s="204" t="str">
        <f>"Rental Loss: "&amp;TEXT(ROUND(R24,0)*(-1),"#,##0")</f>
        <v>Rental Loss: 0</v>
      </c>
      <c r="C9" s="204"/>
    </row>
    <row r="10" spans="1:3" ht="11.45" customHeight="1" x14ac:dyDescent="0.2">
      <c r="B10" s="195"/>
      <c r="C10" s="195"/>
    </row>
    <row r="11" spans="1:3" ht="11.45" customHeight="1" x14ac:dyDescent="0.2">
      <c r="B11" s="195"/>
      <c r="C11" s="195"/>
    </row>
    <row r="12" spans="1:3" ht="11.45" customHeight="1" x14ac:dyDescent="0.2">
      <c r="A12" s="13" t="e">
        <f>E22/E28</f>
        <v>#DIV/0!</v>
      </c>
      <c r="B12" s="195"/>
      <c r="C12" s="195"/>
    </row>
    <row r="13" spans="1:3" ht="11.45" customHeight="1" x14ac:dyDescent="0.2">
      <c r="A13" s="13" t="e">
        <f>E23/E28</f>
        <v>#DIV/0!</v>
      </c>
      <c r="B13" s="195"/>
      <c r="C13" s="195"/>
    </row>
    <row r="14" spans="1:3" ht="11.45" customHeight="1" x14ac:dyDescent="0.2">
      <c r="A14" s="13" t="e">
        <f>E24/E28</f>
        <v>#DIV/0!</v>
      </c>
      <c r="B14" s="195"/>
      <c r="C14" s="195"/>
    </row>
    <row r="15" spans="1:3" ht="11.45" customHeight="1" x14ac:dyDescent="0.2">
      <c r="A15" s="13" t="e">
        <f>E25/E28</f>
        <v>#DIV/0!</v>
      </c>
      <c r="B15" s="195"/>
      <c r="C15" s="195"/>
    </row>
    <row r="16" spans="1:3" ht="11.45" customHeight="1" x14ac:dyDescent="0.2">
      <c r="B16" s="195"/>
      <c r="C16" s="195"/>
    </row>
    <row r="17" spans="2:19" ht="11.45" customHeight="1" x14ac:dyDescent="0.2"/>
    <row r="18" spans="2:19" ht="11.45" customHeight="1" x14ac:dyDescent="0.2"/>
    <row r="19" spans="2:19" ht="11.45" customHeight="1" x14ac:dyDescent="0.2"/>
    <row r="20" spans="2:19" ht="11.45" customHeight="1" x14ac:dyDescent="0.2">
      <c r="B20" s="15"/>
      <c r="C20" s="15"/>
      <c r="D20" s="15"/>
      <c r="E20" s="15"/>
      <c r="F20" s="16">
        <f>E45+H45</f>
        <v>0</v>
      </c>
      <c r="G20" s="15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5"/>
    </row>
    <row r="21" spans="2:19" ht="11.45" customHeight="1" x14ac:dyDescent="0.2">
      <c r="B21" s="162" t="s">
        <v>31</v>
      </c>
      <c r="C21" s="163"/>
      <c r="D21" s="163"/>
      <c r="E21" s="163" t="s">
        <v>162</v>
      </c>
      <c r="F21" s="163" t="s">
        <v>163</v>
      </c>
      <c r="G21" s="163" t="s">
        <v>164</v>
      </c>
      <c r="H21" s="371" t="s">
        <v>23</v>
      </c>
      <c r="I21" s="371"/>
      <c r="J21" s="371" t="s">
        <v>40</v>
      </c>
      <c r="K21" s="371"/>
      <c r="L21" s="372" t="s">
        <v>165</v>
      </c>
      <c r="M21" s="372"/>
      <c r="N21" s="255" t="s">
        <v>342</v>
      </c>
      <c r="O21" s="32"/>
      <c r="P21" s="247" t="s">
        <v>97</v>
      </c>
      <c r="Q21" s="249"/>
      <c r="R21" s="252" t="s">
        <v>166</v>
      </c>
    </row>
    <row r="22" spans="2:19" ht="11.45" customHeight="1" x14ac:dyDescent="0.2">
      <c r="B22" s="164" t="s">
        <v>167</v>
      </c>
      <c r="C22" s="30"/>
      <c r="D22" s="30"/>
      <c r="E22" s="245">
        <f>COUNTIF('Rent Roll'!$I$11:I$50,'Rent Roll Analysis'!$B22)</f>
        <v>0</v>
      </c>
      <c r="F22" s="245">
        <f>SUMIF('Rent Roll'!$I$11:I$50,'Rent Roll Analysis'!$B22,'Rent Roll'!$J$11:J$50)</f>
        <v>0</v>
      </c>
      <c r="G22" s="245">
        <f t="shared" ref="G22:G27" si="0">IFERROR($F22/$E22,0)</f>
        <v>0</v>
      </c>
      <c r="H22" s="308">
        <f>SUMIF('Rent Roll'!$I$11:I$50,'Rent Roll Analysis'!$B22,'Rent Roll'!$O$11:O$50)</f>
        <v>0</v>
      </c>
      <c r="I22" s="308"/>
      <c r="J22" s="308">
        <f>SUMIF('Rent Roll'!$I$11:I$50,'Rent Roll Analysis'!$B22,'Rent Roll'!$R$11:R$50)</f>
        <v>0</v>
      </c>
      <c r="K22" s="308"/>
      <c r="L22" s="308">
        <f>SUMIF('Rent Roll'!$I$11:I$50,'Rent Roll Analysis'!$B22,'Rent Roll'!$V$11:V$50)</f>
        <v>0</v>
      </c>
      <c r="M22" s="308"/>
      <c r="N22" s="165">
        <f>SUMIF('Rent Roll'!$I$11:I$50,'Rent Roll Analysis'!$B22,'Rent Roll'!$W$11:W$50)</f>
        <v>0</v>
      </c>
      <c r="O22" s="32"/>
      <c r="P22" s="164" t="s">
        <v>202</v>
      </c>
      <c r="Q22" s="30"/>
      <c r="R22" s="253">
        <f>SUM($H$22,$J$23:$J$27)</f>
        <v>0</v>
      </c>
    </row>
    <row r="23" spans="2:19" ht="11.45" customHeight="1" x14ac:dyDescent="0.2">
      <c r="B23" s="164" t="s">
        <v>168</v>
      </c>
      <c r="C23" s="30"/>
      <c r="D23" s="30"/>
      <c r="E23" s="245">
        <f>COUNTIF('Rent Roll'!$I$11:I$50,'Rent Roll Analysis'!$B23)</f>
        <v>0</v>
      </c>
      <c r="F23" s="245">
        <f>SUMIF('Rent Roll'!$I$11:I$50,'Rent Roll Analysis'!$B23,'Rent Roll'!$J$11:J$50)</f>
        <v>0</v>
      </c>
      <c r="G23" s="245">
        <f t="shared" si="0"/>
        <v>0</v>
      </c>
      <c r="H23" s="308">
        <f>SUMIF('Rent Roll'!$I$11:I$50,'Rent Roll Analysis'!$B23,'Rent Roll'!$O$11:O$50)</f>
        <v>0</v>
      </c>
      <c r="I23" s="308"/>
      <c r="J23" s="308">
        <f>SUMIF('Rent Roll'!$I$11:I$50,'Rent Roll Analysis'!$B23,'Rent Roll'!$R$11:R$50)</f>
        <v>0</v>
      </c>
      <c r="K23" s="308"/>
      <c r="L23" s="308">
        <f>SUMIF('Rent Roll'!$I$11:I$50,'Rent Roll Analysis'!$B23,'Rent Roll'!$V$11:V$50)</f>
        <v>0</v>
      </c>
      <c r="M23" s="308"/>
      <c r="N23" s="165">
        <f>SUMIF('Rent Roll'!$I$11:I$50,'Rent Roll Analysis'!$B23,'Rent Roll'!$W$11:W$50)</f>
        <v>0</v>
      </c>
      <c r="O23" s="32"/>
      <c r="P23" s="164" t="s">
        <v>170</v>
      </c>
      <c r="Q23" s="30"/>
      <c r="R23" s="253">
        <f>SUM($J$24:$J$25)</f>
        <v>0</v>
      </c>
    </row>
    <row r="24" spans="2:19" ht="11.45" customHeight="1" x14ac:dyDescent="0.2">
      <c r="B24" s="164" t="s">
        <v>341</v>
      </c>
      <c r="C24" s="30"/>
      <c r="D24" s="30"/>
      <c r="E24" s="245">
        <f>COUNTIF('Rent Roll'!$I$11:I$50,'Rent Roll Analysis'!$B24)</f>
        <v>0</v>
      </c>
      <c r="F24" s="245">
        <f>SUMIF('Rent Roll'!$I$11:I$50,'Rent Roll Analysis'!$B24,'Rent Roll'!$J$11:J$50)</f>
        <v>0</v>
      </c>
      <c r="G24" s="245">
        <f t="shared" si="0"/>
        <v>0</v>
      </c>
      <c r="H24" s="308">
        <f>SUMIF('Rent Roll'!$I$11:I$50,'Rent Roll Analysis'!$B24,'Rent Roll'!$O$11:O$50)</f>
        <v>0</v>
      </c>
      <c r="I24" s="308"/>
      <c r="J24" s="308">
        <f>SUMIF('Rent Roll'!$I$11:I$50,'Rent Roll Analysis'!$B24,'Rent Roll'!$R$11:R$50)</f>
        <v>0</v>
      </c>
      <c r="K24" s="308"/>
      <c r="L24" s="308">
        <f>SUMIF('Rent Roll'!$I$11:I$50,'Rent Roll Analysis'!$B24,'Rent Roll'!$V$11:V$50)</f>
        <v>0</v>
      </c>
      <c r="M24" s="308"/>
      <c r="N24" s="165">
        <f>SUMIF('Rent Roll'!$I$11:I$50,'Rent Roll Analysis'!$B24,'Rent Roll'!$W$11:W$50)</f>
        <v>0</v>
      </c>
      <c r="O24" s="32"/>
      <c r="P24" s="164" t="s">
        <v>172</v>
      </c>
      <c r="Q24" s="30"/>
      <c r="R24" s="253">
        <f>-$J$27</f>
        <v>0</v>
      </c>
    </row>
    <row r="25" spans="2:19" ht="11.45" customHeight="1" x14ac:dyDescent="0.2">
      <c r="B25" s="164" t="s">
        <v>171</v>
      </c>
      <c r="C25" s="30"/>
      <c r="D25" s="30"/>
      <c r="E25" s="245">
        <f>COUNTIF('Rent Roll'!$I$11:I$50,'Rent Roll Analysis'!$B25)</f>
        <v>0</v>
      </c>
      <c r="F25" s="245">
        <f>SUMIF('Rent Roll'!$I$11:I$50,'Rent Roll Analysis'!$B25,'Rent Roll'!$J$11:J$50)</f>
        <v>0</v>
      </c>
      <c r="G25" s="245">
        <f t="shared" si="0"/>
        <v>0</v>
      </c>
      <c r="H25" s="308">
        <f>SUMIF('Rent Roll'!$I$11:I$50,'Rent Roll Analysis'!$B25,'Rent Roll'!$O$11:O$50)</f>
        <v>0</v>
      </c>
      <c r="I25" s="308"/>
      <c r="J25" s="308">
        <f>SUMIF('Rent Roll'!$I$11:I$50,'Rent Roll Analysis'!$B25,'Rent Roll'!$R$11:R$50)</f>
        <v>0</v>
      </c>
      <c r="K25" s="308"/>
      <c r="L25" s="308">
        <f>SUMIF('Rent Roll'!$I$11:I$50,'Rent Roll Analysis'!$B25,'Rent Roll'!$V$11:V$50)</f>
        <v>0</v>
      </c>
      <c r="M25" s="308"/>
      <c r="N25" s="165">
        <f>SUMIF('Rent Roll'!$I$11:I$50,'Rent Roll Analysis'!$B25,'Rent Roll'!$W$11:W$50)</f>
        <v>0</v>
      </c>
      <c r="O25" s="32"/>
      <c r="P25" s="164" t="s">
        <v>174</v>
      </c>
      <c r="Q25" s="30"/>
      <c r="R25" s="253">
        <f>$L$28</f>
        <v>0</v>
      </c>
    </row>
    <row r="26" spans="2:19" ht="11.45" customHeight="1" x14ac:dyDescent="0.2">
      <c r="B26" s="164" t="s">
        <v>338</v>
      </c>
      <c r="C26" s="30"/>
      <c r="D26" s="30"/>
      <c r="E26" s="245">
        <f>COUNTIF('Rent Roll'!$I$11:I$50,'Rent Roll Analysis'!$B26)</f>
        <v>0</v>
      </c>
      <c r="F26" s="245">
        <f>SUMIF('Rent Roll'!$I$11:I$50,'Rent Roll Analysis'!$B26,'Rent Roll'!$J$11:J$50)</f>
        <v>0</v>
      </c>
      <c r="G26" s="245">
        <f t="shared" si="0"/>
        <v>0</v>
      </c>
      <c r="H26" s="308">
        <f>SUMIF('Rent Roll'!$I$11:I$50,'Rent Roll Analysis'!$B26,'Rent Roll'!$O$11:O$50)</f>
        <v>0</v>
      </c>
      <c r="I26" s="308"/>
      <c r="J26" s="308">
        <f>SUMIF('Rent Roll'!$I$11:I$50,'Rent Roll Analysis'!$B26,'Rent Roll'!$R$11:R$50)</f>
        <v>0</v>
      </c>
      <c r="K26" s="308"/>
      <c r="L26" s="308">
        <f>SUMIF('Rent Roll'!$I$11:I$50,'Rent Roll Analysis'!$B26,'Rent Roll'!$V$11:V$50)</f>
        <v>0</v>
      </c>
      <c r="M26" s="308"/>
      <c r="N26" s="165">
        <f>SUMIF('Rent Roll'!$I$11:I$50,'Rent Roll Analysis'!$B26,'Rent Roll'!$W$11:W$50)</f>
        <v>0</v>
      </c>
      <c r="O26" s="32"/>
      <c r="P26" s="164" t="s">
        <v>67</v>
      </c>
      <c r="Q26" s="30"/>
      <c r="R26" s="253">
        <f>$N$28</f>
        <v>0</v>
      </c>
    </row>
    <row r="27" spans="2:19" ht="11.45" customHeight="1" x14ac:dyDescent="0.2">
      <c r="B27" s="164" t="s">
        <v>173</v>
      </c>
      <c r="C27" s="30"/>
      <c r="D27" s="30"/>
      <c r="E27" s="245">
        <f>COUNTIF('Rent Roll'!$I$11:I$50,'Rent Roll Analysis'!$B27)</f>
        <v>0</v>
      </c>
      <c r="F27" s="245">
        <f>SUMIF('Rent Roll'!$I$11:I$50,'Rent Roll Analysis'!$B27,'Rent Roll'!$J$11:J$50)</f>
        <v>0</v>
      </c>
      <c r="G27" s="245">
        <f t="shared" si="0"/>
        <v>0</v>
      </c>
      <c r="H27" s="308">
        <f>SUMIF('Rent Roll'!$I$11:I$50,'Rent Roll Analysis'!$B27,'Rent Roll'!$O$11:O$50)</f>
        <v>0</v>
      </c>
      <c r="I27" s="308"/>
      <c r="J27" s="308">
        <f>SUMIF('Rent Roll'!$I$11:I$50,'Rent Roll Analysis'!$B27,'Rent Roll'!$R$11:R$50)</f>
        <v>0</v>
      </c>
      <c r="K27" s="308"/>
      <c r="L27" s="308">
        <f>SUMIF('Rent Roll'!$I$11:I$50,'Rent Roll Analysis'!$B27,'Rent Roll'!$V$11:V$50)</f>
        <v>0</v>
      </c>
      <c r="M27" s="308"/>
      <c r="N27" s="165">
        <f>SUMIF('Rent Roll'!$I$11:I$50,'Rent Roll Analysis'!$B27,'Rent Roll'!$W$11:W$50)</f>
        <v>0</v>
      </c>
      <c r="O27" s="32"/>
      <c r="P27" s="164"/>
      <c r="Q27" s="30"/>
      <c r="R27" s="253"/>
    </row>
    <row r="28" spans="2:19" ht="11.45" customHeight="1" x14ac:dyDescent="0.2">
      <c r="B28" s="170" t="s">
        <v>45</v>
      </c>
      <c r="C28" s="171"/>
      <c r="D28" s="30"/>
      <c r="E28" s="246">
        <f t="shared" ref="E28:H28" si="1">SUM(E22:E27)</f>
        <v>0</v>
      </c>
      <c r="F28" s="246">
        <f t="shared" si="1"/>
        <v>0</v>
      </c>
      <c r="G28" s="246">
        <f t="shared" si="1"/>
        <v>0</v>
      </c>
      <c r="H28" s="370">
        <f t="shared" si="1"/>
        <v>0</v>
      </c>
      <c r="I28" s="370"/>
      <c r="J28" s="370">
        <f>SUM(J22:J27)</f>
        <v>0</v>
      </c>
      <c r="K28" s="370"/>
      <c r="L28" s="370">
        <f>SUM(L22:L27)</f>
        <v>0</v>
      </c>
      <c r="M28" s="370"/>
      <c r="N28" s="166">
        <f>SUM(N22:N27)</f>
        <v>0</v>
      </c>
      <c r="O28" s="167"/>
      <c r="P28" s="248" t="s">
        <v>301</v>
      </c>
      <c r="Q28" s="250"/>
      <c r="R28" s="254">
        <f>SUM($R$22:$R$27)</f>
        <v>0</v>
      </c>
    </row>
    <row r="29" spans="2:19" ht="9.6" hidden="1" customHeight="1" x14ac:dyDescent="0.2">
      <c r="B29" s="15"/>
      <c r="C29" s="15"/>
      <c r="D29" s="15"/>
      <c r="E29" s="15"/>
      <c r="F29" s="15"/>
      <c r="G29" s="15"/>
      <c r="H29" s="28">
        <f>H22-J22</f>
        <v>0</v>
      </c>
      <c r="I29" s="29"/>
      <c r="J29" s="29"/>
      <c r="K29" s="29"/>
      <c r="L29" s="29"/>
      <c r="M29" s="29"/>
      <c r="N29" s="29"/>
      <c r="O29" s="29"/>
      <c r="P29" s="29"/>
      <c r="Q29" s="29"/>
      <c r="R29" s="15"/>
    </row>
    <row r="30" spans="2:19" ht="11.45" customHeight="1" x14ac:dyDescent="0.2">
      <c r="B30" s="188"/>
      <c r="C30" s="188"/>
      <c r="D30" s="188"/>
      <c r="E30" s="188"/>
      <c r="F30" s="17"/>
      <c r="G30" s="15"/>
      <c r="H30" s="15"/>
      <c r="I30" s="15"/>
    </row>
    <row r="31" spans="2:19" ht="11.45" customHeight="1" x14ac:dyDescent="0.2">
      <c r="B31" s="162" t="s">
        <v>28</v>
      </c>
      <c r="C31" s="163" t="s">
        <v>297</v>
      </c>
      <c r="D31" s="163" t="s">
        <v>302</v>
      </c>
      <c r="E31" s="163" t="s">
        <v>167</v>
      </c>
      <c r="F31" s="163" t="s">
        <v>340</v>
      </c>
      <c r="G31" s="163" t="s">
        <v>338</v>
      </c>
      <c r="H31" s="163" t="s">
        <v>173</v>
      </c>
      <c r="I31" s="163" t="s">
        <v>162</v>
      </c>
      <c r="J31" s="163" t="s">
        <v>163</v>
      </c>
      <c r="K31" s="163" t="s">
        <v>175</v>
      </c>
      <c r="L31" s="244" t="s">
        <v>176</v>
      </c>
      <c r="M31" s="244" t="s">
        <v>177</v>
      </c>
      <c r="N31" s="244" t="s">
        <v>38</v>
      </c>
      <c r="O31" s="244"/>
      <c r="P31" s="244" t="s">
        <v>176</v>
      </c>
      <c r="Q31" s="163" t="s">
        <v>177</v>
      </c>
      <c r="R31" s="251" t="s">
        <v>210</v>
      </c>
    </row>
    <row r="32" spans="2:19" ht="11.45" customHeight="1" x14ac:dyDescent="0.2">
      <c r="B32" s="168"/>
      <c r="C32" s="169"/>
      <c r="D32" s="169"/>
      <c r="E32" s="245">
        <f>IF($B$31="Unit Type",SUM(COUNTIFS('Rent Roll'!$D$11:D$50,'Rent Roll Analysis'!B32,'Rent Roll'!$I$11:I$50,'Rent Roll Analysis'!$B$22),COUNTIFS('Rent Roll'!$D$11:D$50,'Rent Roll Analysis'!B32,'Rent Roll'!$I$11:I$50,'Rent Roll Analysis'!$B$23),COUNTIFS('Rent Roll'!$D$11:D$50,'Rent Roll Analysis'!B32,'Rent Roll'!$I$11:I$50,'Rent Roll Analysis'!$B$25)),SUM(COUNTIFS('Rent Roll'!$G$11:G$50,'Rent Roll Analysis'!B32,'Rent Roll'!$I$11:I$50,'Rent Roll Analysis'!$B$22),COUNTIFS('Rent Roll'!$G$11:G$50,'Rent Roll Analysis'!B32,'Rent Roll'!$I$11:I$50,'Rent Roll Analysis'!$B$23),COUNTIFS('Rent Roll'!$G$11:G$50,'Rent Roll Analysis'!B32,'Rent Roll'!$I$11:I$50,'Rent Roll Analysis'!$B$25)))</f>
        <v>0</v>
      </c>
      <c r="F32" s="245">
        <f>IF($B$31="Unit Type",COUNTIFS('Rent Roll'!$D$11:D$280,'Rent Roll Analysis'!B32,'Rent Roll'!$I$11:I$280,'Rent Roll Analysis'!$B$24),COUNTIFS('Rent Roll'!$G$11:G$280,'Rent Roll Analysis'!B32,'Rent Roll'!$I$11:I$280,'Rent Roll Analysis'!$B$24))</f>
        <v>0</v>
      </c>
      <c r="G32" s="245">
        <f>IF($B$31="Unit Type",COUNTIFS('Rent Roll'!$D$11:D$280,'Rent Roll Analysis'!B32,'Rent Roll'!$I$11:I$280,'Rent Roll Analysis'!$B$26),COUNTIFS('Rent Roll'!$G$11:G$280,'Rent Roll Analysis'!B32,'Rent Roll'!$I$11:I$280,'Rent Roll Analysis'!$B$26))</f>
        <v>0</v>
      </c>
      <c r="H32" s="245">
        <f>IF($B$31="Unit Type",COUNTIFS('Rent Roll'!$D$11:D$50,'Rent Roll Analysis'!$B32,'Rent Roll'!$I$11:I$50,'Rent Roll Analysis'!$B$27),COUNTIFS('Rent Roll'!$G$11:G$50,'Rent Roll Analysis'!$B32,'Rent Roll'!$I$11:I$50,'Rent Roll Analysis'!$B$27))</f>
        <v>0</v>
      </c>
      <c r="I32" s="245">
        <f t="shared" ref="I32:I44" si="2">SUM($E32:$H32)</f>
        <v>0</v>
      </c>
      <c r="J32" s="245">
        <f>IF($B$31="Unit Type",SUMIF('Rent Roll'!$D$11:D$50,'Rent Roll Analysis'!$B32,'Rent Roll'!$J$11:J$50),SUMIF('Rent Roll'!$G$11:G$50,'Rent Roll Analysis'!$B32,'Rent Roll'!$J$11:J$50))</f>
        <v>0</v>
      </c>
      <c r="K32" s="245">
        <f>IFERROR($J32/$I32,0)</f>
        <v>0</v>
      </c>
      <c r="L32" s="241">
        <f>IFERROR($N32/($I32*12),0)</f>
        <v>0</v>
      </c>
      <c r="M32" s="241">
        <f>IFERROR($N32/(12*$J32),0)</f>
        <v>0</v>
      </c>
      <c r="N32" s="205">
        <f>IF($B$31="Unit Type",SUMIF('Rent Roll'!$D$11:D$50,'Rent Roll Analysis'!$B32,'Rent Roll'!$P$11:P$50),SUMIF('Rent Roll'!$G$11:G$50,'Rent Roll Analysis'!$B32,'Rent Roll'!$P$11:P$50))</f>
        <v>0</v>
      </c>
      <c r="O32" s="241"/>
      <c r="P32" s="241">
        <f>IFERROR($R32/(12*$I32),0)</f>
        <v>0</v>
      </c>
      <c r="Q32" s="241">
        <f>IFERROR($R32/(12*$J32),0)</f>
        <v>0</v>
      </c>
      <c r="R32" s="206">
        <f>IF($B$31="Unit Type",SUMIF('Rent Roll'!$D$11:D$50,'Rent Roll Analysis'!$B32,'Rent Roll'!$R$11:R$50)*12,SUMIF('Rent Roll'!$G$11:G$50,'Rent Roll Analysis'!$B32,'Rent Roll'!$R$11:R$50)*12)</f>
        <v>0</v>
      </c>
    </row>
    <row r="33" spans="2:18" ht="11.45" customHeight="1" x14ac:dyDescent="0.2">
      <c r="B33" s="168"/>
      <c r="C33" s="169"/>
      <c r="D33" s="169"/>
      <c r="E33" s="245">
        <f>IF($B$31="Unit Type",SUM(COUNTIFS('Rent Roll'!$D$11:D$50,'Rent Roll Analysis'!B33,'Rent Roll'!$I$11:I$50,'Rent Roll Analysis'!$B$22),COUNTIFS('Rent Roll'!$D$11:D$50,'Rent Roll Analysis'!B33,'Rent Roll'!$I$11:I$50,'Rent Roll Analysis'!$B$23),COUNTIFS('Rent Roll'!$D$11:D$50,'Rent Roll Analysis'!B33,'Rent Roll'!$I$11:I$50,'Rent Roll Analysis'!$B$25)),SUM(COUNTIFS('Rent Roll'!$G$11:G$50,'Rent Roll Analysis'!B33,'Rent Roll'!$I$11:I$50,'Rent Roll Analysis'!$B$22),COUNTIFS('Rent Roll'!$G$11:G$50,'Rent Roll Analysis'!B33,'Rent Roll'!$I$11:I$50,'Rent Roll Analysis'!$B$23),COUNTIFS('Rent Roll'!$G$11:G$50,'Rent Roll Analysis'!B33,'Rent Roll'!$I$11:I$50,'Rent Roll Analysis'!$B$25)))</f>
        <v>0</v>
      </c>
      <c r="F33" s="245">
        <f>IF($B$31="Unit Type",COUNTIFS('Rent Roll'!$D$11:D$280,'Rent Roll Analysis'!B33,'Rent Roll'!$I$11:I$280,'Rent Roll Analysis'!$B$24),COUNTIFS('Rent Roll'!$G$11:G$280,'Rent Roll Analysis'!B33,'Rent Roll'!$I$11:I$280,'Rent Roll Analysis'!$B$24))</f>
        <v>0</v>
      </c>
      <c r="G33" s="245">
        <f>IF($B$31="Unit Type",COUNTIFS('Rent Roll'!$D$11:D$280,'Rent Roll Analysis'!B33,'Rent Roll'!$I$11:I$280,'Rent Roll Analysis'!$B$26),COUNTIFS('Rent Roll'!$G$11:G$280,'Rent Roll Analysis'!B33,'Rent Roll'!$I$11:I$280,'Rent Roll Analysis'!$B$26))</f>
        <v>0</v>
      </c>
      <c r="H33" s="245">
        <f>IF($B$31="Unit Type",COUNTIFS('Rent Roll'!$D$11:D$50,'Rent Roll Analysis'!$B33,'Rent Roll'!$I$11:I$50,'Rent Roll Analysis'!$B$27),COUNTIFS('Rent Roll'!$G$11:G$50,'Rent Roll Analysis'!$B33,'Rent Roll'!$I$11:I$50,'Rent Roll Analysis'!$B$27))</f>
        <v>0</v>
      </c>
      <c r="I33" s="245">
        <f t="shared" si="2"/>
        <v>0</v>
      </c>
      <c r="J33" s="245">
        <f>IF($B$31="Unit Type",SUMIF('Rent Roll'!$D$11:D$50,'Rent Roll Analysis'!$B33,'Rent Roll'!$J$11:J$50),SUMIF('Rent Roll'!$G$11:G$50,'Rent Roll Analysis'!$B33,'Rent Roll'!$J$11:J$50))</f>
        <v>0</v>
      </c>
      <c r="K33" s="245">
        <f t="shared" ref="K33:K44" si="3">IFERROR($J33/$I33,0)</f>
        <v>0</v>
      </c>
      <c r="L33" s="241">
        <f t="shared" ref="L33:L44" si="4">IFERROR($N33/($I33*12),0)</f>
        <v>0</v>
      </c>
      <c r="M33" s="241">
        <f t="shared" ref="M33:M44" si="5">IFERROR($N33/(12*$J33),0)</f>
        <v>0</v>
      </c>
      <c r="N33" s="205">
        <f>IF($B$31="Unit Type",SUMIF('Rent Roll'!$D$11:D$50,'Rent Roll Analysis'!$B33,'Rent Roll'!$P$11:P$50),SUMIF('Rent Roll'!$G$11:G$50,'Rent Roll Analysis'!$B33,'Rent Roll'!$P$11:P$50))</f>
        <v>0</v>
      </c>
      <c r="O33" s="241"/>
      <c r="P33" s="241">
        <f t="shared" ref="P33:P44" si="6">IFERROR($R33/(12*$I33),0)</f>
        <v>0</v>
      </c>
      <c r="Q33" s="241">
        <f t="shared" ref="Q33:Q44" si="7">IFERROR($R33/(12*$J33),0)</f>
        <v>0</v>
      </c>
      <c r="R33" s="206">
        <f>IF($B$31="Unit Type",SUMIF('Rent Roll'!$D$11:D$50,'Rent Roll Analysis'!$B33,'Rent Roll'!$R$11:R$50)*12,SUMIF('Rent Roll'!$G$11:G$50,'Rent Roll Analysis'!$B33,'Rent Roll'!$R$11:R$50)*12)</f>
        <v>0</v>
      </c>
    </row>
    <row r="34" spans="2:18" ht="11.45" customHeight="1" x14ac:dyDescent="0.2">
      <c r="B34" s="168"/>
      <c r="C34" s="169"/>
      <c r="D34" s="169"/>
      <c r="E34" s="245">
        <f>IF($B$31="Unit Type",SUM(COUNTIFS('Rent Roll'!$D$11:D$50,'Rent Roll Analysis'!B34,'Rent Roll'!$I$11:I$50,'Rent Roll Analysis'!$B$22),COUNTIFS('Rent Roll'!$D$11:D$50,'Rent Roll Analysis'!B34,'Rent Roll'!$I$11:I$50,'Rent Roll Analysis'!$B$23),COUNTIFS('Rent Roll'!$D$11:D$50,'Rent Roll Analysis'!B34,'Rent Roll'!$I$11:I$50,'Rent Roll Analysis'!$B$25)),SUM(COUNTIFS('Rent Roll'!$G$11:G$50,'Rent Roll Analysis'!B34,'Rent Roll'!$I$11:I$50,'Rent Roll Analysis'!$B$22),COUNTIFS('Rent Roll'!$G$11:G$50,'Rent Roll Analysis'!B34,'Rent Roll'!$I$11:I$50,'Rent Roll Analysis'!$B$23),COUNTIFS('Rent Roll'!$G$11:G$50,'Rent Roll Analysis'!B34,'Rent Roll'!$I$11:I$50,'Rent Roll Analysis'!$B$25)))</f>
        <v>0</v>
      </c>
      <c r="F34" s="245">
        <f>IF($B$31="Unit Type",COUNTIFS('Rent Roll'!$D$11:D$280,'Rent Roll Analysis'!B34,'Rent Roll'!$I$11:I$280,'Rent Roll Analysis'!$B$24),COUNTIFS('Rent Roll'!$G$11:G$280,'Rent Roll Analysis'!B34,'Rent Roll'!$I$11:I$280,'Rent Roll Analysis'!$B$24))</f>
        <v>0</v>
      </c>
      <c r="G34" s="245">
        <f>IF($B$31="Unit Type",COUNTIFS('Rent Roll'!$D$11:D$280,'Rent Roll Analysis'!B34,'Rent Roll'!$I$11:I$280,'Rent Roll Analysis'!$B$26),COUNTIFS('Rent Roll'!$G$11:G$280,'Rent Roll Analysis'!B34,'Rent Roll'!$I$11:I$280,'Rent Roll Analysis'!$B$26))</f>
        <v>0</v>
      </c>
      <c r="H34" s="245">
        <f>IF($B$31="Unit Type",COUNTIFS('Rent Roll'!$D$11:D$50,'Rent Roll Analysis'!$B34,'Rent Roll'!$I$11:I$50,'Rent Roll Analysis'!$B$27),COUNTIFS('Rent Roll'!$G$11:G$50,'Rent Roll Analysis'!$B34,'Rent Roll'!$I$11:I$50,'Rent Roll Analysis'!$B$27))</f>
        <v>0</v>
      </c>
      <c r="I34" s="245">
        <f t="shared" si="2"/>
        <v>0</v>
      </c>
      <c r="J34" s="245">
        <f>IF($B$31="Unit Type",SUMIF('Rent Roll'!$D$11:D$50,'Rent Roll Analysis'!$B34,'Rent Roll'!$J$11:J$50),SUMIF('Rent Roll'!$G$11:G$50,'Rent Roll Analysis'!$B34,'Rent Roll'!$J$11:J$50))</f>
        <v>0</v>
      </c>
      <c r="K34" s="245">
        <f t="shared" si="3"/>
        <v>0</v>
      </c>
      <c r="L34" s="241">
        <f t="shared" si="4"/>
        <v>0</v>
      </c>
      <c r="M34" s="241">
        <f t="shared" si="5"/>
        <v>0</v>
      </c>
      <c r="N34" s="205">
        <f>IF($B$31="Unit Type",SUMIF('Rent Roll'!$D$11:D$50,'Rent Roll Analysis'!$B34,'Rent Roll'!$P$11:P$50),SUMIF('Rent Roll'!$G$11:G$50,'Rent Roll Analysis'!$B34,'Rent Roll'!$P$11:P$50))</f>
        <v>0</v>
      </c>
      <c r="O34" s="241"/>
      <c r="P34" s="241">
        <f t="shared" si="6"/>
        <v>0</v>
      </c>
      <c r="Q34" s="241">
        <f t="shared" si="7"/>
        <v>0</v>
      </c>
      <c r="R34" s="206">
        <f>IF($B$31="Unit Type",SUMIF('Rent Roll'!$D$11:D$50,'Rent Roll Analysis'!$B34,'Rent Roll'!$R$11:R$50)*12,SUMIF('Rent Roll'!$G$11:G$50,'Rent Roll Analysis'!$B34,'Rent Roll'!$R$11:R$50)*12)</f>
        <v>0</v>
      </c>
    </row>
    <row r="35" spans="2:18" ht="11.45" customHeight="1" x14ac:dyDescent="0.2">
      <c r="B35" s="168"/>
      <c r="C35" s="169"/>
      <c r="D35" s="169"/>
      <c r="E35" s="245">
        <f>IF($B$31="Unit Type",SUM(COUNTIFS('Rent Roll'!$D$11:D$50,'Rent Roll Analysis'!B35,'Rent Roll'!$I$11:I$50,'Rent Roll Analysis'!$B$22),COUNTIFS('Rent Roll'!$D$11:D$50,'Rent Roll Analysis'!B35,'Rent Roll'!$I$11:I$50,'Rent Roll Analysis'!$B$23),COUNTIFS('Rent Roll'!$D$11:D$50,'Rent Roll Analysis'!B35,'Rent Roll'!$I$11:I$50,'Rent Roll Analysis'!$B$25)),SUM(COUNTIFS('Rent Roll'!$G$11:G$50,'Rent Roll Analysis'!B35,'Rent Roll'!$I$11:I$50,'Rent Roll Analysis'!$B$22),COUNTIFS('Rent Roll'!$G$11:G$50,'Rent Roll Analysis'!B35,'Rent Roll'!$I$11:I$50,'Rent Roll Analysis'!$B$23),COUNTIFS('Rent Roll'!$G$11:G$50,'Rent Roll Analysis'!B35,'Rent Roll'!$I$11:I$50,'Rent Roll Analysis'!$B$25)))</f>
        <v>0</v>
      </c>
      <c r="F35" s="245">
        <f>IF($B$31="Unit Type",COUNTIFS('Rent Roll'!$D$11:D$280,'Rent Roll Analysis'!B35,'Rent Roll'!$I$11:I$280,'Rent Roll Analysis'!$B$24),COUNTIFS('Rent Roll'!$G$11:G$280,'Rent Roll Analysis'!B35,'Rent Roll'!$I$11:I$280,'Rent Roll Analysis'!$B$24))</f>
        <v>0</v>
      </c>
      <c r="G35" s="245">
        <f>IF($B$31="Unit Type",COUNTIFS('Rent Roll'!$D$11:D$280,'Rent Roll Analysis'!B35,'Rent Roll'!$I$11:I$280,'Rent Roll Analysis'!$B$26),COUNTIFS('Rent Roll'!$G$11:G$280,'Rent Roll Analysis'!B35,'Rent Roll'!$I$11:I$280,'Rent Roll Analysis'!$B$26))</f>
        <v>0</v>
      </c>
      <c r="H35" s="245">
        <f>IF($B$31="Unit Type",COUNTIFS('Rent Roll'!$D$11:D$50,'Rent Roll Analysis'!$B35,'Rent Roll'!$I$11:I$50,'Rent Roll Analysis'!$B$27),COUNTIFS('Rent Roll'!$G$11:G$50,'Rent Roll Analysis'!$B35,'Rent Roll'!$I$11:I$50,'Rent Roll Analysis'!$B$27))</f>
        <v>0</v>
      </c>
      <c r="I35" s="245">
        <f t="shared" si="2"/>
        <v>0</v>
      </c>
      <c r="J35" s="245">
        <f>IF($B$31="Unit Type",SUMIF('Rent Roll'!$D$11:D$50,'Rent Roll Analysis'!$B35,'Rent Roll'!$J$11:J$50),SUMIF('Rent Roll'!$G$11:G$50,'Rent Roll Analysis'!$B35,'Rent Roll'!$J$11:J$50))</f>
        <v>0</v>
      </c>
      <c r="K35" s="245">
        <f t="shared" si="3"/>
        <v>0</v>
      </c>
      <c r="L35" s="241">
        <f t="shared" si="4"/>
        <v>0</v>
      </c>
      <c r="M35" s="241">
        <f t="shared" si="5"/>
        <v>0</v>
      </c>
      <c r="N35" s="205">
        <f>IF($B$31="Unit Type",SUMIF('Rent Roll'!$D$11:D$50,'Rent Roll Analysis'!$B35,'Rent Roll'!$P$11:P$50),SUMIF('Rent Roll'!$G$11:G$50,'Rent Roll Analysis'!$B35,'Rent Roll'!$P$11:P$50))</f>
        <v>0</v>
      </c>
      <c r="O35" s="241"/>
      <c r="P35" s="241">
        <f t="shared" si="6"/>
        <v>0</v>
      </c>
      <c r="Q35" s="241">
        <f t="shared" si="7"/>
        <v>0</v>
      </c>
      <c r="R35" s="206">
        <f>IF($B$31="Unit Type",SUMIF('Rent Roll'!$D$11:D$50,'Rent Roll Analysis'!$B35,'Rent Roll'!$R$11:R$50)*12,SUMIF('Rent Roll'!$G$11:G$50,'Rent Roll Analysis'!$B35,'Rent Roll'!$R$11:R$50)*12)</f>
        <v>0</v>
      </c>
    </row>
    <row r="36" spans="2:18" ht="11.45" customHeight="1" x14ac:dyDescent="0.2">
      <c r="B36" s="168"/>
      <c r="C36" s="169"/>
      <c r="D36" s="169"/>
      <c r="E36" s="245">
        <f>IF($B$31="Unit Type",SUM(COUNTIFS('Rent Roll'!$D$11:D$50,'Rent Roll Analysis'!B36,'Rent Roll'!$I$11:I$50,'Rent Roll Analysis'!$B$22),COUNTIFS('Rent Roll'!$D$11:D$50,'Rent Roll Analysis'!B36,'Rent Roll'!$I$11:I$50,'Rent Roll Analysis'!$B$23),COUNTIFS('Rent Roll'!$D$11:D$50,'Rent Roll Analysis'!B36,'Rent Roll'!$I$11:I$50,'Rent Roll Analysis'!$B$25)),SUM(COUNTIFS('Rent Roll'!$G$11:G$50,'Rent Roll Analysis'!B36,'Rent Roll'!$I$11:I$50,'Rent Roll Analysis'!$B$22),COUNTIFS('Rent Roll'!$G$11:G$50,'Rent Roll Analysis'!B36,'Rent Roll'!$I$11:I$50,'Rent Roll Analysis'!$B$23),COUNTIFS('Rent Roll'!$G$11:G$50,'Rent Roll Analysis'!B36,'Rent Roll'!$I$11:I$50,'Rent Roll Analysis'!$B$25)))</f>
        <v>0</v>
      </c>
      <c r="F36" s="245">
        <f>IF($B$31="Unit Type",COUNTIFS('Rent Roll'!$D$11:D$280,'Rent Roll Analysis'!B36,'Rent Roll'!$I$11:I$280,'Rent Roll Analysis'!$B$24),COUNTIFS('Rent Roll'!$G$11:G$280,'Rent Roll Analysis'!B36,'Rent Roll'!$I$11:I$280,'Rent Roll Analysis'!$B$24))</f>
        <v>0</v>
      </c>
      <c r="G36" s="245">
        <f>IF($B$31="Unit Type",COUNTIFS('Rent Roll'!$D$11:D$280,'Rent Roll Analysis'!B36,'Rent Roll'!$I$11:I$280,'Rent Roll Analysis'!$B$26),COUNTIFS('Rent Roll'!$G$11:G$280,'Rent Roll Analysis'!B36,'Rent Roll'!$I$11:I$280,'Rent Roll Analysis'!$B$26))</f>
        <v>0</v>
      </c>
      <c r="H36" s="245">
        <f>IF($B$31="Unit Type",COUNTIFS('Rent Roll'!$D$11:D$50,'Rent Roll Analysis'!$B36,'Rent Roll'!$I$11:I$50,'Rent Roll Analysis'!$B$27),COUNTIFS('Rent Roll'!$G$11:G$50,'Rent Roll Analysis'!$B36,'Rent Roll'!$I$11:I$50,'Rent Roll Analysis'!$B$27))</f>
        <v>0</v>
      </c>
      <c r="I36" s="245">
        <f t="shared" si="2"/>
        <v>0</v>
      </c>
      <c r="J36" s="245">
        <f>IF($B$31="Unit Type",SUMIF('Rent Roll'!$D$11:D$50,'Rent Roll Analysis'!$B36,'Rent Roll'!$J$11:J$50),SUMIF('Rent Roll'!$G$11:G$50,'Rent Roll Analysis'!$B36,'Rent Roll'!$J$11:J$50))</f>
        <v>0</v>
      </c>
      <c r="K36" s="245">
        <f t="shared" si="3"/>
        <v>0</v>
      </c>
      <c r="L36" s="241">
        <f t="shared" si="4"/>
        <v>0</v>
      </c>
      <c r="M36" s="241">
        <f t="shared" si="5"/>
        <v>0</v>
      </c>
      <c r="N36" s="205">
        <f>IF($B$31="Unit Type",SUMIF('Rent Roll'!$D$11:D$50,'Rent Roll Analysis'!$B36,'Rent Roll'!$P$11:P$50),SUMIF('Rent Roll'!$G$11:G$50,'Rent Roll Analysis'!$B36,'Rent Roll'!$P$11:P$50))</f>
        <v>0</v>
      </c>
      <c r="O36" s="241"/>
      <c r="P36" s="241">
        <f t="shared" si="6"/>
        <v>0</v>
      </c>
      <c r="Q36" s="241">
        <f t="shared" si="7"/>
        <v>0</v>
      </c>
      <c r="R36" s="206">
        <f>IF($B$31="Unit Type",SUMIF('Rent Roll'!$D$11:D$50,'Rent Roll Analysis'!$B36,'Rent Roll'!$R$11:R$50)*12,SUMIF('Rent Roll'!$G$11:G$50,'Rent Roll Analysis'!$B36,'Rent Roll'!$R$11:R$50)*12)</f>
        <v>0</v>
      </c>
    </row>
    <row r="37" spans="2:18" ht="11.45" customHeight="1" x14ac:dyDescent="0.2">
      <c r="B37" s="168"/>
      <c r="C37" s="169"/>
      <c r="D37" s="169"/>
      <c r="E37" s="245">
        <f>IF($B$31="Unit Type",SUM(COUNTIFS('Rent Roll'!$D$11:D$50,'Rent Roll Analysis'!B37,'Rent Roll'!$I$11:I$50,'Rent Roll Analysis'!$B$22),COUNTIFS('Rent Roll'!$D$11:D$50,'Rent Roll Analysis'!B37,'Rent Roll'!$I$11:I$50,'Rent Roll Analysis'!$B$23),COUNTIFS('Rent Roll'!$D$11:D$50,'Rent Roll Analysis'!B37,'Rent Roll'!$I$11:I$50,'Rent Roll Analysis'!$B$25)),SUM(COUNTIFS('Rent Roll'!$G$11:G$50,'Rent Roll Analysis'!B37,'Rent Roll'!$I$11:I$50,'Rent Roll Analysis'!$B$22),COUNTIFS('Rent Roll'!$G$11:G$50,'Rent Roll Analysis'!B37,'Rent Roll'!$I$11:I$50,'Rent Roll Analysis'!$B$23),COUNTIFS('Rent Roll'!$G$11:G$50,'Rent Roll Analysis'!B37,'Rent Roll'!$I$11:I$50,'Rent Roll Analysis'!$B$25)))</f>
        <v>0</v>
      </c>
      <c r="F37" s="245">
        <f>IF($B$31="Unit Type",COUNTIFS('Rent Roll'!$D$11:D$280,'Rent Roll Analysis'!B37,'Rent Roll'!$I$11:I$280,'Rent Roll Analysis'!$B$24),COUNTIFS('Rent Roll'!$G$11:G$280,'Rent Roll Analysis'!B37,'Rent Roll'!$I$11:I$280,'Rent Roll Analysis'!$B$24))</f>
        <v>0</v>
      </c>
      <c r="G37" s="245">
        <f>IF($B$31="Unit Type",COUNTIFS('Rent Roll'!$D$11:D$280,'Rent Roll Analysis'!B37,'Rent Roll'!$I$11:I$280,'Rent Roll Analysis'!$B$26),COUNTIFS('Rent Roll'!$G$11:G$280,'Rent Roll Analysis'!B37,'Rent Roll'!$I$11:I$280,'Rent Roll Analysis'!$B$26))</f>
        <v>0</v>
      </c>
      <c r="H37" s="245">
        <f>IF($B$31="Unit Type",COUNTIFS('Rent Roll'!$D$11:D$50,'Rent Roll Analysis'!$B37,'Rent Roll'!$I$11:I$50,'Rent Roll Analysis'!$B$27),COUNTIFS('Rent Roll'!$G$11:G$50,'Rent Roll Analysis'!$B37,'Rent Roll'!$I$11:I$50,'Rent Roll Analysis'!$B$27))</f>
        <v>0</v>
      </c>
      <c r="I37" s="245">
        <f t="shared" si="2"/>
        <v>0</v>
      </c>
      <c r="J37" s="245">
        <f>IF($B$31="Unit Type",SUMIF('Rent Roll'!$D$11:D$50,'Rent Roll Analysis'!$B37,'Rent Roll'!$J$11:J$50),SUMIF('Rent Roll'!$G$11:G$50,'Rent Roll Analysis'!$B37,'Rent Roll'!$J$11:J$50))</f>
        <v>0</v>
      </c>
      <c r="K37" s="245">
        <f t="shared" si="3"/>
        <v>0</v>
      </c>
      <c r="L37" s="241">
        <f t="shared" si="4"/>
        <v>0</v>
      </c>
      <c r="M37" s="241">
        <f t="shared" si="5"/>
        <v>0</v>
      </c>
      <c r="N37" s="205">
        <f>IF($B$31="Unit Type",SUMIF('Rent Roll'!$D$11:D$50,'Rent Roll Analysis'!$B37,'Rent Roll'!$P$11:P$50),SUMIF('Rent Roll'!$G$11:G$50,'Rent Roll Analysis'!$B37,'Rent Roll'!$P$11:P$50))</f>
        <v>0</v>
      </c>
      <c r="O37" s="241"/>
      <c r="P37" s="241">
        <f t="shared" si="6"/>
        <v>0</v>
      </c>
      <c r="Q37" s="241">
        <f t="shared" si="7"/>
        <v>0</v>
      </c>
      <c r="R37" s="206">
        <f>IF($B$31="Unit Type",SUMIF('Rent Roll'!$D$11:D$50,'Rent Roll Analysis'!$B37,'Rent Roll'!$R$11:R$50)*12,SUMIF('Rent Roll'!$G$11:G$50,'Rent Roll Analysis'!$B37,'Rent Roll'!$R$11:R$50)*12)</f>
        <v>0</v>
      </c>
    </row>
    <row r="38" spans="2:18" ht="11.45" customHeight="1" x14ac:dyDescent="0.2">
      <c r="B38" s="168"/>
      <c r="C38" s="169"/>
      <c r="D38" s="169"/>
      <c r="E38" s="245">
        <f>IF($B$31="Unit Type",SUM(COUNTIFS('Rent Roll'!$D$11:D$50,'Rent Roll Analysis'!B38,'Rent Roll'!$I$11:I$50,'Rent Roll Analysis'!$B$22),COUNTIFS('Rent Roll'!$D$11:D$50,'Rent Roll Analysis'!B38,'Rent Roll'!$I$11:I$50,'Rent Roll Analysis'!$B$23),COUNTIFS('Rent Roll'!$D$11:D$50,'Rent Roll Analysis'!B38,'Rent Roll'!$I$11:I$50,'Rent Roll Analysis'!$B$25)),SUM(COUNTIFS('Rent Roll'!$G$11:G$50,'Rent Roll Analysis'!B38,'Rent Roll'!$I$11:I$50,'Rent Roll Analysis'!$B$22),COUNTIFS('Rent Roll'!$G$11:G$50,'Rent Roll Analysis'!B38,'Rent Roll'!$I$11:I$50,'Rent Roll Analysis'!$B$23),COUNTIFS('Rent Roll'!$G$11:G$50,'Rent Roll Analysis'!B38,'Rent Roll'!$I$11:I$50,'Rent Roll Analysis'!$B$25)))</f>
        <v>0</v>
      </c>
      <c r="F38" s="245">
        <f>IF($B$31="Unit Type",COUNTIFS('Rent Roll'!$D$11:D$280,'Rent Roll Analysis'!B38,'Rent Roll'!$I$11:I$280,'Rent Roll Analysis'!$B$24),COUNTIFS('Rent Roll'!$G$11:G$280,'Rent Roll Analysis'!B38,'Rent Roll'!$I$11:I$280,'Rent Roll Analysis'!$B$24))</f>
        <v>0</v>
      </c>
      <c r="G38" s="245">
        <f>IF($B$31="Unit Type",COUNTIFS('Rent Roll'!$D$11:D$280,'Rent Roll Analysis'!B38,'Rent Roll'!$I$11:I$280,'Rent Roll Analysis'!$B$26),COUNTIFS('Rent Roll'!$G$11:G$280,'Rent Roll Analysis'!B38,'Rent Roll'!$I$11:I$280,'Rent Roll Analysis'!$B$26))</f>
        <v>0</v>
      </c>
      <c r="H38" s="245">
        <f>IF($B$31="Unit Type",COUNTIFS('Rent Roll'!$D$11:D$50,'Rent Roll Analysis'!$B38,'Rent Roll'!$I$11:I$50,'Rent Roll Analysis'!$B$27),COUNTIFS('Rent Roll'!$G$11:G$50,'Rent Roll Analysis'!$B38,'Rent Roll'!$I$11:I$50,'Rent Roll Analysis'!$B$27))</f>
        <v>0</v>
      </c>
      <c r="I38" s="245">
        <f t="shared" si="2"/>
        <v>0</v>
      </c>
      <c r="J38" s="245">
        <f>IF($B$31="Unit Type",SUMIF('Rent Roll'!$D$11:D$50,'Rent Roll Analysis'!$B38,'Rent Roll'!$J$11:J$50),SUMIF('Rent Roll'!$G$11:G$50,'Rent Roll Analysis'!$B38,'Rent Roll'!$J$11:J$50))</f>
        <v>0</v>
      </c>
      <c r="K38" s="245">
        <f t="shared" si="3"/>
        <v>0</v>
      </c>
      <c r="L38" s="241">
        <f t="shared" si="4"/>
        <v>0</v>
      </c>
      <c r="M38" s="241">
        <f t="shared" si="5"/>
        <v>0</v>
      </c>
      <c r="N38" s="205">
        <f>IF($B$31="Unit Type",SUMIF('Rent Roll'!$D$11:D$50,'Rent Roll Analysis'!$B38,'Rent Roll'!$P$11:P$50),SUMIF('Rent Roll'!$G$11:G$50,'Rent Roll Analysis'!$B38,'Rent Roll'!$P$11:P$50))</f>
        <v>0</v>
      </c>
      <c r="O38" s="241"/>
      <c r="P38" s="241">
        <f t="shared" si="6"/>
        <v>0</v>
      </c>
      <c r="Q38" s="241">
        <f t="shared" si="7"/>
        <v>0</v>
      </c>
      <c r="R38" s="206">
        <f>IF($B$31="Unit Type",SUMIF('Rent Roll'!$D$11:D$50,'Rent Roll Analysis'!$B38,'Rent Roll'!$R$11:R$50)*12,SUMIF('Rent Roll'!$G$11:G$50,'Rent Roll Analysis'!$B38,'Rent Roll'!$R$11:R$50)*12)</f>
        <v>0</v>
      </c>
    </row>
    <row r="39" spans="2:18" ht="11.45" customHeight="1" x14ac:dyDescent="0.2">
      <c r="B39" s="168"/>
      <c r="C39" s="169"/>
      <c r="D39" s="169"/>
      <c r="E39" s="245">
        <f>IF($B$31="Unit Type",SUM(COUNTIFS('Rent Roll'!$D$11:D$50,'Rent Roll Analysis'!B39,'Rent Roll'!$I$11:I$50,'Rent Roll Analysis'!$B$22),COUNTIFS('Rent Roll'!$D$11:D$50,'Rent Roll Analysis'!B39,'Rent Roll'!$I$11:I$50,'Rent Roll Analysis'!$B$23),COUNTIFS('Rent Roll'!$D$11:D$50,'Rent Roll Analysis'!B39,'Rent Roll'!$I$11:I$50,'Rent Roll Analysis'!$B$25)),SUM(COUNTIFS('Rent Roll'!$G$11:G$50,'Rent Roll Analysis'!B39,'Rent Roll'!$I$11:I$50,'Rent Roll Analysis'!$B$22),COUNTIFS('Rent Roll'!$G$11:G$50,'Rent Roll Analysis'!B39,'Rent Roll'!$I$11:I$50,'Rent Roll Analysis'!$B$23),COUNTIFS('Rent Roll'!$G$11:G$50,'Rent Roll Analysis'!B39,'Rent Roll'!$I$11:I$50,'Rent Roll Analysis'!$B$25)))</f>
        <v>0</v>
      </c>
      <c r="F39" s="245">
        <f>IF($B$31="Unit Type",COUNTIFS('Rent Roll'!$D$11:D$280,'Rent Roll Analysis'!B39,'Rent Roll'!$I$11:I$280,'Rent Roll Analysis'!$B$24),COUNTIFS('Rent Roll'!$G$11:G$280,'Rent Roll Analysis'!B39,'Rent Roll'!$I$11:I$280,'Rent Roll Analysis'!$B$24))</f>
        <v>0</v>
      </c>
      <c r="G39" s="245">
        <f>IF($B$31="Unit Type",COUNTIFS('Rent Roll'!$D$11:D$280,'Rent Roll Analysis'!B39,'Rent Roll'!$I$11:I$280,'Rent Roll Analysis'!$B$26),COUNTIFS('Rent Roll'!$G$11:G$280,'Rent Roll Analysis'!B39,'Rent Roll'!$I$11:I$280,'Rent Roll Analysis'!$B$26))</f>
        <v>0</v>
      </c>
      <c r="H39" s="245">
        <f>IF($B$31="Unit Type",COUNTIFS('Rent Roll'!$D$11:D$50,'Rent Roll Analysis'!$B39,'Rent Roll'!$I$11:I$50,'Rent Roll Analysis'!$B$27),COUNTIFS('Rent Roll'!$G$11:G$50,'Rent Roll Analysis'!$B39,'Rent Roll'!$I$11:I$50,'Rent Roll Analysis'!$B$27))</f>
        <v>0</v>
      </c>
      <c r="I39" s="245">
        <f t="shared" si="2"/>
        <v>0</v>
      </c>
      <c r="J39" s="245">
        <f>IF($B$31="Unit Type",SUMIF('Rent Roll'!$D$11:D$50,'Rent Roll Analysis'!$B39,'Rent Roll'!$J$11:J$50),SUMIF('Rent Roll'!$G$11:G$50,'Rent Roll Analysis'!$B39,'Rent Roll'!$J$11:J$50))</f>
        <v>0</v>
      </c>
      <c r="K39" s="245">
        <f t="shared" si="3"/>
        <v>0</v>
      </c>
      <c r="L39" s="241">
        <f t="shared" si="4"/>
        <v>0</v>
      </c>
      <c r="M39" s="241">
        <f t="shared" si="5"/>
        <v>0</v>
      </c>
      <c r="N39" s="205">
        <f>IF($B$31="Unit Type",SUMIF('Rent Roll'!$D$11:D$50,'Rent Roll Analysis'!$B39,'Rent Roll'!$P$11:P$50),SUMIF('Rent Roll'!$G$11:G$50,'Rent Roll Analysis'!$B39,'Rent Roll'!$P$11:P$50))</f>
        <v>0</v>
      </c>
      <c r="O39" s="241"/>
      <c r="P39" s="241">
        <f t="shared" si="6"/>
        <v>0</v>
      </c>
      <c r="Q39" s="241">
        <f t="shared" si="7"/>
        <v>0</v>
      </c>
      <c r="R39" s="206">
        <f>IF($B$31="Unit Type",SUMIF('Rent Roll'!$D$11:D$50,'Rent Roll Analysis'!$B39,'Rent Roll'!$R$11:R$50)*12,SUMIF('Rent Roll'!$G$11:G$50,'Rent Roll Analysis'!$B39,'Rent Roll'!$R$11:R$50)*12)</f>
        <v>0</v>
      </c>
    </row>
    <row r="40" spans="2:18" ht="11.45" customHeight="1" x14ac:dyDescent="0.2">
      <c r="B40" s="168"/>
      <c r="C40" s="169"/>
      <c r="D40" s="169"/>
      <c r="E40" s="245">
        <f>IF($B$31="Unit Type",SUM(COUNTIFS('Rent Roll'!$D$11:D$50,'Rent Roll Analysis'!B40,'Rent Roll'!$I$11:I$50,'Rent Roll Analysis'!$B$22),COUNTIFS('Rent Roll'!$D$11:D$50,'Rent Roll Analysis'!B40,'Rent Roll'!$I$11:I$50,'Rent Roll Analysis'!$B$23),COUNTIFS('Rent Roll'!$D$11:D$50,'Rent Roll Analysis'!B40,'Rent Roll'!$I$11:I$50,'Rent Roll Analysis'!$B$25)),SUM(COUNTIFS('Rent Roll'!$G$11:G$50,'Rent Roll Analysis'!B40,'Rent Roll'!$I$11:I$50,'Rent Roll Analysis'!$B$22),COUNTIFS('Rent Roll'!$G$11:G$50,'Rent Roll Analysis'!B40,'Rent Roll'!$I$11:I$50,'Rent Roll Analysis'!$B$23),COUNTIFS('Rent Roll'!$G$11:G$50,'Rent Roll Analysis'!B40,'Rent Roll'!$I$11:I$50,'Rent Roll Analysis'!$B$25)))</f>
        <v>0</v>
      </c>
      <c r="F40" s="245">
        <f>IF($B$31="Unit Type",COUNTIFS('Rent Roll'!$D$11:D$280,'Rent Roll Analysis'!B40,'Rent Roll'!$I$11:I$280,'Rent Roll Analysis'!$B$24),COUNTIFS('Rent Roll'!$G$11:G$280,'Rent Roll Analysis'!B40,'Rent Roll'!$I$11:I$280,'Rent Roll Analysis'!$B$24))</f>
        <v>0</v>
      </c>
      <c r="G40" s="245">
        <f>IF($B$31="Unit Type",COUNTIFS('Rent Roll'!$D$11:D$280,'Rent Roll Analysis'!B40,'Rent Roll'!$I$11:I$280,'Rent Roll Analysis'!$B$26),COUNTIFS('Rent Roll'!$G$11:G$280,'Rent Roll Analysis'!B40,'Rent Roll'!$I$11:I$280,'Rent Roll Analysis'!$B$26))</f>
        <v>0</v>
      </c>
      <c r="H40" s="245">
        <f>IF($B$31="Unit Type",COUNTIFS('Rent Roll'!$D$11:D$50,'Rent Roll Analysis'!$B40,'Rent Roll'!$I$11:I$50,'Rent Roll Analysis'!$B$27),COUNTIFS('Rent Roll'!$G$11:G$50,'Rent Roll Analysis'!$B40,'Rent Roll'!$I$11:I$50,'Rent Roll Analysis'!$B$27))</f>
        <v>0</v>
      </c>
      <c r="I40" s="245">
        <f t="shared" si="2"/>
        <v>0</v>
      </c>
      <c r="J40" s="245">
        <f>IF($B$31="Unit Type",SUMIF('Rent Roll'!$D$11:D$50,'Rent Roll Analysis'!$B40,'Rent Roll'!$J$11:J$50),SUMIF('Rent Roll'!$G$11:G$50,'Rent Roll Analysis'!$B40,'Rent Roll'!$J$11:J$50))</f>
        <v>0</v>
      </c>
      <c r="K40" s="245">
        <f t="shared" si="3"/>
        <v>0</v>
      </c>
      <c r="L40" s="241">
        <f t="shared" si="4"/>
        <v>0</v>
      </c>
      <c r="M40" s="241">
        <f t="shared" si="5"/>
        <v>0</v>
      </c>
      <c r="N40" s="205">
        <f>IF($B$31="Unit Type",SUMIF('Rent Roll'!$D$11:D$50,'Rent Roll Analysis'!$B40,'Rent Roll'!$P$11:P$50),SUMIF('Rent Roll'!$G$11:G$50,'Rent Roll Analysis'!$B40,'Rent Roll'!$P$11:P$50))</f>
        <v>0</v>
      </c>
      <c r="O40" s="241"/>
      <c r="P40" s="241">
        <f t="shared" si="6"/>
        <v>0</v>
      </c>
      <c r="Q40" s="241">
        <f t="shared" si="7"/>
        <v>0</v>
      </c>
      <c r="R40" s="206">
        <f>IF($B$31="Unit Type",SUMIF('Rent Roll'!$D$11:D$50,'Rent Roll Analysis'!$B40,'Rent Roll'!$R$11:R$50)*12,SUMIF('Rent Roll'!$G$11:G$50,'Rent Roll Analysis'!$B40,'Rent Roll'!$R$11:R$50)*12)</f>
        <v>0</v>
      </c>
    </row>
    <row r="41" spans="2:18" ht="11.45" customHeight="1" x14ac:dyDescent="0.2">
      <c r="B41" s="168"/>
      <c r="C41" s="169"/>
      <c r="D41" s="169"/>
      <c r="E41" s="245">
        <f>IF($B$31="Unit Type",SUM(COUNTIFS('Rent Roll'!$D$11:D$50,'Rent Roll Analysis'!B41,'Rent Roll'!$I$11:I$50,'Rent Roll Analysis'!$B$22),COUNTIFS('Rent Roll'!$D$11:D$50,'Rent Roll Analysis'!B41,'Rent Roll'!$I$11:I$50,'Rent Roll Analysis'!$B$23),COUNTIFS('Rent Roll'!$D$11:D$50,'Rent Roll Analysis'!B41,'Rent Roll'!$I$11:I$50,'Rent Roll Analysis'!$B$25)),SUM(COUNTIFS('Rent Roll'!$G$11:G$50,'Rent Roll Analysis'!B41,'Rent Roll'!$I$11:I$50,'Rent Roll Analysis'!$B$22),COUNTIFS('Rent Roll'!$G$11:G$50,'Rent Roll Analysis'!B41,'Rent Roll'!$I$11:I$50,'Rent Roll Analysis'!$B$23),COUNTIFS('Rent Roll'!$G$11:G$50,'Rent Roll Analysis'!B41,'Rent Roll'!$I$11:I$50,'Rent Roll Analysis'!$B$25)))</f>
        <v>0</v>
      </c>
      <c r="F41" s="245">
        <f>IF($B$31="Unit Type",COUNTIFS('Rent Roll'!$D$11:D$280,'Rent Roll Analysis'!B41,'Rent Roll'!$I$11:I$280,'Rent Roll Analysis'!$B$24),COUNTIFS('Rent Roll'!$G$11:G$280,'Rent Roll Analysis'!B41,'Rent Roll'!$I$11:I$280,'Rent Roll Analysis'!$B$24))</f>
        <v>0</v>
      </c>
      <c r="G41" s="245">
        <f>IF($B$31="Unit Type",COUNTIFS('Rent Roll'!$D$11:D$280,'Rent Roll Analysis'!B41,'Rent Roll'!$I$11:I$280,'Rent Roll Analysis'!$B$26),COUNTIFS('Rent Roll'!$G$11:G$280,'Rent Roll Analysis'!B41,'Rent Roll'!$I$11:I$280,'Rent Roll Analysis'!$B$26))</f>
        <v>0</v>
      </c>
      <c r="H41" s="245">
        <f>IF($B$31="Unit Type",COUNTIFS('Rent Roll'!$D$11:D$50,'Rent Roll Analysis'!$B41,'Rent Roll'!$I$11:I$50,'Rent Roll Analysis'!$B$27),COUNTIFS('Rent Roll'!$G$11:G$50,'Rent Roll Analysis'!$B41,'Rent Roll'!$I$11:I$50,'Rent Roll Analysis'!$B$27))</f>
        <v>0</v>
      </c>
      <c r="I41" s="245">
        <f t="shared" si="2"/>
        <v>0</v>
      </c>
      <c r="J41" s="245">
        <f>IF($B$31="Unit Type",SUMIF('Rent Roll'!$D$11:D$50,'Rent Roll Analysis'!$B41,'Rent Roll'!$J$11:J$50),SUMIF('Rent Roll'!$G$11:G$50,'Rent Roll Analysis'!$B41,'Rent Roll'!$J$11:J$50))</f>
        <v>0</v>
      </c>
      <c r="K41" s="245">
        <f t="shared" si="3"/>
        <v>0</v>
      </c>
      <c r="L41" s="241">
        <f t="shared" si="4"/>
        <v>0</v>
      </c>
      <c r="M41" s="241">
        <f t="shared" si="5"/>
        <v>0</v>
      </c>
      <c r="N41" s="205">
        <f>IF($B$31="Unit Type",SUMIF('Rent Roll'!$D$11:D$50,'Rent Roll Analysis'!$B41,'Rent Roll'!$P$11:P$50),SUMIF('Rent Roll'!$G$11:G$50,'Rent Roll Analysis'!$B41,'Rent Roll'!$P$11:P$50))</f>
        <v>0</v>
      </c>
      <c r="O41" s="241"/>
      <c r="P41" s="241">
        <f t="shared" si="6"/>
        <v>0</v>
      </c>
      <c r="Q41" s="241">
        <f t="shared" si="7"/>
        <v>0</v>
      </c>
      <c r="R41" s="206">
        <f>IF($B$31="Unit Type",SUMIF('Rent Roll'!$D$11:D$50,'Rent Roll Analysis'!$B41,'Rent Roll'!$R$11:R$50)*12,SUMIF('Rent Roll'!$G$11:G$50,'Rent Roll Analysis'!$B41,'Rent Roll'!$R$11:R$50)*12)</f>
        <v>0</v>
      </c>
    </row>
    <row r="42" spans="2:18" ht="11.45" customHeight="1" x14ac:dyDescent="0.2">
      <c r="B42" s="168"/>
      <c r="C42" s="169"/>
      <c r="D42" s="169"/>
      <c r="E42" s="245">
        <f>IF($B$31="Unit Type",SUM(COUNTIFS('Rent Roll'!$D$11:D$50,'Rent Roll Analysis'!B42,'Rent Roll'!$I$11:I$50,'Rent Roll Analysis'!$B$22),COUNTIFS('Rent Roll'!$D$11:D$50,'Rent Roll Analysis'!B42,'Rent Roll'!$I$11:I$50,'Rent Roll Analysis'!$B$23),COUNTIFS('Rent Roll'!$D$11:D$50,'Rent Roll Analysis'!B42,'Rent Roll'!$I$11:I$50,'Rent Roll Analysis'!$B$25)),SUM(COUNTIFS('Rent Roll'!$G$11:G$50,'Rent Roll Analysis'!B42,'Rent Roll'!$I$11:I$50,'Rent Roll Analysis'!$B$22),COUNTIFS('Rent Roll'!$G$11:G$50,'Rent Roll Analysis'!B42,'Rent Roll'!$I$11:I$50,'Rent Roll Analysis'!$B$23),COUNTIFS('Rent Roll'!$G$11:G$50,'Rent Roll Analysis'!B42,'Rent Roll'!$I$11:I$50,'Rent Roll Analysis'!$B$25)))</f>
        <v>0</v>
      </c>
      <c r="F42" s="245">
        <f>IF($B$31="Unit Type",COUNTIFS('Rent Roll'!$D$11:D$280,'Rent Roll Analysis'!B42,'Rent Roll'!$I$11:I$280,'Rent Roll Analysis'!$B$24),COUNTIFS('Rent Roll'!$G$11:G$280,'Rent Roll Analysis'!B42,'Rent Roll'!$I$11:I$280,'Rent Roll Analysis'!$B$24))</f>
        <v>0</v>
      </c>
      <c r="G42" s="245">
        <f>IF($B$31="Unit Type",COUNTIFS('Rent Roll'!$D$11:D$280,'Rent Roll Analysis'!B42,'Rent Roll'!$I$11:I$280,'Rent Roll Analysis'!$B$26),COUNTIFS('Rent Roll'!$G$11:G$280,'Rent Roll Analysis'!B42,'Rent Roll'!$I$11:I$280,'Rent Roll Analysis'!$B$26))</f>
        <v>0</v>
      </c>
      <c r="H42" s="245">
        <f>IF($B$31="Unit Type",COUNTIFS('Rent Roll'!$D$11:D$50,'Rent Roll Analysis'!$B42,'Rent Roll'!$I$11:I$50,'Rent Roll Analysis'!$B$27),COUNTIFS('Rent Roll'!$G$11:G$50,'Rent Roll Analysis'!$B42,'Rent Roll'!$I$11:I$50,'Rent Roll Analysis'!$B$27))</f>
        <v>0</v>
      </c>
      <c r="I42" s="245">
        <f t="shared" si="2"/>
        <v>0</v>
      </c>
      <c r="J42" s="245">
        <f>IF($B$31="Unit Type",SUMIF('Rent Roll'!$D$11:D$50,'Rent Roll Analysis'!$B42,'Rent Roll'!$J$11:J$50),SUMIF('Rent Roll'!$G$11:G$50,'Rent Roll Analysis'!$B42,'Rent Roll'!$J$11:J$50))</f>
        <v>0</v>
      </c>
      <c r="K42" s="245">
        <f t="shared" si="3"/>
        <v>0</v>
      </c>
      <c r="L42" s="241">
        <f t="shared" si="4"/>
        <v>0</v>
      </c>
      <c r="M42" s="241">
        <f t="shared" si="5"/>
        <v>0</v>
      </c>
      <c r="N42" s="205">
        <f>IF($B$31="Unit Type",SUMIF('Rent Roll'!$D$11:D$50,'Rent Roll Analysis'!$B42,'Rent Roll'!$P$11:P$50),SUMIF('Rent Roll'!$G$11:G$50,'Rent Roll Analysis'!$B42,'Rent Roll'!$P$11:P$50))</f>
        <v>0</v>
      </c>
      <c r="O42" s="241"/>
      <c r="P42" s="241">
        <f t="shared" si="6"/>
        <v>0</v>
      </c>
      <c r="Q42" s="241">
        <f t="shared" si="7"/>
        <v>0</v>
      </c>
      <c r="R42" s="206">
        <f>IF($B$31="Unit Type",SUMIF('Rent Roll'!$D$11:D$50,'Rent Roll Analysis'!$B42,'Rent Roll'!$R$11:R$50)*12,SUMIF('Rent Roll'!$G$11:G$50,'Rent Roll Analysis'!$B42,'Rent Roll'!$R$11:R$50)*12)</f>
        <v>0</v>
      </c>
    </row>
    <row r="43" spans="2:18" ht="11.45" customHeight="1" x14ac:dyDescent="0.2">
      <c r="B43" s="168"/>
      <c r="C43" s="169"/>
      <c r="D43" s="169"/>
      <c r="E43" s="245">
        <f>IF($B$31="Unit Type",SUM(COUNTIFS('Rent Roll'!$D$11:D$50,'Rent Roll Analysis'!B43,'Rent Roll'!$I$11:I$50,'Rent Roll Analysis'!$B$22),COUNTIFS('Rent Roll'!$D$11:D$50,'Rent Roll Analysis'!B43,'Rent Roll'!$I$11:I$50,'Rent Roll Analysis'!$B$23),COUNTIFS('Rent Roll'!$D$11:D$50,'Rent Roll Analysis'!B43,'Rent Roll'!$I$11:I$50,'Rent Roll Analysis'!$B$25)),SUM(COUNTIFS('Rent Roll'!$G$11:G$50,'Rent Roll Analysis'!B43,'Rent Roll'!$I$11:I$50,'Rent Roll Analysis'!$B$22),COUNTIFS('Rent Roll'!$G$11:G$50,'Rent Roll Analysis'!B43,'Rent Roll'!$I$11:I$50,'Rent Roll Analysis'!$B$23),COUNTIFS('Rent Roll'!$G$11:G$50,'Rent Roll Analysis'!B43,'Rent Roll'!$I$11:I$50,'Rent Roll Analysis'!$B$25)))</f>
        <v>0</v>
      </c>
      <c r="F43" s="245">
        <f>IF($B$31="Unit Type",COUNTIFS('Rent Roll'!$D$11:D$280,'Rent Roll Analysis'!B43,'Rent Roll'!$I$11:I$280,'Rent Roll Analysis'!$B$24),COUNTIFS('Rent Roll'!$G$11:G$280,'Rent Roll Analysis'!B43,'Rent Roll'!$I$11:I$280,'Rent Roll Analysis'!$B$24))</f>
        <v>0</v>
      </c>
      <c r="G43" s="245">
        <f>IF($B$31="Unit Type",COUNTIFS('Rent Roll'!$D$11:D$280,'Rent Roll Analysis'!B43,'Rent Roll'!$I$11:I$280,'Rent Roll Analysis'!$B$26),COUNTIFS('Rent Roll'!$G$11:G$280,'Rent Roll Analysis'!B43,'Rent Roll'!$I$11:I$280,'Rent Roll Analysis'!$B$26))</f>
        <v>0</v>
      </c>
      <c r="H43" s="245">
        <f>IF($B$31="Unit Type",COUNTIFS('Rent Roll'!$D$11:D$50,'Rent Roll Analysis'!$B43,'Rent Roll'!$I$11:I$50,'Rent Roll Analysis'!$B$27),COUNTIFS('Rent Roll'!$G$11:G$50,'Rent Roll Analysis'!$B43,'Rent Roll'!$I$11:I$50,'Rent Roll Analysis'!$B$27))</f>
        <v>0</v>
      </c>
      <c r="I43" s="245">
        <f t="shared" si="2"/>
        <v>0</v>
      </c>
      <c r="J43" s="245">
        <f>IF($B$31="Unit Type",SUMIF('Rent Roll'!$D$11:D$50,'Rent Roll Analysis'!$B43,'Rent Roll'!$J$11:J$50),SUMIF('Rent Roll'!$G$11:G$50,'Rent Roll Analysis'!$B43,'Rent Roll'!$J$11:J$50))</f>
        <v>0</v>
      </c>
      <c r="K43" s="245">
        <f t="shared" si="3"/>
        <v>0</v>
      </c>
      <c r="L43" s="241">
        <f t="shared" si="4"/>
        <v>0</v>
      </c>
      <c r="M43" s="241">
        <f t="shared" si="5"/>
        <v>0</v>
      </c>
      <c r="N43" s="205">
        <f>IF($B$31="Unit Type",SUMIF('Rent Roll'!$D$11:D$50,'Rent Roll Analysis'!$B43,'Rent Roll'!$P$11:P$50),SUMIF('Rent Roll'!$G$11:G$50,'Rent Roll Analysis'!$B43,'Rent Roll'!$P$11:P$50))</f>
        <v>0</v>
      </c>
      <c r="O43" s="241"/>
      <c r="P43" s="241">
        <f t="shared" si="6"/>
        <v>0</v>
      </c>
      <c r="Q43" s="241">
        <f t="shared" si="7"/>
        <v>0</v>
      </c>
      <c r="R43" s="206">
        <f>IF($B$31="Unit Type",SUMIF('Rent Roll'!$D$11:D$50,'Rent Roll Analysis'!$B43,'Rent Roll'!$R$11:R$50)*12,SUMIF('Rent Roll'!$G$11:G$50,'Rent Roll Analysis'!$B43,'Rent Roll'!$R$11:R$50)*12)</f>
        <v>0</v>
      </c>
    </row>
    <row r="44" spans="2:18" ht="11.45" customHeight="1" x14ac:dyDescent="0.2">
      <c r="B44" s="168"/>
      <c r="C44" s="169"/>
      <c r="D44" s="169"/>
      <c r="E44" s="245">
        <f>IF($B$31="Unit Type",SUM(COUNTIFS('Rent Roll'!$D$11:D$50,'Rent Roll Analysis'!B44,'Rent Roll'!$I$11:I$50,'Rent Roll Analysis'!$B$22),COUNTIFS('Rent Roll'!$D$11:D$50,'Rent Roll Analysis'!B44,'Rent Roll'!$I$11:I$50,'Rent Roll Analysis'!$B$23),COUNTIFS('Rent Roll'!$D$11:D$50,'Rent Roll Analysis'!B44,'Rent Roll'!$I$11:I$50,'Rent Roll Analysis'!$B$25)),SUM(COUNTIFS('Rent Roll'!$G$11:G$50,'Rent Roll Analysis'!B44,'Rent Roll'!$I$11:I$50,'Rent Roll Analysis'!$B$22),COUNTIFS('Rent Roll'!$G$11:G$50,'Rent Roll Analysis'!B44,'Rent Roll'!$I$11:I$50,'Rent Roll Analysis'!$B$23),COUNTIFS('Rent Roll'!$G$11:G$50,'Rent Roll Analysis'!B44,'Rent Roll'!$I$11:I$50,'Rent Roll Analysis'!$B$25)))</f>
        <v>0</v>
      </c>
      <c r="F44" s="245">
        <f>IF($B$31="Unit Type",COUNTIFS('Rent Roll'!$D$11:D$280,'Rent Roll Analysis'!B44,'Rent Roll'!$I$11:I$280,'Rent Roll Analysis'!$B$24),COUNTIFS('Rent Roll'!$G$11:G$280,'Rent Roll Analysis'!B44,'Rent Roll'!$I$11:I$280,'Rent Roll Analysis'!$B$24))</f>
        <v>0</v>
      </c>
      <c r="G44" s="245">
        <f>IF($B$31="Unit Type",COUNTIFS('Rent Roll'!$D$11:D$280,'Rent Roll Analysis'!B44,'Rent Roll'!$I$11:I$280,'Rent Roll Analysis'!$B$26),COUNTIFS('Rent Roll'!$G$11:G$280,'Rent Roll Analysis'!B44,'Rent Roll'!$I$11:I$280,'Rent Roll Analysis'!$B$26))</f>
        <v>0</v>
      </c>
      <c r="H44" s="245">
        <f>IF($B$31="Unit Type",COUNTIFS('Rent Roll'!$D$11:D$50,'Rent Roll Analysis'!$B44,'Rent Roll'!$I$11:I$50,'Rent Roll Analysis'!$B$27),COUNTIFS('Rent Roll'!$G$11:G$50,'Rent Roll Analysis'!$B44,'Rent Roll'!$I$11:I$50,'Rent Roll Analysis'!$B$27))</f>
        <v>0</v>
      </c>
      <c r="I44" s="245">
        <f t="shared" si="2"/>
        <v>0</v>
      </c>
      <c r="J44" s="245">
        <f>IF($B$31="Unit Type",SUMIF('Rent Roll'!$D$11:D$50,'Rent Roll Analysis'!$B44,'Rent Roll'!$J$11:J$50),SUMIF('Rent Roll'!$G$11:G$50,'Rent Roll Analysis'!$B44,'Rent Roll'!$J$11:J$50))</f>
        <v>0</v>
      </c>
      <c r="K44" s="245">
        <f t="shared" si="3"/>
        <v>0</v>
      </c>
      <c r="L44" s="241">
        <f t="shared" si="4"/>
        <v>0</v>
      </c>
      <c r="M44" s="241">
        <f t="shared" si="5"/>
        <v>0</v>
      </c>
      <c r="N44" s="205">
        <f>IF($B$31="Unit Type",SUMIF('Rent Roll'!$D$11:D$50,'Rent Roll Analysis'!$B44,'Rent Roll'!$P$11:P$50),SUMIF('Rent Roll'!$G$11:G$50,'Rent Roll Analysis'!$B44,'Rent Roll'!$P$11:P$50))</f>
        <v>0</v>
      </c>
      <c r="O44" s="241"/>
      <c r="P44" s="241">
        <f t="shared" si="6"/>
        <v>0</v>
      </c>
      <c r="Q44" s="241">
        <f t="shared" si="7"/>
        <v>0</v>
      </c>
      <c r="R44" s="206">
        <f>IF($B$31="Unit Type",SUMIF('Rent Roll'!$D$11:D$50,'Rent Roll Analysis'!$B44,'Rent Roll'!$R$11:R$50)*12,SUMIF('Rent Roll'!$G$11:G$50,'Rent Roll Analysis'!$B44,'Rent Roll'!$R$11:R$50)*12)</f>
        <v>0</v>
      </c>
    </row>
    <row r="45" spans="2:18" ht="11.45" customHeight="1" x14ac:dyDescent="0.2">
      <c r="B45" s="170" t="s">
        <v>45</v>
      </c>
      <c r="C45" s="171"/>
      <c r="D45" s="171"/>
      <c r="E45" s="246">
        <f>SUM(E32:E44)</f>
        <v>0</v>
      </c>
      <c r="F45" s="246">
        <f t="shared" ref="F45:G45" si="8">SUM(F32:F44)</f>
        <v>0</v>
      </c>
      <c r="G45" s="246">
        <f t="shared" si="8"/>
        <v>0</v>
      </c>
      <c r="H45" s="246">
        <f>SUM(H32:H44)</f>
        <v>0</v>
      </c>
      <c r="I45" s="246">
        <f>SUM(I32:I44)</f>
        <v>0</v>
      </c>
      <c r="J45" s="246">
        <f>SUM(J32:J44)</f>
        <v>0</v>
      </c>
      <c r="K45" s="246">
        <f>IFERROR($J45/$I45,0)</f>
        <v>0</v>
      </c>
      <c r="L45" s="242">
        <f>IFERROR(N45/($I45*12),0)</f>
        <v>0</v>
      </c>
      <c r="M45" s="242">
        <f>IFERROR(N45/($J45*12),0)</f>
        <v>0</v>
      </c>
      <c r="N45" s="207">
        <f>SUM(N32:N44)</f>
        <v>0</v>
      </c>
      <c r="O45" s="242"/>
      <c r="P45" s="242">
        <f>IFERROR(R45/($I45*12),0)</f>
        <v>0</v>
      </c>
      <c r="Q45" s="242">
        <f>IFERROR(R45/($J45*12),0)</f>
        <v>0</v>
      </c>
      <c r="R45" s="208">
        <f>SUM(R32:R44)</f>
        <v>0</v>
      </c>
    </row>
    <row r="46" spans="2:18" ht="11.45" customHeight="1" x14ac:dyDescent="0.25">
      <c r="B46" s="243"/>
      <c r="C46" s="243"/>
      <c r="D46" s="243"/>
    </row>
    <row r="47" spans="2:18" ht="11.45" hidden="1" customHeight="1" x14ac:dyDescent="0.25">
      <c r="B47" s="243"/>
      <c r="C47" s="243"/>
      <c r="D47" s="243"/>
    </row>
    <row r="48" spans="2:18" ht="11.45" hidden="1" customHeight="1" x14ac:dyDescent="0.25">
      <c r="B48" s="243"/>
      <c r="C48" s="243"/>
      <c r="D48" s="243"/>
    </row>
    <row r="49" spans="2:4" ht="11.45" hidden="1" customHeight="1" x14ac:dyDescent="0.25">
      <c r="B49" s="243"/>
      <c r="C49" s="243"/>
      <c r="D49" s="243"/>
    </row>
    <row r="50" spans="2:4" ht="11.45" hidden="1" customHeight="1" x14ac:dyDescent="0.25">
      <c r="B50" s="243"/>
      <c r="C50" s="243"/>
      <c r="D50" s="243"/>
    </row>
    <row r="51" spans="2:4" ht="11.45" hidden="1" customHeight="1" x14ac:dyDescent="0.25">
      <c r="B51" s="243"/>
      <c r="C51" s="243"/>
      <c r="D51" s="243"/>
    </row>
    <row r="52" spans="2:4" ht="11.45" hidden="1" customHeight="1" x14ac:dyDescent="0.25">
      <c r="B52" s="243"/>
      <c r="C52" s="243"/>
      <c r="D52" s="243"/>
    </row>
    <row r="53" spans="2:4" ht="11.45" hidden="1" customHeight="1" x14ac:dyDescent="0.25">
      <c r="B53" s="243"/>
      <c r="C53" s="243"/>
      <c r="D53" s="243"/>
    </row>
    <row r="54" spans="2:4" ht="11.45" hidden="1" customHeight="1" x14ac:dyDescent="0.25">
      <c r="B54" s="243"/>
      <c r="C54" s="243"/>
      <c r="D54" s="243"/>
    </row>
    <row r="55" spans="2:4" ht="11.45" hidden="1" customHeight="1" x14ac:dyDescent="0.25">
      <c r="B55" s="243"/>
      <c r="C55" s="243"/>
      <c r="D55" s="243"/>
    </row>
    <row r="56" spans="2:4" ht="11.45" hidden="1" customHeight="1" x14ac:dyDescent="0.25">
      <c r="B56" s="243"/>
      <c r="C56" s="243"/>
      <c r="D56" s="243"/>
    </row>
    <row r="57" spans="2:4" ht="11.45" hidden="1" customHeight="1" x14ac:dyDescent="0.25">
      <c r="B57" s="243"/>
      <c r="C57" s="243"/>
      <c r="D57" s="243"/>
    </row>
    <row r="58" spans="2:4" ht="11.45" hidden="1" customHeight="1" x14ac:dyDescent="0.25">
      <c r="B58" s="243"/>
      <c r="C58" s="243"/>
      <c r="D58" s="243"/>
    </row>
    <row r="59" spans="2:4" ht="11.45" hidden="1" customHeight="1" x14ac:dyDescent="0.25">
      <c r="B59" s="243"/>
      <c r="C59" s="243"/>
      <c r="D59" s="243"/>
    </row>
    <row r="60" spans="2:4" ht="11.45" hidden="1" customHeight="1" x14ac:dyDescent="0.25">
      <c r="B60" s="243"/>
      <c r="C60" s="243"/>
      <c r="D60" s="243"/>
    </row>
    <row r="61" spans="2:4" ht="11.45" hidden="1" customHeight="1" x14ac:dyDescent="0.25">
      <c r="B61" s="243"/>
      <c r="C61" s="243"/>
      <c r="D61" s="243"/>
    </row>
    <row r="62" spans="2:4" ht="11.45" hidden="1" customHeight="1" x14ac:dyDescent="0.25">
      <c r="B62" s="243"/>
      <c r="C62" s="243"/>
      <c r="D62" s="243"/>
    </row>
    <row r="63" spans="2:4" ht="11.45" hidden="1" customHeight="1" x14ac:dyDescent="0.25">
      <c r="B63" s="243"/>
      <c r="C63" s="243"/>
      <c r="D63" s="243"/>
    </row>
    <row r="64" spans="2:4" ht="11.45" hidden="1" customHeight="1" x14ac:dyDescent="0.25">
      <c r="B64" s="243"/>
      <c r="C64" s="243"/>
      <c r="D64" s="243"/>
    </row>
    <row r="65" spans="2:4" ht="11.45" hidden="1" customHeight="1" x14ac:dyDescent="0.25">
      <c r="B65" s="243"/>
      <c r="C65" s="243"/>
      <c r="D65" s="243"/>
    </row>
    <row r="66" spans="2:4" ht="11.45" hidden="1" customHeight="1" x14ac:dyDescent="0.25">
      <c r="B66" s="243"/>
      <c r="C66" s="243"/>
      <c r="D66" s="243"/>
    </row>
    <row r="67" spans="2:4" ht="11.45" hidden="1" customHeight="1" x14ac:dyDescent="0.25">
      <c r="B67" s="243"/>
      <c r="C67" s="243"/>
      <c r="D67" s="243"/>
    </row>
    <row r="68" spans="2:4" ht="11.45" hidden="1" customHeight="1" x14ac:dyDescent="0.25">
      <c r="B68" s="243"/>
      <c r="C68" s="243"/>
      <c r="D68" s="243"/>
    </row>
    <row r="69" spans="2:4" ht="11.45" hidden="1" customHeight="1" x14ac:dyDescent="0.25">
      <c r="B69" s="243"/>
      <c r="C69" s="243"/>
      <c r="D69" s="243"/>
    </row>
    <row r="70" spans="2:4" ht="11.45" hidden="1" customHeight="1" x14ac:dyDescent="0.25">
      <c r="B70" s="243"/>
      <c r="C70" s="243"/>
      <c r="D70" s="243"/>
    </row>
    <row r="71" spans="2:4" ht="11.45" hidden="1" customHeight="1" x14ac:dyDescent="0.25">
      <c r="B71" s="243"/>
      <c r="C71" s="243"/>
      <c r="D71" s="243"/>
    </row>
    <row r="72" spans="2:4" ht="11.45" hidden="1" customHeight="1" x14ac:dyDescent="0.25">
      <c r="B72" s="243"/>
      <c r="C72" s="243"/>
      <c r="D72" s="243"/>
    </row>
    <row r="73" spans="2:4" ht="11.45" hidden="1" customHeight="1" x14ac:dyDescent="0.25">
      <c r="B73" s="243"/>
      <c r="C73" s="243"/>
      <c r="D73" s="243"/>
    </row>
    <row r="74" spans="2:4" ht="11.45" hidden="1" customHeight="1" x14ac:dyDescent="0.25">
      <c r="B74" s="243"/>
      <c r="C74" s="243"/>
      <c r="D74" s="243"/>
    </row>
    <row r="75" spans="2:4" ht="11.45" hidden="1" customHeight="1" x14ac:dyDescent="0.25">
      <c r="B75" s="243"/>
      <c r="C75" s="243"/>
      <c r="D75" s="243"/>
    </row>
    <row r="76" spans="2:4" ht="11.45" hidden="1" customHeight="1" x14ac:dyDescent="0.25">
      <c r="B76" s="243"/>
      <c r="C76" s="243"/>
      <c r="D76" s="243"/>
    </row>
    <row r="77" spans="2:4" ht="11.45" hidden="1" customHeight="1" x14ac:dyDescent="0.25">
      <c r="B77" s="243"/>
      <c r="C77" s="243"/>
      <c r="D77" s="243"/>
    </row>
    <row r="78" spans="2:4" ht="11.45" hidden="1" customHeight="1" x14ac:dyDescent="0.25">
      <c r="B78" s="243" t="s">
        <v>339</v>
      </c>
      <c r="C78" s="243"/>
      <c r="D78" s="243"/>
    </row>
    <row r="79" spans="2:4" ht="11.45" hidden="1" customHeight="1" x14ac:dyDescent="0.25">
      <c r="B79" s="243"/>
      <c r="C79" s="243"/>
      <c r="D79" s="243"/>
    </row>
    <row r="80" spans="2:4" ht="11.45" hidden="1" customHeight="1" x14ac:dyDescent="0.25">
      <c r="B80" s="243"/>
      <c r="C80" s="243"/>
      <c r="D80" s="243"/>
    </row>
    <row r="81" spans="2:4" ht="11.45" hidden="1" customHeight="1" x14ac:dyDescent="0.25">
      <c r="B81" s="243"/>
      <c r="C81" s="243"/>
      <c r="D81" s="243"/>
    </row>
    <row r="82" spans="2:4" ht="11.45" hidden="1" customHeight="1" x14ac:dyDescent="0.25">
      <c r="B82" s="243"/>
      <c r="C82" s="243"/>
      <c r="D82" s="243"/>
    </row>
    <row r="83" spans="2:4" ht="11.45" hidden="1" customHeight="1" x14ac:dyDescent="0.25">
      <c r="B83" s="243"/>
      <c r="C83" s="243"/>
      <c r="D83" s="243"/>
    </row>
    <row r="84" spans="2:4" ht="11.45" hidden="1" customHeight="1" x14ac:dyDescent="0.25">
      <c r="B84" s="243"/>
      <c r="C84" s="243"/>
      <c r="D84" s="243"/>
    </row>
    <row r="85" spans="2:4" ht="11.45" hidden="1" customHeight="1" x14ac:dyDescent="0.25">
      <c r="B85" s="243"/>
      <c r="C85" s="243"/>
      <c r="D85" s="243"/>
    </row>
    <row r="86" spans="2:4" ht="11.45" hidden="1" customHeight="1" x14ac:dyDescent="0.25">
      <c r="B86" s="243"/>
      <c r="C86" s="243"/>
      <c r="D86" s="243"/>
    </row>
    <row r="87" spans="2:4" ht="11.45" hidden="1" customHeight="1" x14ac:dyDescent="0.25">
      <c r="B87" s="243"/>
      <c r="C87" s="243"/>
      <c r="D87" s="243"/>
    </row>
    <row r="88" spans="2:4" ht="11.45" hidden="1" customHeight="1" x14ac:dyDescent="0.25">
      <c r="B88" s="243"/>
      <c r="C88" s="243"/>
      <c r="D88" s="243"/>
    </row>
    <row r="89" spans="2:4" ht="11.45" hidden="1" customHeight="1" x14ac:dyDescent="0.25">
      <c r="B89" s="243"/>
      <c r="C89" s="243"/>
      <c r="D89" s="243"/>
    </row>
    <row r="90" spans="2:4" ht="11.45" hidden="1" customHeight="1" x14ac:dyDescent="0.25">
      <c r="B90" s="243"/>
      <c r="C90" s="243"/>
      <c r="D90" s="243"/>
    </row>
    <row r="91" spans="2:4" ht="11.45" hidden="1" customHeight="1" x14ac:dyDescent="0.25">
      <c r="B91" s="243"/>
      <c r="C91" s="243"/>
      <c r="D91" s="243"/>
    </row>
    <row r="92" spans="2:4" ht="11.45" hidden="1" customHeight="1" x14ac:dyDescent="0.25">
      <c r="B92" s="243"/>
      <c r="C92" s="243"/>
      <c r="D92" s="243"/>
    </row>
    <row r="93" spans="2:4" ht="11.45" hidden="1" customHeight="1" x14ac:dyDescent="0.25">
      <c r="B93" s="243"/>
      <c r="C93" s="243"/>
      <c r="D93" s="243"/>
    </row>
    <row r="94" spans="2:4" ht="11.45" hidden="1" customHeight="1" x14ac:dyDescent="0.25">
      <c r="B94" s="243"/>
      <c r="C94" s="243"/>
      <c r="D94" s="243"/>
    </row>
    <row r="95" spans="2:4" ht="11.45" hidden="1" customHeight="1" x14ac:dyDescent="0.25">
      <c r="B95" s="243"/>
      <c r="C95" s="243"/>
      <c r="D95" s="243"/>
    </row>
    <row r="96" spans="2:4" ht="11.45" hidden="1" customHeight="1" x14ac:dyDescent="0.25">
      <c r="B96" s="243"/>
      <c r="C96" s="243"/>
      <c r="D96" s="243"/>
    </row>
    <row r="97" spans="2:4" ht="11.45" hidden="1" customHeight="1" x14ac:dyDescent="0.25">
      <c r="B97" s="243"/>
      <c r="C97" s="243"/>
      <c r="D97" s="243"/>
    </row>
    <row r="98" spans="2:4" ht="11.45" hidden="1" customHeight="1" x14ac:dyDescent="0.25">
      <c r="B98" s="243"/>
      <c r="C98" s="243"/>
      <c r="D98" s="243"/>
    </row>
    <row r="99" spans="2:4" ht="11.45" hidden="1" customHeight="1" x14ac:dyDescent="0.25">
      <c r="B99" s="243"/>
      <c r="C99" s="243"/>
      <c r="D99" s="243"/>
    </row>
    <row r="100" spans="2:4" ht="11.45" hidden="1" customHeight="1" x14ac:dyDescent="0.25">
      <c r="B100" s="243"/>
      <c r="C100" s="243"/>
      <c r="D100" s="243"/>
    </row>
    <row r="101" spans="2:4" ht="11.45" hidden="1" customHeight="1" x14ac:dyDescent="0.25">
      <c r="B101" s="243"/>
      <c r="C101" s="243"/>
      <c r="D101" s="243"/>
    </row>
    <row r="102" spans="2:4" ht="11.45" hidden="1" customHeight="1" x14ac:dyDescent="0.25">
      <c r="B102" s="243"/>
      <c r="C102" s="243"/>
      <c r="D102" s="243"/>
    </row>
    <row r="103" spans="2:4" ht="11.45" hidden="1" customHeight="1" x14ac:dyDescent="0.25">
      <c r="B103" s="243"/>
      <c r="C103" s="243"/>
      <c r="D103" s="243"/>
    </row>
    <row r="104" spans="2:4" ht="11.45" hidden="1" customHeight="1" x14ac:dyDescent="0.25">
      <c r="B104" s="243"/>
      <c r="C104" s="243"/>
      <c r="D104" s="243"/>
    </row>
    <row r="105" spans="2:4" ht="11.45" hidden="1" customHeight="1" x14ac:dyDescent="0.25">
      <c r="B105" s="243"/>
      <c r="C105" s="243"/>
      <c r="D105" s="243"/>
    </row>
    <row r="106" spans="2:4" ht="11.45" hidden="1" customHeight="1" x14ac:dyDescent="0.25">
      <c r="B106" s="243"/>
      <c r="C106" s="243"/>
      <c r="D106" s="243"/>
    </row>
    <row r="107" spans="2:4" ht="11.45" hidden="1" customHeight="1" x14ac:dyDescent="0.25">
      <c r="B107" s="243"/>
      <c r="C107" s="243"/>
      <c r="D107" s="243"/>
    </row>
    <row r="108" spans="2:4" ht="11.45" hidden="1" customHeight="1" x14ac:dyDescent="0.25">
      <c r="B108" s="243"/>
      <c r="C108" s="243"/>
      <c r="D108" s="243"/>
    </row>
    <row r="109" spans="2:4" ht="11.45" hidden="1" customHeight="1" x14ac:dyDescent="0.25">
      <c r="B109" s="243"/>
      <c r="C109" s="243"/>
      <c r="D109" s="243"/>
    </row>
    <row r="110" spans="2:4" ht="11.45" hidden="1" customHeight="1" x14ac:dyDescent="0.25">
      <c r="B110" s="243"/>
      <c r="C110" s="243"/>
      <c r="D110" s="243"/>
    </row>
    <row r="111" spans="2:4" ht="11.45" hidden="1" customHeight="1" x14ac:dyDescent="0.25">
      <c r="B111" s="243"/>
      <c r="C111" s="243"/>
      <c r="D111" s="243"/>
    </row>
    <row r="112" spans="2:4" ht="11.45" hidden="1" customHeight="1" x14ac:dyDescent="0.25">
      <c r="B112" s="243"/>
      <c r="C112" s="243"/>
      <c r="D112" s="243"/>
    </row>
    <row r="113" spans="2:4" ht="11.45" hidden="1" customHeight="1" x14ac:dyDescent="0.25">
      <c r="B113" s="243"/>
      <c r="C113" s="243"/>
      <c r="D113" s="243"/>
    </row>
    <row r="114" spans="2:4" ht="11.45" hidden="1" customHeight="1" x14ac:dyDescent="0.25">
      <c r="B114" s="243"/>
      <c r="C114" s="243"/>
      <c r="D114" s="243"/>
    </row>
    <row r="115" spans="2:4" ht="11.45" hidden="1" customHeight="1" x14ac:dyDescent="0.25">
      <c r="B115" s="243"/>
      <c r="C115" s="243"/>
      <c r="D115" s="243"/>
    </row>
    <row r="116" spans="2:4" ht="11.45" hidden="1" customHeight="1" x14ac:dyDescent="0.25">
      <c r="B116" s="243"/>
      <c r="C116" s="243"/>
      <c r="D116" s="243"/>
    </row>
    <row r="117" spans="2:4" ht="11.45" hidden="1" customHeight="1" x14ac:dyDescent="0.25">
      <c r="B117" s="243"/>
      <c r="C117" s="243"/>
      <c r="D117" s="243"/>
    </row>
    <row r="118" spans="2:4" ht="11.45" hidden="1" customHeight="1" x14ac:dyDescent="0.25">
      <c r="B118" s="243"/>
      <c r="C118" s="243"/>
      <c r="D118" s="243"/>
    </row>
    <row r="119" spans="2:4" ht="11.45" hidden="1" customHeight="1" x14ac:dyDescent="0.25">
      <c r="B119" s="243"/>
      <c r="C119" s="243"/>
      <c r="D119" s="243"/>
    </row>
    <row r="120" spans="2:4" ht="11.45" hidden="1" customHeight="1" x14ac:dyDescent="0.25">
      <c r="B120" s="243"/>
      <c r="C120" s="243"/>
      <c r="D120" s="243"/>
    </row>
    <row r="121" spans="2:4" ht="11.45" hidden="1" customHeight="1" x14ac:dyDescent="0.25">
      <c r="B121" s="243"/>
      <c r="C121" s="243"/>
      <c r="D121" s="243"/>
    </row>
    <row r="122" spans="2:4" ht="11.45" hidden="1" customHeight="1" x14ac:dyDescent="0.25">
      <c r="B122" s="243"/>
      <c r="C122" s="243"/>
      <c r="D122" s="243"/>
    </row>
    <row r="123" spans="2:4" ht="11.45" hidden="1" customHeight="1" x14ac:dyDescent="0.25">
      <c r="B123" s="243"/>
      <c r="C123" s="243"/>
      <c r="D123" s="243"/>
    </row>
    <row r="124" spans="2:4" ht="11.45" hidden="1" customHeight="1" x14ac:dyDescent="0.25">
      <c r="B124" s="243"/>
      <c r="C124" s="243"/>
      <c r="D124" s="243"/>
    </row>
    <row r="125" spans="2:4" ht="11.45" hidden="1" customHeight="1" x14ac:dyDescent="0.25">
      <c r="B125" s="243"/>
      <c r="C125" s="243"/>
      <c r="D125" s="243"/>
    </row>
    <row r="126" spans="2:4" ht="11.45" hidden="1" customHeight="1" x14ac:dyDescent="0.25">
      <c r="B126" s="243"/>
      <c r="C126" s="243"/>
      <c r="D126" s="243"/>
    </row>
    <row r="127" spans="2:4" ht="11.45" hidden="1" customHeight="1" x14ac:dyDescent="0.25">
      <c r="B127" s="243"/>
      <c r="C127" s="243"/>
      <c r="D127" s="243"/>
    </row>
    <row r="128" spans="2:4" ht="11.45" hidden="1" customHeight="1" x14ac:dyDescent="0.25">
      <c r="B128" s="243"/>
      <c r="C128" s="243"/>
      <c r="D128" s="243"/>
    </row>
    <row r="129" spans="2:4" ht="11.45" hidden="1" customHeight="1" x14ac:dyDescent="0.25">
      <c r="B129" s="243"/>
      <c r="C129" s="243"/>
      <c r="D129" s="243"/>
    </row>
    <row r="130" spans="2:4" ht="11.45" hidden="1" customHeight="1" x14ac:dyDescent="0.25">
      <c r="B130" s="243"/>
      <c r="C130" s="243"/>
      <c r="D130" s="243"/>
    </row>
    <row r="131" spans="2:4" ht="11.45" hidden="1" customHeight="1" x14ac:dyDescent="0.25">
      <c r="B131" s="243"/>
      <c r="C131" s="243"/>
      <c r="D131" s="243"/>
    </row>
    <row r="132" spans="2:4" ht="11.45" hidden="1" customHeight="1" x14ac:dyDescent="0.25">
      <c r="B132" s="243"/>
      <c r="C132" s="243"/>
      <c r="D132" s="243"/>
    </row>
    <row r="133" spans="2:4" ht="11.45" hidden="1" customHeight="1" x14ac:dyDescent="0.25">
      <c r="B133" s="243"/>
      <c r="C133" s="243"/>
      <c r="D133" s="243"/>
    </row>
    <row r="134" spans="2:4" ht="11.45" hidden="1" customHeight="1" x14ac:dyDescent="0.25">
      <c r="B134" s="243"/>
      <c r="C134" s="243"/>
      <c r="D134" s="243"/>
    </row>
    <row r="135" spans="2:4" ht="11.45" hidden="1" customHeight="1" x14ac:dyDescent="0.25">
      <c r="B135" s="243"/>
      <c r="C135" s="243"/>
      <c r="D135" s="243"/>
    </row>
    <row r="136" spans="2:4" ht="11.45" hidden="1" customHeight="1" x14ac:dyDescent="0.25">
      <c r="B136" s="243"/>
      <c r="C136" s="243"/>
      <c r="D136" s="243"/>
    </row>
    <row r="137" spans="2:4" ht="11.45" hidden="1" customHeight="1" x14ac:dyDescent="0.25">
      <c r="B137" s="243"/>
      <c r="C137" s="243"/>
      <c r="D137" s="243"/>
    </row>
    <row r="138" spans="2:4" ht="11.45" hidden="1" customHeight="1" x14ac:dyDescent="0.25">
      <c r="B138" s="243"/>
      <c r="C138" s="243"/>
      <c r="D138" s="243"/>
    </row>
    <row r="139" spans="2:4" ht="11.45" hidden="1" customHeight="1" x14ac:dyDescent="0.25">
      <c r="B139" s="243"/>
      <c r="C139" s="243"/>
      <c r="D139" s="243"/>
    </row>
    <row r="140" spans="2:4" ht="11.45" hidden="1" customHeight="1" x14ac:dyDescent="0.25">
      <c r="B140" s="243"/>
      <c r="C140" s="243"/>
      <c r="D140" s="243"/>
    </row>
    <row r="141" spans="2:4" ht="11.45" hidden="1" customHeight="1" x14ac:dyDescent="0.25">
      <c r="B141" s="243"/>
      <c r="C141" s="243"/>
      <c r="D141" s="243"/>
    </row>
    <row r="142" spans="2:4" ht="11.45" hidden="1" customHeight="1" x14ac:dyDescent="0.25">
      <c r="B142" s="243"/>
      <c r="C142" s="243"/>
      <c r="D142" s="243"/>
    </row>
    <row r="143" spans="2:4" ht="11.45" hidden="1" customHeight="1" x14ac:dyDescent="0.25">
      <c r="B143" s="243"/>
      <c r="C143" s="243"/>
      <c r="D143" s="243"/>
    </row>
    <row r="144" spans="2:4" ht="11.45" hidden="1" customHeight="1" x14ac:dyDescent="0.25">
      <c r="B144" s="243"/>
      <c r="C144" s="243"/>
      <c r="D144" s="243"/>
    </row>
    <row r="145" spans="2:4" ht="11.45" hidden="1" customHeight="1" x14ac:dyDescent="0.25">
      <c r="B145" s="243"/>
      <c r="C145" s="243"/>
      <c r="D145" s="243"/>
    </row>
    <row r="146" spans="2:4" ht="11.45" hidden="1" customHeight="1" x14ac:dyDescent="0.25">
      <c r="B146" s="243"/>
      <c r="C146" s="243"/>
      <c r="D146" s="243"/>
    </row>
    <row r="147" spans="2:4" ht="11.45" hidden="1" customHeight="1" x14ac:dyDescent="0.25">
      <c r="B147" s="243"/>
      <c r="C147" s="243"/>
      <c r="D147" s="243"/>
    </row>
    <row r="148" spans="2:4" ht="11.45" hidden="1" customHeight="1" x14ac:dyDescent="0.25">
      <c r="B148" s="243"/>
      <c r="C148" s="243"/>
      <c r="D148" s="243"/>
    </row>
    <row r="149" spans="2:4" ht="11.45" hidden="1" customHeight="1" x14ac:dyDescent="0.25">
      <c r="B149" s="243"/>
      <c r="C149" s="243"/>
      <c r="D149" s="243"/>
    </row>
    <row r="150" spans="2:4" ht="11.45" hidden="1" customHeight="1" x14ac:dyDescent="0.25">
      <c r="B150" s="243"/>
      <c r="C150" s="243"/>
      <c r="D150" s="243"/>
    </row>
    <row r="151" spans="2:4" ht="11.45" hidden="1" customHeight="1" x14ac:dyDescent="0.25">
      <c r="B151" s="243"/>
      <c r="C151" s="243"/>
      <c r="D151" s="243"/>
    </row>
    <row r="152" spans="2:4" ht="11.45" hidden="1" customHeight="1" x14ac:dyDescent="0.25">
      <c r="B152" s="243"/>
      <c r="C152" s="243"/>
      <c r="D152" s="243"/>
    </row>
    <row r="153" spans="2:4" ht="11.45" hidden="1" customHeight="1" x14ac:dyDescent="0.25">
      <c r="B153" s="243"/>
      <c r="C153" s="243"/>
      <c r="D153" s="243"/>
    </row>
    <row r="154" spans="2:4" ht="11.45" hidden="1" customHeight="1" x14ac:dyDescent="0.25">
      <c r="B154" s="243"/>
      <c r="C154" s="243"/>
      <c r="D154" s="243"/>
    </row>
    <row r="155" spans="2:4" ht="11.45" hidden="1" customHeight="1" x14ac:dyDescent="0.25">
      <c r="B155" s="243"/>
      <c r="C155" s="243"/>
      <c r="D155" s="243"/>
    </row>
    <row r="156" spans="2:4" ht="11.45" hidden="1" customHeight="1" x14ac:dyDescent="0.25">
      <c r="B156" s="243"/>
      <c r="C156" s="243"/>
      <c r="D156" s="243"/>
    </row>
    <row r="157" spans="2:4" ht="11.45" hidden="1" customHeight="1" x14ac:dyDescent="0.25">
      <c r="B157" s="243"/>
      <c r="C157" s="243"/>
      <c r="D157" s="243"/>
    </row>
    <row r="158" spans="2:4" ht="11.45" hidden="1" customHeight="1" x14ac:dyDescent="0.25">
      <c r="B158" s="243"/>
      <c r="C158" s="243"/>
      <c r="D158" s="243"/>
    </row>
    <row r="159" spans="2:4" ht="11.45" hidden="1" customHeight="1" x14ac:dyDescent="0.25">
      <c r="B159" s="243"/>
      <c r="C159" s="243"/>
      <c r="D159" s="243"/>
    </row>
    <row r="160" spans="2:4" ht="11.45" hidden="1" customHeight="1" x14ac:dyDescent="0.25">
      <c r="B160" s="243"/>
      <c r="C160" s="243"/>
      <c r="D160" s="243"/>
    </row>
    <row r="161" spans="2:4" ht="11.45" hidden="1" customHeight="1" x14ac:dyDescent="0.25">
      <c r="B161" s="243"/>
      <c r="C161" s="243"/>
      <c r="D161" s="243"/>
    </row>
    <row r="162" spans="2:4" ht="11.45" hidden="1" customHeight="1" x14ac:dyDescent="0.25">
      <c r="B162" s="243"/>
      <c r="C162" s="243"/>
      <c r="D162" s="243"/>
    </row>
    <row r="163" spans="2:4" ht="11.45" hidden="1" customHeight="1" x14ac:dyDescent="0.25">
      <c r="B163" s="243"/>
      <c r="C163" s="243"/>
      <c r="D163" s="243"/>
    </row>
    <row r="164" spans="2:4" ht="11.45" hidden="1" customHeight="1" x14ac:dyDescent="0.25">
      <c r="B164" s="243"/>
      <c r="C164" s="243"/>
      <c r="D164" s="243"/>
    </row>
    <row r="165" spans="2:4" ht="11.45" hidden="1" customHeight="1" x14ac:dyDescent="0.25">
      <c r="B165" s="243"/>
      <c r="C165" s="243"/>
      <c r="D165" s="243"/>
    </row>
    <row r="166" spans="2:4" ht="11.45" hidden="1" customHeight="1" x14ac:dyDescent="0.25">
      <c r="B166" s="243"/>
      <c r="C166" s="243"/>
      <c r="D166" s="243"/>
    </row>
    <row r="167" spans="2:4" ht="11.45" hidden="1" customHeight="1" x14ac:dyDescent="0.25">
      <c r="B167" s="243"/>
      <c r="C167" s="243"/>
      <c r="D167" s="243"/>
    </row>
    <row r="168" spans="2:4" ht="11.45" hidden="1" customHeight="1" x14ac:dyDescent="0.25">
      <c r="B168" s="243"/>
      <c r="C168" s="243"/>
      <c r="D168" s="243"/>
    </row>
    <row r="169" spans="2:4" ht="11.45" hidden="1" customHeight="1" x14ac:dyDescent="0.25">
      <c r="B169" s="243"/>
      <c r="C169" s="243"/>
      <c r="D169" s="243"/>
    </row>
    <row r="170" spans="2:4" ht="11.45" hidden="1" customHeight="1" x14ac:dyDescent="0.25">
      <c r="B170" s="243"/>
      <c r="C170" s="243"/>
      <c r="D170" s="243"/>
    </row>
    <row r="171" spans="2:4" ht="11.45" hidden="1" customHeight="1" x14ac:dyDescent="0.25">
      <c r="B171" s="243"/>
      <c r="C171" s="243"/>
      <c r="D171" s="243"/>
    </row>
    <row r="172" spans="2:4" ht="11.45" hidden="1" customHeight="1" x14ac:dyDescent="0.25">
      <c r="B172" s="243"/>
      <c r="C172" s="243"/>
      <c r="D172" s="243"/>
    </row>
    <row r="173" spans="2:4" ht="11.45" hidden="1" customHeight="1" x14ac:dyDescent="0.25">
      <c r="B173" s="243"/>
      <c r="C173" s="243"/>
      <c r="D173" s="243"/>
    </row>
    <row r="174" spans="2:4" ht="11.45" hidden="1" customHeight="1" x14ac:dyDescent="0.25">
      <c r="B174" s="243"/>
      <c r="C174" s="243"/>
      <c r="D174" s="243"/>
    </row>
    <row r="175" spans="2:4" ht="11.45" hidden="1" customHeight="1" x14ac:dyDescent="0.25">
      <c r="B175" s="243"/>
      <c r="C175" s="243"/>
      <c r="D175" s="243"/>
    </row>
    <row r="176" spans="2:4" ht="11.45" hidden="1" customHeight="1" x14ac:dyDescent="0.25">
      <c r="B176" s="243"/>
      <c r="C176" s="243"/>
      <c r="D176" s="243"/>
    </row>
    <row r="177" spans="2:4" ht="11.45" hidden="1" customHeight="1" x14ac:dyDescent="0.25">
      <c r="B177" s="243"/>
      <c r="C177" s="243"/>
      <c r="D177" s="243"/>
    </row>
    <row r="178" spans="2:4" ht="11.45" hidden="1" customHeight="1" x14ac:dyDescent="0.25">
      <c r="B178" s="243"/>
      <c r="C178" s="243"/>
      <c r="D178" s="243"/>
    </row>
    <row r="179" spans="2:4" ht="11.45" hidden="1" customHeight="1" x14ac:dyDescent="0.25">
      <c r="B179" s="243"/>
      <c r="C179" s="243"/>
      <c r="D179" s="243"/>
    </row>
    <row r="180" spans="2:4" ht="11.45" hidden="1" customHeight="1" x14ac:dyDescent="0.25">
      <c r="B180" s="243"/>
      <c r="C180" s="243"/>
      <c r="D180" s="243"/>
    </row>
    <row r="181" spans="2:4" ht="11.45" hidden="1" customHeight="1" x14ac:dyDescent="0.25">
      <c r="B181" s="243"/>
      <c r="C181" s="243"/>
      <c r="D181" s="243"/>
    </row>
    <row r="182" spans="2:4" ht="11.45" hidden="1" customHeight="1" x14ac:dyDescent="0.25">
      <c r="B182" s="243"/>
      <c r="C182" s="243"/>
      <c r="D182" s="243"/>
    </row>
    <row r="183" spans="2:4" ht="11.45" hidden="1" customHeight="1" x14ac:dyDescent="0.25">
      <c r="B183" s="243"/>
      <c r="C183" s="243"/>
      <c r="D183" s="243"/>
    </row>
    <row r="184" spans="2:4" ht="11.45" hidden="1" customHeight="1" x14ac:dyDescent="0.25">
      <c r="B184" s="243"/>
      <c r="C184" s="243"/>
      <c r="D184" s="243"/>
    </row>
    <row r="185" spans="2:4" ht="11.45" hidden="1" customHeight="1" x14ac:dyDescent="0.25">
      <c r="B185" s="243"/>
      <c r="C185" s="243"/>
      <c r="D185" s="243"/>
    </row>
    <row r="186" spans="2:4" ht="11.45" hidden="1" customHeight="1" x14ac:dyDescent="0.25">
      <c r="B186" s="243"/>
      <c r="C186" s="243"/>
      <c r="D186" s="243"/>
    </row>
    <row r="187" spans="2:4" ht="11.45" hidden="1" customHeight="1" x14ac:dyDescent="0.25">
      <c r="B187" s="243"/>
      <c r="C187" s="243"/>
      <c r="D187" s="243"/>
    </row>
    <row r="188" spans="2:4" ht="11.45" hidden="1" customHeight="1" x14ac:dyDescent="0.25">
      <c r="B188" s="243"/>
      <c r="C188" s="243"/>
      <c r="D188" s="243"/>
    </row>
    <row r="189" spans="2:4" ht="11.45" hidden="1" customHeight="1" x14ac:dyDescent="0.25">
      <c r="B189" s="243"/>
      <c r="C189" s="243"/>
      <c r="D189" s="243"/>
    </row>
    <row r="190" spans="2:4" ht="11.45" hidden="1" customHeight="1" x14ac:dyDescent="0.25">
      <c r="B190" s="243"/>
      <c r="C190" s="243"/>
      <c r="D190" s="243"/>
    </row>
    <row r="191" spans="2:4" ht="11.45" hidden="1" customHeight="1" x14ac:dyDescent="0.25">
      <c r="B191" s="243"/>
      <c r="C191" s="243"/>
      <c r="D191" s="243"/>
    </row>
    <row r="192" spans="2:4" ht="11.45" hidden="1" customHeight="1" x14ac:dyDescent="0.25">
      <c r="B192" s="243"/>
      <c r="C192" s="243"/>
      <c r="D192" s="243"/>
    </row>
    <row r="193" spans="2:4" ht="11.45" hidden="1" customHeight="1" x14ac:dyDescent="0.25">
      <c r="B193" s="243"/>
      <c r="C193" s="243"/>
      <c r="D193" s="243"/>
    </row>
    <row r="194" spans="2:4" ht="11.45" hidden="1" customHeight="1" x14ac:dyDescent="0.25">
      <c r="B194" s="243"/>
      <c r="C194" s="243"/>
      <c r="D194" s="243"/>
    </row>
    <row r="195" spans="2:4" ht="11.45" hidden="1" customHeight="1" x14ac:dyDescent="0.25">
      <c r="B195" s="243"/>
      <c r="C195" s="243"/>
      <c r="D195" s="243"/>
    </row>
    <row r="196" spans="2:4" ht="11.45" hidden="1" customHeight="1" x14ac:dyDescent="0.25">
      <c r="B196" s="243"/>
      <c r="C196" s="243"/>
      <c r="D196" s="243"/>
    </row>
    <row r="197" spans="2:4" ht="11.45" hidden="1" customHeight="1" x14ac:dyDescent="0.25">
      <c r="B197" s="243"/>
      <c r="C197" s="243"/>
      <c r="D197" s="243"/>
    </row>
    <row r="198" spans="2:4" ht="11.45" hidden="1" customHeight="1" x14ac:dyDescent="0.25">
      <c r="B198" s="243"/>
      <c r="C198" s="243"/>
      <c r="D198" s="243"/>
    </row>
    <row r="199" spans="2:4" ht="11.45" hidden="1" customHeight="1" x14ac:dyDescent="0.25">
      <c r="B199" s="243"/>
      <c r="C199" s="243"/>
      <c r="D199" s="243"/>
    </row>
    <row r="200" spans="2:4" ht="11.45" hidden="1" customHeight="1" x14ac:dyDescent="0.25">
      <c r="B200" s="243"/>
      <c r="C200" s="243"/>
      <c r="D200" s="243"/>
    </row>
    <row r="201" spans="2:4" ht="11.45" hidden="1" customHeight="1" x14ac:dyDescent="0.25">
      <c r="B201" s="243"/>
      <c r="C201" s="243"/>
      <c r="D201" s="243"/>
    </row>
    <row r="202" spans="2:4" ht="11.45" hidden="1" customHeight="1" x14ac:dyDescent="0.25">
      <c r="B202" s="243"/>
      <c r="C202" s="243"/>
      <c r="D202" s="243"/>
    </row>
    <row r="203" spans="2:4" ht="11.45" hidden="1" customHeight="1" x14ac:dyDescent="0.25">
      <c r="B203" s="243"/>
      <c r="C203" s="243"/>
      <c r="D203" s="243"/>
    </row>
    <row r="204" spans="2:4" ht="11.45" hidden="1" customHeight="1" x14ac:dyDescent="0.25">
      <c r="B204" s="243"/>
      <c r="C204" s="243"/>
      <c r="D204" s="243"/>
    </row>
    <row r="205" spans="2:4" ht="11.45" hidden="1" customHeight="1" x14ac:dyDescent="0.25">
      <c r="B205" s="243"/>
      <c r="C205" s="243"/>
      <c r="D205" s="243"/>
    </row>
    <row r="206" spans="2:4" ht="11.45" hidden="1" customHeight="1" x14ac:dyDescent="0.25">
      <c r="B206" s="243"/>
      <c r="C206" s="243"/>
      <c r="D206" s="243"/>
    </row>
    <row r="207" spans="2:4" ht="11.45" hidden="1" customHeight="1" x14ac:dyDescent="0.25">
      <c r="B207" s="243"/>
      <c r="C207" s="243"/>
      <c r="D207" s="243"/>
    </row>
    <row r="208" spans="2:4" ht="11.45" hidden="1" customHeight="1" x14ac:dyDescent="0.25">
      <c r="B208" s="243"/>
      <c r="C208" s="243"/>
      <c r="D208" s="243"/>
    </row>
    <row r="209" spans="2:4" ht="11.45" hidden="1" customHeight="1" x14ac:dyDescent="0.25">
      <c r="B209" s="243"/>
      <c r="C209" s="243"/>
      <c r="D209" s="243"/>
    </row>
    <row r="210" spans="2:4" ht="11.45" hidden="1" customHeight="1" x14ac:dyDescent="0.25">
      <c r="B210" s="243"/>
      <c r="C210" s="243"/>
      <c r="D210" s="243"/>
    </row>
    <row r="211" spans="2:4" ht="11.45" hidden="1" customHeight="1" x14ac:dyDescent="0.25">
      <c r="B211" s="243"/>
      <c r="C211" s="243"/>
      <c r="D211" s="243"/>
    </row>
    <row r="212" spans="2:4" ht="11.45" hidden="1" customHeight="1" x14ac:dyDescent="0.25">
      <c r="B212" s="243"/>
      <c r="C212" s="243"/>
      <c r="D212" s="243"/>
    </row>
    <row r="213" spans="2:4" ht="11.45" hidden="1" customHeight="1" x14ac:dyDescent="0.25">
      <c r="B213" s="243"/>
      <c r="C213" s="243"/>
      <c r="D213" s="243"/>
    </row>
    <row r="214" spans="2:4" ht="11.45" hidden="1" customHeight="1" x14ac:dyDescent="0.25">
      <c r="B214" s="243"/>
      <c r="C214" s="243"/>
      <c r="D214" s="243"/>
    </row>
    <row r="215" spans="2:4" ht="11.45" hidden="1" customHeight="1" x14ac:dyDescent="0.25">
      <c r="B215" s="243"/>
      <c r="C215" s="243"/>
      <c r="D215" s="243"/>
    </row>
    <row r="216" spans="2:4" ht="11.45" hidden="1" customHeight="1" x14ac:dyDescent="0.25">
      <c r="B216" s="243"/>
      <c r="C216" s="243"/>
      <c r="D216" s="243"/>
    </row>
    <row r="217" spans="2:4" ht="11.45" hidden="1" customHeight="1" x14ac:dyDescent="0.25">
      <c r="B217" s="243"/>
      <c r="C217" s="243"/>
      <c r="D217" s="243"/>
    </row>
    <row r="218" spans="2:4" ht="11.45" hidden="1" customHeight="1" x14ac:dyDescent="0.25">
      <c r="B218" s="243"/>
      <c r="C218" s="243"/>
      <c r="D218" s="243"/>
    </row>
    <row r="219" spans="2:4" ht="11.45" hidden="1" customHeight="1" x14ac:dyDescent="0.25">
      <c r="B219" s="243"/>
      <c r="C219" s="243"/>
      <c r="D219" s="243"/>
    </row>
    <row r="220" spans="2:4" ht="11.45" hidden="1" customHeight="1" x14ac:dyDescent="0.25">
      <c r="B220" s="243"/>
      <c r="C220" s="243"/>
      <c r="D220" s="243"/>
    </row>
    <row r="221" spans="2:4" ht="11.45" hidden="1" customHeight="1" x14ac:dyDescent="0.25">
      <c r="B221" s="243"/>
      <c r="C221" s="243"/>
      <c r="D221" s="243"/>
    </row>
    <row r="222" spans="2:4" ht="11.45" hidden="1" customHeight="1" x14ac:dyDescent="0.25">
      <c r="B222" s="243"/>
      <c r="C222" s="243"/>
      <c r="D222" s="243"/>
    </row>
    <row r="223" spans="2:4" ht="11.45" hidden="1" customHeight="1" x14ac:dyDescent="0.25">
      <c r="B223" s="243"/>
      <c r="C223" s="243"/>
      <c r="D223" s="243"/>
    </row>
    <row r="224" spans="2:4" ht="11.45" hidden="1" customHeight="1" x14ac:dyDescent="0.25">
      <c r="B224" s="243"/>
      <c r="C224" s="243"/>
      <c r="D224" s="243"/>
    </row>
    <row r="225" spans="2:4" ht="11.45" hidden="1" customHeight="1" x14ac:dyDescent="0.25">
      <c r="B225" s="243"/>
      <c r="C225" s="243"/>
      <c r="D225" s="243"/>
    </row>
    <row r="226" spans="2:4" ht="11.45" hidden="1" customHeight="1" x14ac:dyDescent="0.25">
      <c r="B226" s="243"/>
      <c r="C226" s="243"/>
      <c r="D226" s="243"/>
    </row>
    <row r="227" spans="2:4" ht="11.45" hidden="1" customHeight="1" x14ac:dyDescent="0.25">
      <c r="B227" s="243"/>
      <c r="C227" s="243"/>
      <c r="D227" s="243"/>
    </row>
    <row r="228" spans="2:4" ht="11.45" hidden="1" customHeight="1" x14ac:dyDescent="0.25">
      <c r="B228" s="243"/>
      <c r="C228" s="243"/>
      <c r="D228" s="243"/>
    </row>
    <row r="229" spans="2:4" ht="11.45" hidden="1" customHeight="1" x14ac:dyDescent="0.25">
      <c r="B229" s="243"/>
      <c r="C229" s="243"/>
      <c r="D229" s="243"/>
    </row>
    <row r="230" spans="2:4" ht="11.45" hidden="1" customHeight="1" x14ac:dyDescent="0.25">
      <c r="B230" s="243"/>
      <c r="C230" s="243"/>
      <c r="D230" s="243"/>
    </row>
    <row r="231" spans="2:4" ht="11.45" hidden="1" customHeight="1" x14ac:dyDescent="0.25">
      <c r="B231" s="243"/>
      <c r="C231" s="243"/>
      <c r="D231" s="243"/>
    </row>
    <row r="232" spans="2:4" ht="11.45" hidden="1" customHeight="1" x14ac:dyDescent="0.25">
      <c r="B232" s="243"/>
      <c r="C232" s="243"/>
      <c r="D232" s="243"/>
    </row>
    <row r="233" spans="2:4" ht="11.45" hidden="1" customHeight="1" x14ac:dyDescent="0.25">
      <c r="B233" s="243"/>
      <c r="C233" s="243"/>
      <c r="D233" s="243"/>
    </row>
    <row r="234" spans="2:4" ht="11.45" hidden="1" customHeight="1" x14ac:dyDescent="0.25">
      <c r="B234" s="243"/>
      <c r="C234" s="243"/>
      <c r="D234" s="243"/>
    </row>
    <row r="235" spans="2:4" ht="11.45" hidden="1" customHeight="1" x14ac:dyDescent="0.25">
      <c r="B235" s="243"/>
      <c r="C235" s="243"/>
      <c r="D235" s="243"/>
    </row>
    <row r="236" spans="2:4" ht="11.45" hidden="1" customHeight="1" x14ac:dyDescent="0.25">
      <c r="B236" s="243"/>
      <c r="C236" s="243"/>
      <c r="D236" s="243"/>
    </row>
    <row r="237" spans="2:4" ht="11.45" hidden="1" customHeight="1" x14ac:dyDescent="0.25">
      <c r="B237" s="243"/>
      <c r="C237" s="243"/>
      <c r="D237" s="243"/>
    </row>
    <row r="238" spans="2:4" ht="11.45" hidden="1" customHeight="1" x14ac:dyDescent="0.25">
      <c r="B238" s="243"/>
      <c r="C238" s="243"/>
      <c r="D238" s="243"/>
    </row>
    <row r="239" spans="2:4" ht="11.45" hidden="1" customHeight="1" x14ac:dyDescent="0.25">
      <c r="B239" s="243"/>
      <c r="C239" s="243"/>
      <c r="D239" s="243"/>
    </row>
    <row r="240" spans="2:4" ht="11.45" hidden="1" customHeight="1" x14ac:dyDescent="0.25">
      <c r="B240" s="243"/>
      <c r="C240" s="243"/>
      <c r="D240" s="243"/>
    </row>
    <row r="241" spans="2:4" ht="11.45" hidden="1" customHeight="1" x14ac:dyDescent="0.25">
      <c r="B241" s="243"/>
      <c r="C241" s="243"/>
      <c r="D241" s="243"/>
    </row>
    <row r="242" spans="2:4" ht="11.45" hidden="1" customHeight="1" x14ac:dyDescent="0.25">
      <c r="B242" s="243"/>
      <c r="C242" s="243"/>
      <c r="D242" s="243"/>
    </row>
    <row r="243" spans="2:4" ht="11.45" hidden="1" customHeight="1" x14ac:dyDescent="0.25">
      <c r="B243" s="243"/>
      <c r="C243" s="243"/>
      <c r="D243" s="243"/>
    </row>
    <row r="244" spans="2:4" ht="11.45" hidden="1" customHeight="1" x14ac:dyDescent="0.25">
      <c r="B244" s="243"/>
      <c r="C244" s="243"/>
      <c r="D244" s="243"/>
    </row>
    <row r="245" spans="2:4" ht="11.45" hidden="1" customHeight="1" x14ac:dyDescent="0.25">
      <c r="B245" s="243"/>
      <c r="C245" s="243"/>
      <c r="D245" s="243"/>
    </row>
    <row r="246" spans="2:4" ht="11.45" hidden="1" customHeight="1" x14ac:dyDescent="0.25">
      <c r="B246" s="243"/>
      <c r="C246" s="243"/>
      <c r="D246" s="243"/>
    </row>
    <row r="247" spans="2:4" ht="11.45" hidden="1" customHeight="1" x14ac:dyDescent="0.25">
      <c r="B247" s="243"/>
      <c r="C247" s="243"/>
      <c r="D247" s="243"/>
    </row>
    <row r="248" spans="2:4" ht="11.45" hidden="1" customHeight="1" x14ac:dyDescent="0.25">
      <c r="B248" s="243"/>
      <c r="C248" s="243"/>
      <c r="D248" s="243"/>
    </row>
    <row r="249" spans="2:4" ht="11.45" hidden="1" customHeight="1" x14ac:dyDescent="0.25">
      <c r="B249" s="243"/>
      <c r="C249" s="243"/>
      <c r="D249" s="243"/>
    </row>
    <row r="250" spans="2:4" ht="11.45" hidden="1" customHeight="1" x14ac:dyDescent="0.25">
      <c r="B250" s="243"/>
      <c r="C250" s="243"/>
      <c r="D250" s="243"/>
    </row>
    <row r="251" spans="2:4" ht="11.45" hidden="1" customHeight="1" x14ac:dyDescent="0.25">
      <c r="B251" s="243"/>
      <c r="C251" s="243"/>
      <c r="D251" s="243"/>
    </row>
    <row r="252" spans="2:4" ht="11.45" hidden="1" customHeight="1" x14ac:dyDescent="0.25">
      <c r="B252" s="243"/>
      <c r="C252" s="243"/>
      <c r="D252" s="243"/>
    </row>
    <row r="253" spans="2:4" ht="11.45" hidden="1" customHeight="1" x14ac:dyDescent="0.25">
      <c r="B253" s="243"/>
      <c r="C253" s="243"/>
      <c r="D253" s="243"/>
    </row>
    <row r="254" spans="2:4" ht="11.45" hidden="1" customHeight="1" x14ac:dyDescent="0.25">
      <c r="B254" s="243"/>
      <c r="C254" s="243"/>
      <c r="D254" s="243"/>
    </row>
    <row r="255" spans="2:4" ht="11.45" hidden="1" customHeight="1" x14ac:dyDescent="0.25">
      <c r="B255" s="243"/>
      <c r="C255" s="243"/>
      <c r="D255" s="243"/>
    </row>
    <row r="256" spans="2:4" ht="11.45" hidden="1" customHeight="1" x14ac:dyDescent="0.25">
      <c r="B256" s="243"/>
      <c r="C256" s="243"/>
      <c r="D256" s="243"/>
    </row>
    <row r="257" spans="2:4" ht="11.45" hidden="1" customHeight="1" x14ac:dyDescent="0.25">
      <c r="B257" s="243"/>
      <c r="C257" s="243"/>
      <c r="D257" s="243"/>
    </row>
    <row r="258" spans="2:4" ht="11.45" hidden="1" customHeight="1" x14ac:dyDescent="0.25">
      <c r="B258" s="243"/>
      <c r="C258" s="243"/>
      <c r="D258" s="243"/>
    </row>
    <row r="259" spans="2:4" ht="11.45" hidden="1" customHeight="1" x14ac:dyDescent="0.25">
      <c r="B259" s="243"/>
      <c r="C259" s="243"/>
      <c r="D259" s="243"/>
    </row>
    <row r="260" spans="2:4" ht="11.45" hidden="1" customHeight="1" x14ac:dyDescent="0.25">
      <c r="B260" s="243"/>
      <c r="C260" s="243"/>
      <c r="D260" s="243"/>
    </row>
    <row r="261" spans="2:4" ht="11.45" hidden="1" customHeight="1" x14ac:dyDescent="0.25">
      <c r="B261" s="243"/>
      <c r="C261" s="243"/>
      <c r="D261" s="243"/>
    </row>
    <row r="262" spans="2:4" ht="11.45" hidden="1" customHeight="1" x14ac:dyDescent="0.25">
      <c r="B262" s="243"/>
      <c r="C262" s="243"/>
      <c r="D262" s="243"/>
    </row>
    <row r="263" spans="2:4" ht="11.45" hidden="1" customHeight="1" x14ac:dyDescent="0.25">
      <c r="B263" s="243"/>
      <c r="C263" s="243"/>
      <c r="D263" s="243"/>
    </row>
    <row r="264" spans="2:4" ht="11.45" hidden="1" customHeight="1" x14ac:dyDescent="0.25">
      <c r="B264" s="243"/>
      <c r="C264" s="243"/>
      <c r="D264" s="243"/>
    </row>
    <row r="265" spans="2:4" ht="11.45" hidden="1" customHeight="1" x14ac:dyDescent="0.25">
      <c r="B265" s="243"/>
      <c r="C265" s="243"/>
      <c r="D265" s="243"/>
    </row>
    <row r="266" spans="2:4" ht="11.45" hidden="1" customHeight="1" x14ac:dyDescent="0.25">
      <c r="B266" s="243"/>
      <c r="C266" s="243"/>
      <c r="D266" s="243"/>
    </row>
    <row r="267" spans="2:4" ht="11.45" hidden="1" customHeight="1" x14ac:dyDescent="0.25">
      <c r="B267" s="243"/>
      <c r="C267" s="243"/>
      <c r="D267" s="243"/>
    </row>
    <row r="268" spans="2:4" ht="11.45" hidden="1" customHeight="1" x14ac:dyDescent="0.25">
      <c r="B268" s="243"/>
      <c r="C268" s="243"/>
      <c r="D268" s="243"/>
    </row>
    <row r="269" spans="2:4" ht="11.45" hidden="1" customHeight="1" x14ac:dyDescent="0.25">
      <c r="B269" s="243"/>
      <c r="C269" s="243"/>
      <c r="D269" s="243"/>
    </row>
    <row r="270" spans="2:4" ht="11.45" hidden="1" customHeight="1" x14ac:dyDescent="0.25">
      <c r="B270" s="243"/>
      <c r="C270" s="243"/>
      <c r="D270" s="243"/>
    </row>
    <row r="271" spans="2:4" ht="11.45" hidden="1" customHeight="1" x14ac:dyDescent="0.25">
      <c r="B271" s="243"/>
      <c r="C271" s="243"/>
      <c r="D271" s="243"/>
    </row>
    <row r="272" spans="2:4" ht="11.45" hidden="1" customHeight="1" x14ac:dyDescent="0.25">
      <c r="B272" s="243"/>
      <c r="C272" s="243"/>
      <c r="D272" s="243"/>
    </row>
    <row r="273" spans="2:4" ht="11.45" hidden="1" customHeight="1" x14ac:dyDescent="0.25">
      <c r="B273" s="243"/>
      <c r="C273" s="243"/>
      <c r="D273" s="243"/>
    </row>
    <row r="274" spans="2:4" ht="11.45" hidden="1" customHeight="1" x14ac:dyDescent="0.25">
      <c r="B274" s="243"/>
      <c r="C274" s="243"/>
      <c r="D274" s="243"/>
    </row>
    <row r="275" spans="2:4" ht="11.45" hidden="1" customHeight="1" x14ac:dyDescent="0.25">
      <c r="B275" s="243"/>
      <c r="C275" s="243"/>
      <c r="D275" s="243"/>
    </row>
    <row r="276" spans="2:4" ht="11.45" hidden="1" customHeight="1" x14ac:dyDescent="0.25">
      <c r="B276" s="243"/>
      <c r="C276" s="243"/>
      <c r="D276" s="243"/>
    </row>
    <row r="277" spans="2:4" ht="11.45" hidden="1" customHeight="1" x14ac:dyDescent="0.25">
      <c r="B277" s="243"/>
      <c r="C277" s="243"/>
      <c r="D277" s="243"/>
    </row>
    <row r="278" spans="2:4" ht="11.45" hidden="1" customHeight="1" x14ac:dyDescent="0.25">
      <c r="B278" s="243"/>
      <c r="C278" s="243"/>
      <c r="D278" s="243"/>
    </row>
    <row r="279" spans="2:4" ht="11.45" hidden="1" customHeight="1" x14ac:dyDescent="0.25">
      <c r="B279" s="243"/>
      <c r="C279" s="243"/>
      <c r="D279" s="243"/>
    </row>
    <row r="280" spans="2:4" ht="11.45" hidden="1" customHeight="1" x14ac:dyDescent="0.25">
      <c r="B280" s="243"/>
      <c r="C280" s="243"/>
      <c r="D280" s="243"/>
    </row>
    <row r="281" spans="2:4" ht="11.45" hidden="1" customHeight="1" x14ac:dyDescent="0.25">
      <c r="B281" s="243"/>
      <c r="C281" s="243"/>
      <c r="D281" s="243"/>
    </row>
    <row r="282" spans="2:4" ht="11.45" hidden="1" customHeight="1" x14ac:dyDescent="0.25">
      <c r="B282" s="243"/>
      <c r="C282" s="243"/>
      <c r="D282" s="243"/>
    </row>
    <row r="283" spans="2:4" ht="11.45" hidden="1" customHeight="1" x14ac:dyDescent="0.25">
      <c r="B283" s="243"/>
      <c r="C283" s="243"/>
      <c r="D283" s="243"/>
    </row>
    <row r="284" spans="2:4" ht="11.45" hidden="1" customHeight="1" x14ac:dyDescent="0.25">
      <c r="B284" s="243"/>
      <c r="C284" s="243"/>
      <c r="D284" s="243"/>
    </row>
    <row r="285" spans="2:4" ht="11.45" hidden="1" customHeight="1" x14ac:dyDescent="0.25">
      <c r="B285" s="243"/>
      <c r="C285" s="243"/>
      <c r="D285" s="243"/>
    </row>
    <row r="286" spans="2:4" ht="11.45" hidden="1" customHeight="1" x14ac:dyDescent="0.25">
      <c r="B286" s="243"/>
      <c r="C286" s="243"/>
      <c r="D286" s="243"/>
    </row>
    <row r="287" spans="2:4" ht="11.45" hidden="1" customHeight="1" x14ac:dyDescent="0.25">
      <c r="B287" s="243"/>
      <c r="C287" s="243"/>
      <c r="D287" s="243"/>
    </row>
    <row r="288" spans="2:4" ht="11.45" hidden="1" customHeight="1" x14ac:dyDescent="0.25">
      <c r="B288" s="243"/>
      <c r="C288" s="243"/>
      <c r="D288" s="243"/>
    </row>
    <row r="289" spans="2:4" ht="11.45" hidden="1" customHeight="1" x14ac:dyDescent="0.25">
      <c r="B289" s="243"/>
      <c r="C289" s="243"/>
      <c r="D289" s="243"/>
    </row>
    <row r="290" spans="2:4" ht="11.45" hidden="1" customHeight="1" x14ac:dyDescent="0.25">
      <c r="B290" s="243"/>
      <c r="C290" s="243"/>
      <c r="D290" s="243"/>
    </row>
    <row r="291" spans="2:4" ht="11.45" hidden="1" customHeight="1" x14ac:dyDescent="0.25">
      <c r="B291" s="243"/>
      <c r="C291" s="243"/>
      <c r="D291" s="243"/>
    </row>
    <row r="292" spans="2:4" ht="11.45" hidden="1" customHeight="1" x14ac:dyDescent="0.25">
      <c r="B292" s="243"/>
      <c r="C292" s="243"/>
      <c r="D292" s="243"/>
    </row>
    <row r="293" spans="2:4" ht="11.45" hidden="1" customHeight="1" x14ac:dyDescent="0.25">
      <c r="B293" s="243"/>
      <c r="C293" s="243"/>
      <c r="D293" s="243"/>
    </row>
    <row r="294" spans="2:4" ht="11.45" hidden="1" customHeight="1" x14ac:dyDescent="0.25">
      <c r="B294" s="243"/>
      <c r="C294" s="243"/>
      <c r="D294" s="243"/>
    </row>
    <row r="295" spans="2:4" ht="11.45" hidden="1" customHeight="1" x14ac:dyDescent="0.25">
      <c r="B295" s="243"/>
      <c r="C295" s="243"/>
      <c r="D295" s="243"/>
    </row>
    <row r="296" spans="2:4" ht="11.45" hidden="1" customHeight="1" x14ac:dyDescent="0.25">
      <c r="B296" s="243"/>
      <c r="C296" s="243"/>
      <c r="D296" s="243"/>
    </row>
    <row r="297" spans="2:4" ht="11.45" hidden="1" customHeight="1" x14ac:dyDescent="0.25">
      <c r="B297" s="243"/>
      <c r="C297" s="243"/>
      <c r="D297" s="243"/>
    </row>
    <row r="298" spans="2:4" ht="11.45" hidden="1" customHeight="1" x14ac:dyDescent="0.25">
      <c r="B298" s="243"/>
      <c r="C298" s="243"/>
      <c r="D298" s="243"/>
    </row>
    <row r="299" spans="2:4" ht="11.45" hidden="1" customHeight="1" x14ac:dyDescent="0.25">
      <c r="B299" s="243"/>
      <c r="C299" s="243"/>
      <c r="D299" s="243"/>
    </row>
    <row r="300" spans="2:4" ht="11.45" hidden="1" customHeight="1" x14ac:dyDescent="0.25">
      <c r="B300" s="243"/>
      <c r="C300" s="243"/>
      <c r="D300" s="243"/>
    </row>
    <row r="301" spans="2:4" ht="11.45" hidden="1" customHeight="1" x14ac:dyDescent="0.25">
      <c r="B301" s="243"/>
      <c r="C301" s="243"/>
      <c r="D301" s="243"/>
    </row>
    <row r="302" spans="2:4" ht="11.45" hidden="1" customHeight="1" x14ac:dyDescent="0.25">
      <c r="B302" s="243"/>
      <c r="C302" s="243"/>
      <c r="D302" s="243"/>
    </row>
    <row r="303" spans="2:4" ht="11.45" hidden="1" customHeight="1" x14ac:dyDescent="0.25">
      <c r="B303" s="243"/>
      <c r="C303" s="243"/>
      <c r="D303" s="243"/>
    </row>
    <row r="304" spans="2:4" ht="11.45" hidden="1" customHeight="1" x14ac:dyDescent="0.25">
      <c r="B304" s="243"/>
      <c r="C304" s="243"/>
      <c r="D304" s="243"/>
    </row>
    <row r="305" spans="2:4" ht="11.45" hidden="1" customHeight="1" x14ac:dyDescent="0.25">
      <c r="B305" s="243"/>
      <c r="C305" s="243"/>
      <c r="D305" s="243"/>
    </row>
    <row r="306" spans="2:4" ht="11.45" hidden="1" customHeight="1" x14ac:dyDescent="0.25">
      <c r="B306" s="243"/>
      <c r="C306" s="243"/>
      <c r="D306" s="243"/>
    </row>
    <row r="307" spans="2:4" ht="11.45" hidden="1" customHeight="1" x14ac:dyDescent="0.25">
      <c r="B307" s="243"/>
      <c r="C307" s="243"/>
      <c r="D307" s="243"/>
    </row>
    <row r="308" spans="2:4" ht="11.45" hidden="1" customHeight="1" x14ac:dyDescent="0.25">
      <c r="B308" s="243"/>
      <c r="C308" s="243"/>
      <c r="D308" s="243"/>
    </row>
    <row r="309" spans="2:4" ht="11.45" hidden="1" customHeight="1" x14ac:dyDescent="0.25">
      <c r="B309" s="243"/>
      <c r="C309" s="243"/>
      <c r="D309" s="243"/>
    </row>
    <row r="310" spans="2:4" ht="11.45" hidden="1" customHeight="1" x14ac:dyDescent="0.25">
      <c r="B310" s="243"/>
      <c r="C310" s="243"/>
      <c r="D310" s="243"/>
    </row>
    <row r="311" spans="2:4" ht="11.45" hidden="1" customHeight="1" x14ac:dyDescent="0.25">
      <c r="B311" s="243"/>
      <c r="C311" s="243"/>
      <c r="D311" s="243"/>
    </row>
    <row r="312" spans="2:4" ht="11.45" hidden="1" customHeight="1" x14ac:dyDescent="0.25">
      <c r="B312" s="243"/>
      <c r="C312" s="243"/>
      <c r="D312" s="243"/>
    </row>
    <row r="313" spans="2:4" ht="11.45" hidden="1" customHeight="1" x14ac:dyDescent="0.25">
      <c r="B313" s="243"/>
      <c r="C313" s="243"/>
      <c r="D313" s="243"/>
    </row>
    <row r="314" spans="2:4" ht="11.45" hidden="1" customHeight="1" x14ac:dyDescent="0.25">
      <c r="B314" s="243"/>
      <c r="C314" s="243"/>
      <c r="D314" s="243"/>
    </row>
    <row r="315" spans="2:4" ht="11.45" hidden="1" customHeight="1" x14ac:dyDescent="0.25">
      <c r="B315" s="243"/>
      <c r="C315" s="243"/>
      <c r="D315" s="243"/>
    </row>
    <row r="316" spans="2:4" ht="11.45" hidden="1" customHeight="1" x14ac:dyDescent="0.25">
      <c r="B316" s="243"/>
      <c r="C316" s="243"/>
      <c r="D316" s="243"/>
    </row>
    <row r="317" spans="2:4" ht="11.45" hidden="1" customHeight="1" x14ac:dyDescent="0.25">
      <c r="B317" s="243"/>
      <c r="C317" s="243"/>
      <c r="D317" s="243"/>
    </row>
    <row r="318" spans="2:4" ht="11.45" hidden="1" customHeight="1" x14ac:dyDescent="0.25">
      <c r="B318" s="243"/>
      <c r="C318" s="243"/>
      <c r="D318" s="243"/>
    </row>
    <row r="319" spans="2:4" ht="11.45" hidden="1" customHeight="1" x14ac:dyDescent="0.25">
      <c r="B319" s="243"/>
      <c r="C319" s="243"/>
      <c r="D319" s="243"/>
    </row>
    <row r="320" spans="2:4" ht="11.45" hidden="1" customHeight="1" x14ac:dyDescent="0.25">
      <c r="B320" s="243"/>
      <c r="C320" s="243"/>
      <c r="D320" s="243"/>
    </row>
    <row r="321" spans="2:4" ht="11.45" hidden="1" customHeight="1" x14ac:dyDescent="0.25">
      <c r="B321" s="243"/>
      <c r="C321" s="243"/>
      <c r="D321" s="243"/>
    </row>
    <row r="322" spans="2:4" ht="11.45" hidden="1" customHeight="1" x14ac:dyDescent="0.25">
      <c r="B322" s="243"/>
      <c r="C322" s="243"/>
      <c r="D322" s="243"/>
    </row>
    <row r="323" spans="2:4" ht="11.45" hidden="1" customHeight="1" x14ac:dyDescent="0.25">
      <c r="B323" s="243"/>
      <c r="C323" s="243"/>
      <c r="D323" s="243"/>
    </row>
    <row r="324" spans="2:4" ht="11.45" hidden="1" customHeight="1" x14ac:dyDescent="0.25">
      <c r="B324" s="243"/>
      <c r="C324" s="243"/>
      <c r="D324" s="243"/>
    </row>
    <row r="325" spans="2:4" ht="11.45" hidden="1" customHeight="1" x14ac:dyDescent="0.25">
      <c r="B325" s="243"/>
      <c r="C325" s="243"/>
      <c r="D325" s="243"/>
    </row>
    <row r="326" spans="2:4" ht="11.45" hidden="1" customHeight="1" x14ac:dyDescent="0.25">
      <c r="B326" s="243"/>
      <c r="C326" s="243"/>
      <c r="D326" s="243"/>
    </row>
    <row r="327" spans="2:4" ht="11.45" hidden="1" customHeight="1" x14ac:dyDescent="0.25">
      <c r="B327" s="243"/>
      <c r="C327" s="243"/>
      <c r="D327" s="243"/>
    </row>
    <row r="328" spans="2:4" ht="11.45" hidden="1" customHeight="1" x14ac:dyDescent="0.25">
      <c r="B328" s="243"/>
      <c r="C328" s="243"/>
      <c r="D328" s="243"/>
    </row>
    <row r="329" spans="2:4" ht="11.45" hidden="1" customHeight="1" x14ac:dyDescent="0.25">
      <c r="B329" s="243"/>
      <c r="C329" s="243"/>
      <c r="D329" s="243"/>
    </row>
    <row r="330" spans="2:4" ht="11.45" hidden="1" customHeight="1" x14ac:dyDescent="0.25">
      <c r="B330" s="243"/>
      <c r="C330" s="243"/>
      <c r="D330" s="243"/>
    </row>
    <row r="331" spans="2:4" ht="11.45" hidden="1" customHeight="1" x14ac:dyDescent="0.25">
      <c r="B331" s="243"/>
      <c r="C331" s="243"/>
      <c r="D331" s="243"/>
    </row>
    <row r="332" spans="2:4" ht="11.45" hidden="1" customHeight="1" x14ac:dyDescent="0.25">
      <c r="B332" s="243"/>
      <c r="C332" s="243"/>
      <c r="D332" s="243"/>
    </row>
    <row r="333" spans="2:4" ht="11.45" hidden="1" customHeight="1" x14ac:dyDescent="0.25">
      <c r="B333" s="243"/>
      <c r="C333" s="243"/>
      <c r="D333" s="243"/>
    </row>
    <row r="334" spans="2:4" ht="11.45" hidden="1" customHeight="1" x14ac:dyDescent="0.25">
      <c r="B334" s="243"/>
      <c r="C334" s="243"/>
      <c r="D334" s="243"/>
    </row>
    <row r="335" spans="2:4" ht="11.45" hidden="1" customHeight="1" x14ac:dyDescent="0.25">
      <c r="B335" s="243"/>
      <c r="C335" s="243"/>
      <c r="D335" s="243"/>
    </row>
    <row r="336" spans="2:4" ht="11.45" hidden="1" customHeight="1" x14ac:dyDescent="0.25">
      <c r="B336" s="243"/>
      <c r="C336" s="243"/>
      <c r="D336" s="243"/>
    </row>
    <row r="337" spans="2:4" ht="11.45" hidden="1" customHeight="1" x14ac:dyDescent="0.25">
      <c r="B337" s="243"/>
      <c r="C337" s="243"/>
      <c r="D337" s="243"/>
    </row>
    <row r="338" spans="2:4" ht="11.45" hidden="1" customHeight="1" x14ac:dyDescent="0.25">
      <c r="B338" s="243"/>
      <c r="C338" s="243"/>
      <c r="D338" s="243"/>
    </row>
    <row r="339" spans="2:4" ht="11.45" hidden="1" customHeight="1" x14ac:dyDescent="0.25">
      <c r="B339" s="243"/>
      <c r="C339" s="243"/>
      <c r="D339" s="243"/>
    </row>
    <row r="340" spans="2:4" ht="11.45" hidden="1" customHeight="1" x14ac:dyDescent="0.25">
      <c r="B340" s="243"/>
      <c r="C340" s="243"/>
      <c r="D340" s="243"/>
    </row>
    <row r="341" spans="2:4" ht="11.45" hidden="1" customHeight="1" x14ac:dyDescent="0.25">
      <c r="B341" s="243"/>
      <c r="C341" s="243"/>
      <c r="D341" s="243"/>
    </row>
    <row r="342" spans="2:4" ht="11.45" hidden="1" customHeight="1" x14ac:dyDescent="0.25">
      <c r="B342" s="243"/>
      <c r="C342" s="243"/>
      <c r="D342" s="243"/>
    </row>
    <row r="343" spans="2:4" ht="11.45" hidden="1" customHeight="1" x14ac:dyDescent="0.25">
      <c r="B343" s="243"/>
      <c r="C343" s="243"/>
      <c r="D343" s="243"/>
    </row>
    <row r="344" spans="2:4" ht="11.45" hidden="1" customHeight="1" x14ac:dyDescent="0.25">
      <c r="B344" s="243"/>
      <c r="C344" s="243"/>
      <c r="D344" s="243"/>
    </row>
    <row r="345" spans="2:4" ht="11.45" hidden="1" customHeight="1" x14ac:dyDescent="0.25">
      <c r="B345" s="243"/>
      <c r="C345" s="243"/>
      <c r="D345" s="243"/>
    </row>
    <row r="346" spans="2:4" ht="11.45" hidden="1" customHeight="1" x14ac:dyDescent="0.25">
      <c r="B346" s="243"/>
      <c r="C346" s="243"/>
      <c r="D346" s="243"/>
    </row>
    <row r="347" spans="2:4" ht="11.45" hidden="1" customHeight="1" x14ac:dyDescent="0.25">
      <c r="B347" s="243"/>
      <c r="C347" s="243"/>
      <c r="D347" s="243"/>
    </row>
    <row r="348" spans="2:4" ht="11.45" hidden="1" customHeight="1" x14ac:dyDescent="0.25">
      <c r="B348" s="243"/>
      <c r="C348" s="243"/>
      <c r="D348" s="243"/>
    </row>
    <row r="349" spans="2:4" ht="11.45" hidden="1" customHeight="1" x14ac:dyDescent="0.25">
      <c r="B349" s="243"/>
      <c r="C349" s="243"/>
      <c r="D349" s="243"/>
    </row>
    <row r="350" spans="2:4" ht="11.45" hidden="1" customHeight="1" x14ac:dyDescent="0.25">
      <c r="B350" s="243"/>
      <c r="C350" s="243"/>
      <c r="D350" s="243"/>
    </row>
    <row r="351" spans="2:4" ht="11.45" hidden="1" customHeight="1" x14ac:dyDescent="0.25">
      <c r="B351" s="243"/>
      <c r="C351" s="243"/>
      <c r="D351" s="243"/>
    </row>
    <row r="352" spans="2:4" ht="11.45" hidden="1" customHeight="1" x14ac:dyDescent="0.25">
      <c r="B352" s="243"/>
      <c r="C352" s="243"/>
      <c r="D352" s="243"/>
    </row>
    <row r="353" spans="2:4" ht="11.45" hidden="1" customHeight="1" x14ac:dyDescent="0.25">
      <c r="B353" s="243"/>
      <c r="C353" s="243"/>
      <c r="D353" s="243"/>
    </row>
    <row r="354" spans="2:4" ht="11.45" hidden="1" customHeight="1" x14ac:dyDescent="0.25">
      <c r="B354" s="243"/>
      <c r="C354" s="243"/>
      <c r="D354" s="243"/>
    </row>
    <row r="355" spans="2:4" ht="11.45" hidden="1" customHeight="1" x14ac:dyDescent="0.25">
      <c r="B355" s="243"/>
      <c r="C355" s="243"/>
      <c r="D355" s="243"/>
    </row>
    <row r="356" spans="2:4" ht="11.45" hidden="1" customHeight="1" x14ac:dyDescent="0.25">
      <c r="B356" s="243"/>
      <c r="C356" s="243"/>
      <c r="D356" s="243"/>
    </row>
    <row r="357" spans="2:4" ht="11.45" hidden="1" customHeight="1" x14ac:dyDescent="0.25">
      <c r="B357" s="243"/>
      <c r="C357" s="243"/>
      <c r="D357" s="243"/>
    </row>
    <row r="358" spans="2:4" ht="11.45" hidden="1" customHeight="1" x14ac:dyDescent="0.25">
      <c r="B358" s="243"/>
      <c r="C358" s="243"/>
      <c r="D358" s="243"/>
    </row>
    <row r="359" spans="2:4" ht="11.45" hidden="1" customHeight="1" x14ac:dyDescent="0.25">
      <c r="B359" s="243"/>
      <c r="C359" s="243"/>
      <c r="D359" s="243"/>
    </row>
    <row r="360" spans="2:4" ht="11.45" hidden="1" customHeight="1" x14ac:dyDescent="0.25">
      <c r="B360" s="243"/>
      <c r="C360" s="243"/>
      <c r="D360" s="243"/>
    </row>
    <row r="361" spans="2:4" ht="11.45" hidden="1" customHeight="1" x14ac:dyDescent="0.25">
      <c r="B361" s="243"/>
      <c r="C361" s="243"/>
      <c r="D361" s="243"/>
    </row>
    <row r="362" spans="2:4" ht="11.45" hidden="1" customHeight="1" x14ac:dyDescent="0.25">
      <c r="B362" s="243"/>
      <c r="C362" s="243"/>
      <c r="D362" s="243"/>
    </row>
    <row r="363" spans="2:4" ht="11.45" hidden="1" customHeight="1" x14ac:dyDescent="0.25">
      <c r="B363" s="243"/>
      <c r="C363" s="243"/>
      <c r="D363" s="243"/>
    </row>
    <row r="364" spans="2:4" ht="11.45" hidden="1" customHeight="1" x14ac:dyDescent="0.25">
      <c r="B364" s="243"/>
      <c r="C364" s="243"/>
      <c r="D364" s="243"/>
    </row>
    <row r="365" spans="2:4" ht="11.45" hidden="1" customHeight="1" x14ac:dyDescent="0.25">
      <c r="B365" s="243"/>
      <c r="C365" s="243"/>
      <c r="D365" s="243"/>
    </row>
    <row r="366" spans="2:4" ht="11.45" hidden="1" customHeight="1" x14ac:dyDescent="0.25">
      <c r="B366" s="243"/>
      <c r="C366" s="243"/>
      <c r="D366" s="243"/>
    </row>
    <row r="367" spans="2:4" ht="11.45" hidden="1" customHeight="1" x14ac:dyDescent="0.25">
      <c r="B367" s="243"/>
      <c r="C367" s="243"/>
      <c r="D367" s="243"/>
    </row>
    <row r="368" spans="2:4" ht="11.45" hidden="1" customHeight="1" x14ac:dyDescent="0.25">
      <c r="B368" s="243"/>
      <c r="C368" s="243"/>
      <c r="D368" s="243"/>
    </row>
    <row r="369" spans="2:4" ht="11.45" hidden="1" customHeight="1" x14ac:dyDescent="0.25">
      <c r="B369" s="243"/>
      <c r="C369" s="243"/>
      <c r="D369" s="243"/>
    </row>
    <row r="370" spans="2:4" ht="11.45" hidden="1" customHeight="1" x14ac:dyDescent="0.25">
      <c r="B370" s="243"/>
      <c r="C370" s="243"/>
      <c r="D370" s="243"/>
    </row>
    <row r="371" spans="2:4" ht="11.45" hidden="1" customHeight="1" x14ac:dyDescent="0.25">
      <c r="B371" s="243"/>
      <c r="C371" s="243"/>
      <c r="D371" s="243"/>
    </row>
    <row r="372" spans="2:4" ht="11.45" hidden="1" customHeight="1" x14ac:dyDescent="0.25">
      <c r="B372" s="243"/>
      <c r="C372" s="243"/>
      <c r="D372" s="243"/>
    </row>
    <row r="373" spans="2:4" ht="11.45" hidden="1" customHeight="1" x14ac:dyDescent="0.25">
      <c r="B373" s="243"/>
      <c r="C373" s="243"/>
      <c r="D373" s="243"/>
    </row>
    <row r="374" spans="2:4" ht="11.45" hidden="1" customHeight="1" x14ac:dyDescent="0.25">
      <c r="B374" s="243"/>
      <c r="C374" s="243"/>
      <c r="D374" s="243"/>
    </row>
    <row r="375" spans="2:4" ht="11.45" hidden="1" customHeight="1" x14ac:dyDescent="0.25">
      <c r="B375" s="243"/>
      <c r="C375" s="243"/>
      <c r="D375" s="243"/>
    </row>
    <row r="376" spans="2:4" ht="11.45" hidden="1" customHeight="1" x14ac:dyDescent="0.25">
      <c r="B376" s="243"/>
      <c r="C376" s="243"/>
      <c r="D376" s="243"/>
    </row>
    <row r="377" spans="2:4" ht="11.45" hidden="1" customHeight="1" x14ac:dyDescent="0.25">
      <c r="B377" s="243"/>
      <c r="C377" s="243"/>
      <c r="D377" s="243"/>
    </row>
    <row r="378" spans="2:4" ht="11.45" hidden="1" customHeight="1" x14ac:dyDescent="0.25">
      <c r="B378" s="243"/>
      <c r="C378" s="243"/>
      <c r="D378" s="243"/>
    </row>
    <row r="379" spans="2:4" ht="11.45" hidden="1" customHeight="1" x14ac:dyDescent="0.25">
      <c r="B379" s="243"/>
      <c r="C379" s="243"/>
      <c r="D379" s="243"/>
    </row>
    <row r="380" spans="2:4" ht="11.45" hidden="1" customHeight="1" x14ac:dyDescent="0.25">
      <c r="B380" s="243"/>
      <c r="C380" s="243"/>
      <c r="D380" s="243"/>
    </row>
    <row r="381" spans="2:4" ht="11.45" hidden="1" customHeight="1" x14ac:dyDescent="0.25">
      <c r="B381" s="243"/>
      <c r="C381" s="243"/>
      <c r="D381" s="243"/>
    </row>
    <row r="382" spans="2:4" ht="11.45" hidden="1" customHeight="1" x14ac:dyDescent="0.25">
      <c r="B382" s="243"/>
      <c r="C382" s="243"/>
      <c r="D382" s="243"/>
    </row>
    <row r="383" spans="2:4" ht="11.45" hidden="1" customHeight="1" x14ac:dyDescent="0.25">
      <c r="B383" s="243"/>
      <c r="C383" s="243"/>
      <c r="D383" s="243"/>
    </row>
    <row r="384" spans="2:4" ht="11.45" hidden="1" customHeight="1" x14ac:dyDescent="0.25">
      <c r="B384" s="243"/>
      <c r="C384" s="243"/>
      <c r="D384" s="243"/>
    </row>
    <row r="385" spans="2:4" ht="11.45" hidden="1" customHeight="1" x14ac:dyDescent="0.25">
      <c r="B385" s="243"/>
      <c r="C385" s="243"/>
      <c r="D385" s="243"/>
    </row>
    <row r="386" spans="2:4" ht="11.45" hidden="1" customHeight="1" x14ac:dyDescent="0.25">
      <c r="B386" s="243"/>
      <c r="C386" s="243"/>
      <c r="D386" s="243"/>
    </row>
    <row r="387" spans="2:4" ht="11.45" hidden="1" customHeight="1" x14ac:dyDescent="0.25">
      <c r="B387" s="243"/>
      <c r="C387" s="243"/>
      <c r="D387" s="243"/>
    </row>
    <row r="388" spans="2:4" ht="11.45" hidden="1" customHeight="1" x14ac:dyDescent="0.25">
      <c r="B388" s="243"/>
      <c r="C388" s="243"/>
      <c r="D388" s="243"/>
    </row>
    <row r="389" spans="2:4" ht="11.45" hidden="1" customHeight="1" x14ac:dyDescent="0.25">
      <c r="B389" s="243"/>
      <c r="C389" s="243"/>
      <c r="D389" s="243"/>
    </row>
    <row r="390" spans="2:4" ht="11.45" hidden="1" customHeight="1" x14ac:dyDescent="0.25">
      <c r="B390" s="243"/>
      <c r="C390" s="243"/>
      <c r="D390" s="243"/>
    </row>
    <row r="391" spans="2:4" ht="11.45" hidden="1" customHeight="1" x14ac:dyDescent="0.25">
      <c r="B391" s="243"/>
      <c r="C391" s="243"/>
      <c r="D391" s="243"/>
    </row>
    <row r="392" spans="2:4" ht="11.45" hidden="1" customHeight="1" x14ac:dyDescent="0.25">
      <c r="B392" s="243"/>
      <c r="C392" s="243"/>
      <c r="D392" s="243"/>
    </row>
    <row r="393" spans="2:4" ht="11.45" hidden="1" customHeight="1" x14ac:dyDescent="0.25">
      <c r="B393" s="243"/>
      <c r="C393" s="243"/>
      <c r="D393" s="243"/>
    </row>
    <row r="394" spans="2:4" ht="11.45" hidden="1" customHeight="1" x14ac:dyDescent="0.25">
      <c r="B394" s="243"/>
      <c r="C394" s="243"/>
      <c r="D394" s="243"/>
    </row>
    <row r="395" spans="2:4" ht="11.45" hidden="1" customHeight="1" x14ac:dyDescent="0.25">
      <c r="B395" s="243"/>
      <c r="C395" s="243"/>
      <c r="D395" s="243"/>
    </row>
    <row r="396" spans="2:4" ht="11.45" hidden="1" customHeight="1" x14ac:dyDescent="0.25">
      <c r="B396" s="243"/>
      <c r="C396" s="243"/>
      <c r="D396" s="243"/>
    </row>
    <row r="397" spans="2:4" ht="11.45" hidden="1" customHeight="1" x14ac:dyDescent="0.25">
      <c r="B397" s="243"/>
      <c r="C397" s="243"/>
      <c r="D397" s="243"/>
    </row>
    <row r="398" spans="2:4" ht="11.45" hidden="1" customHeight="1" x14ac:dyDescent="0.25">
      <c r="B398" s="243"/>
      <c r="C398" s="243"/>
      <c r="D398" s="243"/>
    </row>
    <row r="399" spans="2:4" ht="11.45" hidden="1" customHeight="1" x14ac:dyDescent="0.25">
      <c r="B399" s="243"/>
      <c r="C399" s="243"/>
      <c r="D399" s="243"/>
    </row>
    <row r="400" spans="2:4" ht="11.45" hidden="1" customHeight="1" x14ac:dyDescent="0.25">
      <c r="B400" s="243"/>
      <c r="C400" s="243"/>
      <c r="D400" s="243"/>
    </row>
    <row r="401" spans="2:4" ht="11.45" hidden="1" customHeight="1" x14ac:dyDescent="0.25">
      <c r="B401" s="243"/>
      <c r="C401" s="243"/>
      <c r="D401" s="243"/>
    </row>
    <row r="402" spans="2:4" ht="11.45" hidden="1" customHeight="1" x14ac:dyDescent="0.25">
      <c r="B402" s="243"/>
      <c r="C402" s="243"/>
      <c r="D402" s="243"/>
    </row>
    <row r="403" spans="2:4" ht="11.45" hidden="1" customHeight="1" x14ac:dyDescent="0.25">
      <c r="B403" s="243"/>
      <c r="C403" s="243"/>
      <c r="D403" s="243"/>
    </row>
    <row r="404" spans="2:4" ht="11.45" hidden="1" customHeight="1" x14ac:dyDescent="0.25">
      <c r="B404" s="243"/>
      <c r="C404" s="243"/>
      <c r="D404" s="243"/>
    </row>
    <row r="405" spans="2:4" ht="11.45" hidden="1" customHeight="1" x14ac:dyDescent="0.25">
      <c r="B405" s="243"/>
      <c r="C405" s="243"/>
      <c r="D405" s="243"/>
    </row>
    <row r="406" spans="2:4" ht="11.45" hidden="1" customHeight="1" x14ac:dyDescent="0.25">
      <c r="B406" s="243"/>
      <c r="C406" s="243"/>
      <c r="D406" s="243"/>
    </row>
    <row r="407" spans="2:4" ht="11.45" hidden="1" customHeight="1" x14ac:dyDescent="0.25">
      <c r="B407" s="243"/>
      <c r="C407" s="243"/>
      <c r="D407" s="243"/>
    </row>
    <row r="408" spans="2:4" ht="11.45" hidden="1" customHeight="1" x14ac:dyDescent="0.25">
      <c r="B408" s="243"/>
      <c r="C408" s="243"/>
      <c r="D408" s="243"/>
    </row>
    <row r="409" spans="2:4" ht="11.45" hidden="1" customHeight="1" x14ac:dyDescent="0.25">
      <c r="B409" s="243"/>
      <c r="C409" s="243"/>
      <c r="D409" s="243"/>
    </row>
    <row r="410" spans="2:4" ht="11.45" hidden="1" customHeight="1" x14ac:dyDescent="0.25">
      <c r="B410" s="243"/>
      <c r="C410" s="243"/>
      <c r="D410" s="243"/>
    </row>
    <row r="411" spans="2:4" ht="11.45" hidden="1" customHeight="1" x14ac:dyDescent="0.25">
      <c r="B411" s="243"/>
      <c r="C411" s="243"/>
      <c r="D411" s="243"/>
    </row>
    <row r="412" spans="2:4" ht="11.45" hidden="1" customHeight="1" x14ac:dyDescent="0.25">
      <c r="B412" s="243"/>
      <c r="C412" s="243"/>
      <c r="D412" s="243"/>
    </row>
    <row r="413" spans="2:4" ht="11.45" hidden="1" customHeight="1" x14ac:dyDescent="0.25">
      <c r="B413" s="243"/>
      <c r="C413" s="243"/>
      <c r="D413" s="243"/>
    </row>
    <row r="414" spans="2:4" ht="11.45" hidden="1" customHeight="1" x14ac:dyDescent="0.25">
      <c r="B414" s="243"/>
      <c r="C414" s="243"/>
      <c r="D414" s="243"/>
    </row>
    <row r="415" spans="2:4" ht="11.45" hidden="1" customHeight="1" x14ac:dyDescent="0.25">
      <c r="B415" s="243"/>
      <c r="C415" s="243"/>
      <c r="D415" s="243"/>
    </row>
    <row r="416" spans="2:4" ht="11.45" hidden="1" customHeight="1" x14ac:dyDescent="0.25">
      <c r="B416" s="243"/>
      <c r="C416" s="243"/>
      <c r="D416" s="243"/>
    </row>
    <row r="417" spans="2:4" ht="11.45" hidden="1" customHeight="1" x14ac:dyDescent="0.25">
      <c r="B417" s="243"/>
      <c r="C417" s="243"/>
      <c r="D417" s="243"/>
    </row>
    <row r="418" spans="2:4" ht="11.45" hidden="1" customHeight="1" x14ac:dyDescent="0.25">
      <c r="B418" s="243"/>
      <c r="C418" s="243"/>
      <c r="D418" s="243"/>
    </row>
    <row r="419" spans="2:4" ht="11.45" hidden="1" customHeight="1" x14ac:dyDescent="0.25">
      <c r="B419" s="243"/>
      <c r="C419" s="243"/>
      <c r="D419" s="243"/>
    </row>
    <row r="420" spans="2:4" ht="11.45" hidden="1" customHeight="1" x14ac:dyDescent="0.25">
      <c r="B420" s="243"/>
      <c r="C420" s="243"/>
      <c r="D420" s="243"/>
    </row>
    <row r="421" spans="2:4" ht="11.45" hidden="1" customHeight="1" x14ac:dyDescent="0.25">
      <c r="B421" s="243"/>
      <c r="C421" s="243"/>
      <c r="D421" s="243"/>
    </row>
    <row r="422" spans="2:4" ht="11.45" hidden="1" customHeight="1" x14ac:dyDescent="0.25">
      <c r="B422" s="243"/>
      <c r="C422" s="243"/>
      <c r="D422" s="243"/>
    </row>
    <row r="423" spans="2:4" ht="11.45" hidden="1" customHeight="1" x14ac:dyDescent="0.25">
      <c r="B423" s="243"/>
      <c r="C423" s="243"/>
      <c r="D423" s="243"/>
    </row>
    <row r="424" spans="2:4" ht="11.45" hidden="1" customHeight="1" x14ac:dyDescent="0.25">
      <c r="B424" s="243"/>
      <c r="C424" s="243"/>
      <c r="D424" s="243"/>
    </row>
    <row r="425" spans="2:4" ht="11.45" hidden="1" customHeight="1" x14ac:dyDescent="0.25">
      <c r="B425" s="243"/>
      <c r="C425" s="243"/>
      <c r="D425" s="243"/>
    </row>
    <row r="426" spans="2:4" ht="11.45" hidden="1" customHeight="1" x14ac:dyDescent="0.25">
      <c r="B426" s="243"/>
      <c r="C426" s="243"/>
      <c r="D426" s="243"/>
    </row>
    <row r="427" spans="2:4" ht="11.45" hidden="1" customHeight="1" x14ac:dyDescent="0.25">
      <c r="B427" s="243"/>
      <c r="C427" s="243"/>
      <c r="D427" s="243"/>
    </row>
    <row r="428" spans="2:4" ht="11.45" hidden="1" customHeight="1" x14ac:dyDescent="0.25">
      <c r="B428" s="243"/>
      <c r="C428" s="243"/>
      <c r="D428" s="243"/>
    </row>
    <row r="429" spans="2:4" ht="11.45" hidden="1" customHeight="1" x14ac:dyDescent="0.25">
      <c r="B429" s="243"/>
      <c r="C429" s="243"/>
      <c r="D429" s="243"/>
    </row>
    <row r="430" spans="2:4" ht="11.45" hidden="1" customHeight="1" x14ac:dyDescent="0.25">
      <c r="B430" s="243"/>
      <c r="C430" s="243"/>
      <c r="D430" s="243"/>
    </row>
    <row r="431" spans="2:4" ht="11.45" hidden="1" customHeight="1" x14ac:dyDescent="0.25">
      <c r="B431" s="243"/>
      <c r="C431" s="243"/>
      <c r="D431" s="243"/>
    </row>
    <row r="432" spans="2:4" ht="11.45" hidden="1" customHeight="1" x14ac:dyDescent="0.25">
      <c r="B432" s="243"/>
      <c r="C432" s="243"/>
      <c r="D432" s="243"/>
    </row>
    <row r="433" spans="2:4" ht="11.45" hidden="1" customHeight="1" x14ac:dyDescent="0.25">
      <c r="B433" s="243"/>
      <c r="C433" s="243"/>
      <c r="D433" s="243"/>
    </row>
    <row r="434" spans="2:4" ht="11.45" hidden="1" customHeight="1" x14ac:dyDescent="0.25">
      <c r="B434" s="243"/>
      <c r="C434" s="243"/>
      <c r="D434" s="243"/>
    </row>
    <row r="435" spans="2:4" ht="11.45" hidden="1" customHeight="1" x14ac:dyDescent="0.25">
      <c r="B435" s="243"/>
      <c r="C435" s="243"/>
      <c r="D435" s="243"/>
    </row>
    <row r="436" spans="2:4" ht="11.45" hidden="1" customHeight="1" x14ac:dyDescent="0.25">
      <c r="B436" s="243"/>
      <c r="C436" s="243"/>
      <c r="D436" s="243"/>
    </row>
    <row r="437" spans="2:4" ht="11.45" hidden="1" customHeight="1" x14ac:dyDescent="0.25">
      <c r="B437" s="243"/>
      <c r="C437" s="243"/>
      <c r="D437" s="243"/>
    </row>
    <row r="438" spans="2:4" ht="11.45" hidden="1" customHeight="1" x14ac:dyDescent="0.25">
      <c r="B438" s="243"/>
      <c r="C438" s="243"/>
      <c r="D438" s="243"/>
    </row>
    <row r="439" spans="2:4" ht="11.45" hidden="1" customHeight="1" x14ac:dyDescent="0.25">
      <c r="B439" s="243"/>
      <c r="C439" s="243"/>
      <c r="D439" s="243"/>
    </row>
    <row r="440" spans="2:4" ht="11.45" hidden="1" customHeight="1" x14ac:dyDescent="0.25">
      <c r="B440" s="243"/>
      <c r="C440" s="243"/>
      <c r="D440" s="243"/>
    </row>
    <row r="441" spans="2:4" ht="11.45" hidden="1" customHeight="1" x14ac:dyDescent="0.25">
      <c r="B441" s="243"/>
      <c r="C441" s="243"/>
      <c r="D441" s="243"/>
    </row>
    <row r="442" spans="2:4" ht="11.45" hidden="1" customHeight="1" x14ac:dyDescent="0.25">
      <c r="B442" s="243"/>
      <c r="C442" s="243"/>
      <c r="D442" s="243"/>
    </row>
    <row r="443" spans="2:4" ht="11.45" hidden="1" customHeight="1" x14ac:dyDescent="0.25">
      <c r="B443" s="243"/>
      <c r="C443" s="243"/>
      <c r="D443" s="243"/>
    </row>
    <row r="444" spans="2:4" ht="11.45" hidden="1" customHeight="1" x14ac:dyDescent="0.25">
      <c r="B444" s="243"/>
      <c r="C444" s="243"/>
      <c r="D444" s="243"/>
    </row>
    <row r="445" spans="2:4" ht="11.45" hidden="1" customHeight="1" x14ac:dyDescent="0.25">
      <c r="B445" s="243"/>
      <c r="C445" s="243"/>
      <c r="D445" s="243"/>
    </row>
    <row r="446" spans="2:4" ht="11.45" hidden="1" customHeight="1" x14ac:dyDescent="0.25">
      <c r="B446" s="243"/>
      <c r="C446" s="243"/>
      <c r="D446" s="243"/>
    </row>
    <row r="447" spans="2:4" ht="11.45" hidden="1" customHeight="1" x14ac:dyDescent="0.25">
      <c r="B447" s="243"/>
      <c r="C447" s="243"/>
      <c r="D447" s="243"/>
    </row>
    <row r="448" spans="2:4" ht="11.45" hidden="1" customHeight="1" x14ac:dyDescent="0.25">
      <c r="B448" s="243"/>
      <c r="C448" s="243"/>
      <c r="D448" s="243"/>
    </row>
    <row r="449" spans="2:4" ht="11.45" hidden="1" customHeight="1" x14ac:dyDescent="0.25">
      <c r="B449" s="243"/>
      <c r="C449" s="243"/>
      <c r="D449" s="243"/>
    </row>
    <row r="450" spans="2:4" ht="11.45" hidden="1" customHeight="1" x14ac:dyDescent="0.25">
      <c r="B450" s="243"/>
      <c r="C450" s="243"/>
      <c r="D450" s="243"/>
    </row>
    <row r="451" spans="2:4" ht="11.45" hidden="1" customHeight="1" x14ac:dyDescent="0.25">
      <c r="B451" s="243"/>
      <c r="C451" s="243"/>
      <c r="D451" s="243"/>
    </row>
    <row r="452" spans="2:4" ht="11.45" hidden="1" customHeight="1" x14ac:dyDescent="0.25">
      <c r="B452" s="243"/>
      <c r="C452" s="243"/>
      <c r="D452" s="243"/>
    </row>
    <row r="453" spans="2:4" ht="11.45" hidden="1" customHeight="1" x14ac:dyDescent="0.25">
      <c r="B453" s="243"/>
      <c r="C453" s="243"/>
      <c r="D453" s="243"/>
    </row>
    <row r="454" spans="2:4" ht="11.45" hidden="1" customHeight="1" x14ac:dyDescent="0.25">
      <c r="B454" s="243"/>
      <c r="C454" s="243"/>
      <c r="D454" s="243"/>
    </row>
    <row r="455" spans="2:4" ht="11.45" hidden="1" customHeight="1" x14ac:dyDescent="0.25">
      <c r="B455" s="243"/>
      <c r="C455" s="243"/>
      <c r="D455" s="243"/>
    </row>
    <row r="456" spans="2:4" ht="11.45" hidden="1" customHeight="1" x14ac:dyDescent="0.25">
      <c r="B456" s="243"/>
      <c r="C456" s="243"/>
      <c r="D456" s="243"/>
    </row>
    <row r="457" spans="2:4" ht="11.45" hidden="1" customHeight="1" x14ac:dyDescent="0.25">
      <c r="B457" s="243"/>
      <c r="C457" s="243"/>
      <c r="D457" s="243"/>
    </row>
    <row r="458" spans="2:4" ht="11.45" hidden="1" customHeight="1" x14ac:dyDescent="0.25">
      <c r="B458" s="243"/>
      <c r="C458" s="243"/>
      <c r="D458" s="243"/>
    </row>
    <row r="459" spans="2:4" ht="11.45" hidden="1" customHeight="1" x14ac:dyDescent="0.25">
      <c r="B459" s="243"/>
      <c r="C459" s="243"/>
      <c r="D459" s="243"/>
    </row>
    <row r="460" spans="2:4" ht="11.45" hidden="1" customHeight="1" x14ac:dyDescent="0.25">
      <c r="B460" s="243"/>
      <c r="C460" s="243"/>
      <c r="D460" s="243"/>
    </row>
    <row r="461" spans="2:4" ht="11.45" hidden="1" customHeight="1" x14ac:dyDescent="0.25">
      <c r="B461" s="243"/>
      <c r="C461" s="243"/>
      <c r="D461" s="243"/>
    </row>
    <row r="462" spans="2:4" ht="11.45" hidden="1" customHeight="1" x14ac:dyDescent="0.25">
      <c r="B462" s="243"/>
      <c r="C462" s="243"/>
      <c r="D462" s="243"/>
    </row>
    <row r="463" spans="2:4" ht="11.45" hidden="1" customHeight="1" x14ac:dyDescent="0.25">
      <c r="B463" s="243"/>
      <c r="C463" s="243"/>
      <c r="D463" s="243"/>
    </row>
    <row r="464" spans="2:4" ht="11.45" hidden="1" customHeight="1" x14ac:dyDescent="0.25">
      <c r="B464" s="243"/>
      <c r="C464" s="243"/>
      <c r="D464" s="243"/>
    </row>
    <row r="465" spans="2:4" ht="11.45" hidden="1" customHeight="1" x14ac:dyDescent="0.25">
      <c r="B465" s="243"/>
      <c r="C465" s="243"/>
      <c r="D465" s="243"/>
    </row>
    <row r="466" spans="2:4" ht="11.45" hidden="1" customHeight="1" x14ac:dyDescent="0.25">
      <c r="B466" s="243"/>
      <c r="C466" s="243"/>
      <c r="D466" s="243"/>
    </row>
    <row r="467" spans="2:4" ht="11.45" hidden="1" customHeight="1" x14ac:dyDescent="0.25">
      <c r="B467" s="243"/>
      <c r="C467" s="243"/>
      <c r="D467" s="243"/>
    </row>
    <row r="468" spans="2:4" ht="11.45" hidden="1" customHeight="1" x14ac:dyDescent="0.25">
      <c r="B468" s="243"/>
      <c r="C468" s="243"/>
      <c r="D468" s="243"/>
    </row>
    <row r="469" spans="2:4" ht="11.45" hidden="1" customHeight="1" x14ac:dyDescent="0.25">
      <c r="B469" s="243"/>
      <c r="C469" s="243"/>
      <c r="D469" s="243"/>
    </row>
    <row r="470" spans="2:4" ht="11.45" hidden="1" customHeight="1" x14ac:dyDescent="0.25">
      <c r="B470" s="243"/>
      <c r="C470" s="243"/>
      <c r="D470" s="243"/>
    </row>
    <row r="471" spans="2:4" ht="11.45" hidden="1" customHeight="1" x14ac:dyDescent="0.25">
      <c r="B471" s="243"/>
      <c r="C471" s="243"/>
      <c r="D471" s="243"/>
    </row>
    <row r="472" spans="2:4" ht="11.45" hidden="1" customHeight="1" x14ac:dyDescent="0.25">
      <c r="B472" s="243"/>
      <c r="C472" s="243"/>
      <c r="D472" s="243"/>
    </row>
    <row r="473" spans="2:4" ht="11.45" hidden="1" customHeight="1" x14ac:dyDescent="0.25">
      <c r="B473" s="243"/>
      <c r="C473" s="243"/>
      <c r="D473" s="243"/>
    </row>
    <row r="474" spans="2:4" ht="11.45" hidden="1" customHeight="1" x14ac:dyDescent="0.25">
      <c r="B474" s="243"/>
      <c r="C474" s="243"/>
      <c r="D474" s="243"/>
    </row>
    <row r="475" spans="2:4" ht="11.45" hidden="1" customHeight="1" x14ac:dyDescent="0.25">
      <c r="B475" s="243"/>
      <c r="C475" s="243"/>
      <c r="D475" s="243"/>
    </row>
    <row r="476" spans="2:4" ht="11.45" hidden="1" customHeight="1" x14ac:dyDescent="0.25">
      <c r="B476" s="243"/>
      <c r="C476" s="243"/>
      <c r="D476" s="243"/>
    </row>
    <row r="477" spans="2:4" ht="11.45" hidden="1" customHeight="1" x14ac:dyDescent="0.25">
      <c r="B477" s="243"/>
      <c r="C477" s="243"/>
      <c r="D477" s="243"/>
    </row>
    <row r="478" spans="2:4" ht="11.45" hidden="1" customHeight="1" x14ac:dyDescent="0.25">
      <c r="B478" s="243"/>
      <c r="C478" s="243"/>
      <c r="D478" s="243"/>
    </row>
    <row r="479" spans="2:4" ht="11.45" hidden="1" customHeight="1" x14ac:dyDescent="0.25">
      <c r="B479" s="243"/>
      <c r="C479" s="243"/>
      <c r="D479" s="243"/>
    </row>
    <row r="480" spans="2:4" ht="11.45" hidden="1" customHeight="1" x14ac:dyDescent="0.25">
      <c r="B480" s="243"/>
      <c r="C480" s="243"/>
      <c r="D480" s="243"/>
    </row>
    <row r="481" spans="2:4" ht="11.45" hidden="1" customHeight="1" x14ac:dyDescent="0.25">
      <c r="B481" s="243"/>
      <c r="C481" s="243"/>
      <c r="D481" s="243"/>
    </row>
    <row r="482" spans="2:4" ht="11.45" hidden="1" customHeight="1" x14ac:dyDescent="0.25">
      <c r="B482" s="243"/>
      <c r="C482" s="243"/>
      <c r="D482" s="243"/>
    </row>
    <row r="483" spans="2:4" ht="11.45" hidden="1" customHeight="1" x14ac:dyDescent="0.25">
      <c r="B483" s="243"/>
      <c r="C483" s="243"/>
      <c r="D483" s="243"/>
    </row>
    <row r="484" spans="2:4" ht="11.45" hidden="1" customHeight="1" x14ac:dyDescent="0.25">
      <c r="B484" s="243"/>
      <c r="C484" s="243"/>
      <c r="D484" s="243"/>
    </row>
    <row r="485" spans="2:4" ht="11.45" hidden="1" customHeight="1" x14ac:dyDescent="0.25">
      <c r="B485" s="243"/>
      <c r="C485" s="243"/>
      <c r="D485" s="243"/>
    </row>
    <row r="486" spans="2:4" ht="11.45" hidden="1" customHeight="1" x14ac:dyDescent="0.25">
      <c r="B486" s="243"/>
      <c r="C486" s="243"/>
      <c r="D486" s="243"/>
    </row>
    <row r="487" spans="2:4" ht="11.45" hidden="1" customHeight="1" x14ac:dyDescent="0.25">
      <c r="B487" s="243"/>
      <c r="C487" s="243"/>
      <c r="D487" s="243"/>
    </row>
    <row r="488" spans="2:4" ht="11.45" hidden="1" customHeight="1" x14ac:dyDescent="0.25">
      <c r="B488" s="243"/>
      <c r="C488" s="243"/>
      <c r="D488" s="243"/>
    </row>
    <row r="489" spans="2:4" ht="11.45" hidden="1" customHeight="1" x14ac:dyDescent="0.25">
      <c r="B489" s="243"/>
      <c r="C489" s="243"/>
      <c r="D489" s="243"/>
    </row>
    <row r="490" spans="2:4" ht="11.45" hidden="1" customHeight="1" x14ac:dyDescent="0.25">
      <c r="B490" s="243"/>
      <c r="C490" s="243"/>
      <c r="D490" s="243"/>
    </row>
    <row r="491" spans="2:4" ht="11.45" hidden="1" customHeight="1" x14ac:dyDescent="0.25">
      <c r="B491" s="243"/>
      <c r="C491" s="243"/>
      <c r="D491" s="243"/>
    </row>
    <row r="492" spans="2:4" ht="11.45" hidden="1" customHeight="1" x14ac:dyDescent="0.25">
      <c r="B492" s="243"/>
      <c r="C492" s="243"/>
      <c r="D492" s="243"/>
    </row>
    <row r="493" spans="2:4" ht="11.45" hidden="1" customHeight="1" x14ac:dyDescent="0.25">
      <c r="B493" s="243"/>
      <c r="C493" s="243"/>
      <c r="D493" s="243"/>
    </row>
    <row r="494" spans="2:4" ht="11.45" hidden="1" customHeight="1" x14ac:dyDescent="0.25">
      <c r="B494" s="243"/>
      <c r="C494" s="243"/>
      <c r="D494" s="243"/>
    </row>
    <row r="495" spans="2:4" ht="11.45" hidden="1" customHeight="1" x14ac:dyDescent="0.25">
      <c r="B495" s="243"/>
      <c r="C495" s="243"/>
      <c r="D495" s="243"/>
    </row>
    <row r="496" spans="2:4" ht="11.45" hidden="1" customHeight="1" x14ac:dyDescent="0.25">
      <c r="B496" s="243"/>
      <c r="C496" s="243"/>
      <c r="D496" s="243"/>
    </row>
    <row r="497" spans="2:4" ht="11.45" hidden="1" customHeight="1" x14ac:dyDescent="0.25">
      <c r="B497" s="243"/>
      <c r="C497" s="243"/>
      <c r="D497" s="243"/>
    </row>
    <row r="498" spans="2:4" ht="11.45" hidden="1" customHeight="1" x14ac:dyDescent="0.25">
      <c r="B498" s="243"/>
      <c r="C498" s="243"/>
      <c r="D498" s="243"/>
    </row>
    <row r="499" spans="2:4" ht="11.45" hidden="1" customHeight="1" x14ac:dyDescent="0.25">
      <c r="B499" s="243"/>
      <c r="C499" s="243"/>
      <c r="D499" s="243"/>
    </row>
    <row r="500" spans="2:4" ht="11.45" hidden="1" customHeight="1" x14ac:dyDescent="0.25">
      <c r="B500" s="243"/>
      <c r="C500" s="243"/>
      <c r="D500" s="243"/>
    </row>
    <row r="501" spans="2:4" ht="11.45" hidden="1" customHeight="1" x14ac:dyDescent="0.25">
      <c r="B501" s="243"/>
      <c r="C501" s="243"/>
      <c r="D501" s="243"/>
    </row>
    <row r="502" spans="2:4" ht="11.45" hidden="1" customHeight="1" x14ac:dyDescent="0.25">
      <c r="B502" s="243"/>
      <c r="C502" s="243"/>
      <c r="D502" s="243"/>
    </row>
    <row r="503" spans="2:4" ht="11.45" hidden="1" customHeight="1" x14ac:dyDescent="0.25">
      <c r="B503" s="243"/>
      <c r="C503" s="243"/>
      <c r="D503" s="243"/>
    </row>
    <row r="504" spans="2:4" ht="11.45" hidden="1" customHeight="1" x14ac:dyDescent="0.25">
      <c r="B504" s="243"/>
      <c r="C504" s="243"/>
      <c r="D504" s="243"/>
    </row>
    <row r="505" spans="2:4" ht="11.45" hidden="1" customHeight="1" x14ac:dyDescent="0.25">
      <c r="B505" s="243"/>
      <c r="C505" s="243"/>
      <c r="D505" s="243"/>
    </row>
    <row r="506" spans="2:4" ht="11.45" hidden="1" customHeight="1" x14ac:dyDescent="0.25">
      <c r="B506" s="243"/>
      <c r="C506" s="243"/>
      <c r="D506" s="243"/>
    </row>
    <row r="507" spans="2:4" ht="11.45" hidden="1" customHeight="1" x14ac:dyDescent="0.25">
      <c r="B507" s="243"/>
      <c r="C507" s="243"/>
      <c r="D507" s="243"/>
    </row>
    <row r="508" spans="2:4" ht="11.45" hidden="1" customHeight="1" x14ac:dyDescent="0.25">
      <c r="B508" s="243"/>
      <c r="C508" s="243"/>
      <c r="D508" s="243"/>
    </row>
    <row r="509" spans="2:4" ht="11.45" hidden="1" customHeight="1" x14ac:dyDescent="0.25">
      <c r="B509" s="243"/>
      <c r="C509" s="243"/>
      <c r="D509" s="243"/>
    </row>
    <row r="510" spans="2:4" ht="11.45" hidden="1" customHeight="1" x14ac:dyDescent="0.25">
      <c r="B510" s="243"/>
      <c r="C510" s="243"/>
      <c r="D510" s="243"/>
    </row>
    <row r="511" spans="2:4" ht="11.45" hidden="1" customHeight="1" x14ac:dyDescent="0.25">
      <c r="B511" s="243"/>
      <c r="C511" s="243"/>
      <c r="D511" s="243"/>
    </row>
    <row r="512" spans="2:4" ht="11.45" hidden="1" customHeight="1" x14ac:dyDescent="0.25">
      <c r="B512" s="243"/>
      <c r="C512" s="243"/>
      <c r="D512" s="243"/>
    </row>
    <row r="513" spans="2:4" ht="11.45" hidden="1" customHeight="1" x14ac:dyDescent="0.25">
      <c r="B513" s="243"/>
      <c r="C513" s="243"/>
      <c r="D513" s="243"/>
    </row>
    <row r="514" spans="2:4" ht="11.45" hidden="1" customHeight="1" x14ac:dyDescent="0.25">
      <c r="B514" s="243"/>
      <c r="C514" s="243"/>
      <c r="D514" s="243"/>
    </row>
    <row r="515" spans="2:4" ht="11.45" hidden="1" customHeight="1" x14ac:dyDescent="0.25">
      <c r="B515" s="243"/>
      <c r="C515" s="243"/>
      <c r="D515" s="243"/>
    </row>
    <row r="516" spans="2:4" ht="11.45" hidden="1" customHeight="1" x14ac:dyDescent="0.25">
      <c r="B516" s="243"/>
      <c r="C516" s="243"/>
      <c r="D516" s="243"/>
    </row>
    <row r="517" spans="2:4" ht="11.45" hidden="1" customHeight="1" x14ac:dyDescent="0.25">
      <c r="B517" s="243"/>
      <c r="C517" s="243"/>
      <c r="D517" s="243"/>
    </row>
    <row r="518" spans="2:4" ht="11.45" hidden="1" customHeight="1" x14ac:dyDescent="0.25">
      <c r="B518" s="243"/>
      <c r="C518" s="243"/>
      <c r="D518" s="243"/>
    </row>
    <row r="519" spans="2:4" ht="11.45" hidden="1" customHeight="1" x14ac:dyDescent="0.25">
      <c r="B519" s="243"/>
      <c r="C519" s="243"/>
      <c r="D519" s="243"/>
    </row>
    <row r="520" spans="2:4" ht="11.45" hidden="1" customHeight="1" x14ac:dyDescent="0.25">
      <c r="B520" s="243"/>
      <c r="C520" s="243"/>
      <c r="D520" s="243"/>
    </row>
    <row r="521" spans="2:4" ht="11.45" hidden="1" customHeight="1" x14ac:dyDescent="0.25">
      <c r="B521" s="243"/>
      <c r="C521" s="243"/>
      <c r="D521" s="243"/>
    </row>
    <row r="522" spans="2:4" ht="11.45" hidden="1" customHeight="1" x14ac:dyDescent="0.25">
      <c r="B522" s="243"/>
      <c r="C522" s="243"/>
      <c r="D522" s="243"/>
    </row>
    <row r="523" spans="2:4" ht="11.45" hidden="1" customHeight="1" x14ac:dyDescent="0.25">
      <c r="B523" s="243"/>
      <c r="C523" s="243"/>
      <c r="D523" s="243"/>
    </row>
    <row r="524" spans="2:4" ht="11.45" hidden="1" customHeight="1" x14ac:dyDescent="0.25">
      <c r="B524" s="243"/>
      <c r="C524" s="243"/>
      <c r="D524" s="243"/>
    </row>
    <row r="525" spans="2:4" ht="11.45" hidden="1" customHeight="1" x14ac:dyDescent="0.25">
      <c r="B525" s="243"/>
      <c r="C525" s="243"/>
      <c r="D525" s="243"/>
    </row>
    <row r="526" spans="2:4" ht="11.45" hidden="1" customHeight="1" x14ac:dyDescent="0.25">
      <c r="B526" s="243"/>
      <c r="C526" s="243"/>
      <c r="D526" s="243"/>
    </row>
    <row r="527" spans="2:4" ht="11.45" hidden="1" customHeight="1" x14ac:dyDescent="0.25">
      <c r="B527" s="243"/>
      <c r="C527" s="243"/>
      <c r="D527" s="243"/>
    </row>
    <row r="528" spans="2:4" ht="11.45" hidden="1" customHeight="1" x14ac:dyDescent="0.25">
      <c r="B528" s="243"/>
      <c r="C528" s="243"/>
      <c r="D528" s="243"/>
    </row>
    <row r="529" spans="2:4" ht="11.45" hidden="1" customHeight="1" x14ac:dyDescent="0.25">
      <c r="B529" s="243"/>
      <c r="C529" s="243"/>
      <c r="D529" s="243"/>
    </row>
    <row r="530" spans="2:4" ht="11.45" hidden="1" customHeight="1" x14ac:dyDescent="0.25">
      <c r="B530" s="243"/>
      <c r="C530" s="243"/>
      <c r="D530" s="243"/>
    </row>
    <row r="531" spans="2:4" ht="11.45" hidden="1" customHeight="1" x14ac:dyDescent="0.25">
      <c r="B531" s="243"/>
      <c r="C531" s="243"/>
      <c r="D531" s="243"/>
    </row>
    <row r="532" spans="2:4" ht="11.45" hidden="1" customHeight="1" x14ac:dyDescent="0.25">
      <c r="B532" s="243"/>
      <c r="C532" s="243"/>
      <c r="D532" s="243"/>
    </row>
    <row r="533" spans="2:4" ht="11.45" hidden="1" customHeight="1" x14ac:dyDescent="0.25">
      <c r="B533" s="243"/>
      <c r="C533" s="243"/>
      <c r="D533" s="243"/>
    </row>
    <row r="534" spans="2:4" ht="11.45" hidden="1" customHeight="1" x14ac:dyDescent="0.25">
      <c r="B534" s="243"/>
      <c r="C534" s="243"/>
      <c r="D534" s="243"/>
    </row>
    <row r="535" spans="2:4" ht="11.45" hidden="1" customHeight="1" x14ac:dyDescent="0.25">
      <c r="B535" s="243"/>
      <c r="C535" s="243"/>
      <c r="D535" s="243"/>
    </row>
    <row r="536" spans="2:4" ht="11.45" hidden="1" customHeight="1" x14ac:dyDescent="0.25">
      <c r="B536" s="243"/>
      <c r="C536" s="243"/>
      <c r="D536" s="243"/>
    </row>
    <row r="537" spans="2:4" ht="11.45" hidden="1" customHeight="1" x14ac:dyDescent="0.25">
      <c r="B537" s="243"/>
      <c r="C537" s="243"/>
      <c r="D537" s="243"/>
    </row>
    <row r="538" spans="2:4" ht="11.45" hidden="1" customHeight="1" x14ac:dyDescent="0.25">
      <c r="B538" s="243"/>
      <c r="C538" s="243"/>
      <c r="D538" s="243"/>
    </row>
    <row r="539" spans="2:4" ht="11.45" hidden="1" customHeight="1" x14ac:dyDescent="0.25">
      <c r="B539" s="243"/>
      <c r="C539" s="243"/>
      <c r="D539" s="243"/>
    </row>
    <row r="540" spans="2:4" ht="11.45" hidden="1" customHeight="1" x14ac:dyDescent="0.25">
      <c r="B540" s="243"/>
      <c r="C540" s="243"/>
      <c r="D540" s="243"/>
    </row>
    <row r="541" spans="2:4" ht="11.45" hidden="1" customHeight="1" x14ac:dyDescent="0.25">
      <c r="B541" s="243"/>
      <c r="C541" s="243"/>
      <c r="D541" s="243"/>
    </row>
    <row r="542" spans="2:4" ht="11.45" hidden="1" customHeight="1" x14ac:dyDescent="0.25">
      <c r="B542" s="243"/>
      <c r="C542" s="243"/>
      <c r="D542" s="243"/>
    </row>
    <row r="543" spans="2:4" ht="11.45" hidden="1" customHeight="1" x14ac:dyDescent="0.25">
      <c r="B543" s="243"/>
      <c r="C543" s="243"/>
      <c r="D543" s="243"/>
    </row>
    <row r="544" spans="2:4" ht="11.45" hidden="1" customHeight="1" x14ac:dyDescent="0.25">
      <c r="B544" s="243"/>
      <c r="C544" s="243"/>
      <c r="D544" s="243"/>
    </row>
    <row r="545" spans="2:4" ht="11.45" hidden="1" customHeight="1" x14ac:dyDescent="0.25">
      <c r="B545" s="243"/>
      <c r="C545" s="243"/>
      <c r="D545" s="243"/>
    </row>
    <row r="546" spans="2:4" ht="11.45" hidden="1" customHeight="1" x14ac:dyDescent="0.25">
      <c r="B546" s="243"/>
      <c r="C546" s="243"/>
      <c r="D546" s="243"/>
    </row>
    <row r="547" spans="2:4" ht="11.45" hidden="1" customHeight="1" x14ac:dyDescent="0.25">
      <c r="B547" s="243"/>
      <c r="C547" s="243"/>
      <c r="D547" s="243"/>
    </row>
    <row r="548" spans="2:4" ht="11.45" hidden="1" customHeight="1" x14ac:dyDescent="0.25">
      <c r="B548" s="243"/>
      <c r="C548" s="243"/>
      <c r="D548" s="243"/>
    </row>
    <row r="549" spans="2:4" ht="11.45" hidden="1" customHeight="1" x14ac:dyDescent="0.25">
      <c r="B549" s="243"/>
      <c r="C549" s="243"/>
      <c r="D549" s="243"/>
    </row>
    <row r="550" spans="2:4" ht="11.45" hidden="1" customHeight="1" x14ac:dyDescent="0.25">
      <c r="B550" s="243"/>
      <c r="C550" s="243"/>
      <c r="D550" s="243"/>
    </row>
    <row r="551" spans="2:4" ht="11.45" hidden="1" customHeight="1" x14ac:dyDescent="0.25">
      <c r="B551" s="243"/>
      <c r="C551" s="243"/>
      <c r="D551" s="243"/>
    </row>
    <row r="552" spans="2:4" ht="11.45" hidden="1" customHeight="1" x14ac:dyDescent="0.25">
      <c r="B552" s="243"/>
      <c r="C552" s="243"/>
      <c r="D552" s="243"/>
    </row>
    <row r="553" spans="2:4" ht="11.45" hidden="1" customHeight="1" x14ac:dyDescent="0.25">
      <c r="B553" s="243"/>
      <c r="C553" s="243"/>
      <c r="D553" s="243"/>
    </row>
    <row r="554" spans="2:4" ht="11.45" hidden="1" customHeight="1" x14ac:dyDescent="0.25">
      <c r="B554" s="243"/>
      <c r="C554" s="243"/>
      <c r="D554" s="243"/>
    </row>
    <row r="555" spans="2:4" ht="11.45" hidden="1" customHeight="1" x14ac:dyDescent="0.25">
      <c r="B555" s="243"/>
      <c r="C555" s="243"/>
      <c r="D555" s="243"/>
    </row>
    <row r="556" spans="2:4" ht="11.45" hidden="1" customHeight="1" x14ac:dyDescent="0.25">
      <c r="B556" s="243"/>
      <c r="C556" s="243"/>
      <c r="D556" s="243"/>
    </row>
    <row r="557" spans="2:4" ht="11.45" hidden="1" customHeight="1" x14ac:dyDescent="0.25">
      <c r="B557" s="243"/>
      <c r="C557" s="243"/>
      <c r="D557" s="243"/>
    </row>
    <row r="558" spans="2:4" ht="11.45" hidden="1" customHeight="1" x14ac:dyDescent="0.25">
      <c r="B558" s="243"/>
      <c r="C558" s="243"/>
      <c r="D558" s="243"/>
    </row>
    <row r="559" spans="2:4" ht="11.45" hidden="1" customHeight="1" x14ac:dyDescent="0.25">
      <c r="B559" s="243"/>
      <c r="C559" s="243"/>
      <c r="D559" s="243"/>
    </row>
    <row r="560" spans="2:4" ht="11.45" hidden="1" customHeight="1" x14ac:dyDescent="0.25">
      <c r="B560" s="243"/>
      <c r="C560" s="243"/>
      <c r="D560" s="243"/>
    </row>
    <row r="561" spans="2:4" ht="11.45" hidden="1" customHeight="1" x14ac:dyDescent="0.25">
      <c r="B561" s="243"/>
      <c r="C561" s="243"/>
      <c r="D561" s="243"/>
    </row>
    <row r="562" spans="2:4" ht="11.45" hidden="1" customHeight="1" x14ac:dyDescent="0.25">
      <c r="B562" s="243"/>
      <c r="C562" s="243"/>
      <c r="D562" s="243"/>
    </row>
    <row r="563" spans="2:4" ht="11.45" hidden="1" customHeight="1" x14ac:dyDescent="0.25">
      <c r="B563" s="243"/>
      <c r="C563" s="243"/>
      <c r="D563" s="243"/>
    </row>
    <row r="564" spans="2:4" ht="11.45" hidden="1" customHeight="1" x14ac:dyDescent="0.25">
      <c r="B564" s="243"/>
      <c r="C564" s="243"/>
      <c r="D564" s="243"/>
    </row>
    <row r="565" spans="2:4" ht="11.45" hidden="1" customHeight="1" x14ac:dyDescent="0.25">
      <c r="B565" s="243"/>
      <c r="C565" s="243"/>
      <c r="D565" s="243"/>
    </row>
    <row r="566" spans="2:4" ht="11.45" hidden="1" customHeight="1" x14ac:dyDescent="0.25">
      <c r="B566" s="243"/>
      <c r="C566" s="243"/>
      <c r="D566" s="243"/>
    </row>
    <row r="567" spans="2:4" ht="11.45" hidden="1" customHeight="1" x14ac:dyDescent="0.25">
      <c r="B567" s="243"/>
      <c r="C567" s="243"/>
      <c r="D567" s="243"/>
    </row>
    <row r="568" spans="2:4" ht="11.45" hidden="1" customHeight="1" x14ac:dyDescent="0.25">
      <c r="B568" s="243"/>
      <c r="C568" s="243"/>
      <c r="D568" s="243"/>
    </row>
    <row r="569" spans="2:4" ht="11.45" hidden="1" customHeight="1" x14ac:dyDescent="0.25">
      <c r="B569" s="243"/>
      <c r="C569" s="243"/>
      <c r="D569" s="243"/>
    </row>
    <row r="570" spans="2:4" ht="11.45" hidden="1" customHeight="1" x14ac:dyDescent="0.25">
      <c r="B570" s="243"/>
      <c r="C570" s="243"/>
      <c r="D570" s="243"/>
    </row>
    <row r="571" spans="2:4" ht="11.45" hidden="1" customHeight="1" x14ac:dyDescent="0.25">
      <c r="B571" s="243"/>
      <c r="C571" s="243"/>
      <c r="D571" s="243"/>
    </row>
    <row r="572" spans="2:4" ht="11.45" hidden="1" customHeight="1" x14ac:dyDescent="0.25">
      <c r="B572" s="243"/>
      <c r="C572" s="243"/>
      <c r="D572" s="243"/>
    </row>
    <row r="573" spans="2:4" ht="11.45" hidden="1" customHeight="1" x14ac:dyDescent="0.25">
      <c r="B573" s="243"/>
      <c r="C573" s="243"/>
      <c r="D573" s="243"/>
    </row>
    <row r="574" spans="2:4" ht="11.45" hidden="1" customHeight="1" x14ac:dyDescent="0.25">
      <c r="B574" s="243"/>
      <c r="C574" s="243"/>
      <c r="D574" s="243"/>
    </row>
    <row r="575" spans="2:4" ht="11.45" hidden="1" customHeight="1" x14ac:dyDescent="0.25">
      <c r="B575" s="243"/>
      <c r="C575" s="243"/>
      <c r="D575" s="243"/>
    </row>
    <row r="576" spans="2:4" ht="11.45" hidden="1" customHeight="1" x14ac:dyDescent="0.25">
      <c r="B576" s="243"/>
      <c r="C576" s="243"/>
      <c r="D576" s="243"/>
    </row>
    <row r="577" spans="2:4" ht="11.45" hidden="1" customHeight="1" x14ac:dyDescent="0.25">
      <c r="B577" s="243"/>
      <c r="C577" s="243"/>
      <c r="D577" s="243"/>
    </row>
    <row r="578" spans="2:4" ht="11.45" hidden="1" customHeight="1" x14ac:dyDescent="0.25">
      <c r="B578" s="243"/>
      <c r="C578" s="243"/>
      <c r="D578" s="243"/>
    </row>
    <row r="579" spans="2:4" ht="11.45" hidden="1" customHeight="1" x14ac:dyDescent="0.25">
      <c r="B579" s="243"/>
      <c r="C579" s="243"/>
      <c r="D579" s="243"/>
    </row>
    <row r="580" spans="2:4" ht="11.45" hidden="1" customHeight="1" x14ac:dyDescent="0.25">
      <c r="B580" s="243"/>
      <c r="C580" s="243"/>
      <c r="D580" s="243"/>
    </row>
    <row r="581" spans="2:4" ht="11.45" hidden="1" customHeight="1" x14ac:dyDescent="0.25">
      <c r="B581" s="243"/>
      <c r="C581" s="243"/>
      <c r="D581" s="243"/>
    </row>
    <row r="582" spans="2:4" ht="11.45" hidden="1" customHeight="1" x14ac:dyDescent="0.25">
      <c r="B582" s="243"/>
      <c r="C582" s="243"/>
      <c r="D582" s="243"/>
    </row>
    <row r="583" spans="2:4" ht="11.45" hidden="1" customHeight="1" x14ac:dyDescent="0.25">
      <c r="B583" s="243"/>
      <c r="C583" s="243"/>
      <c r="D583" s="243"/>
    </row>
    <row r="584" spans="2:4" ht="11.45" hidden="1" customHeight="1" x14ac:dyDescent="0.25">
      <c r="B584" s="243"/>
      <c r="C584" s="243"/>
      <c r="D584" s="243"/>
    </row>
    <row r="585" spans="2:4" ht="11.45" hidden="1" customHeight="1" x14ac:dyDescent="0.25">
      <c r="B585" s="243"/>
      <c r="C585" s="243"/>
      <c r="D585" s="243"/>
    </row>
    <row r="586" spans="2:4" ht="11.45" hidden="1" customHeight="1" x14ac:dyDescent="0.25">
      <c r="B586" s="243"/>
      <c r="C586" s="243"/>
      <c r="D586" s="243"/>
    </row>
    <row r="587" spans="2:4" ht="11.45" hidden="1" customHeight="1" x14ac:dyDescent="0.25">
      <c r="B587" s="243"/>
      <c r="C587" s="243"/>
      <c r="D587" s="243"/>
    </row>
    <row r="588" spans="2:4" ht="11.45" hidden="1" customHeight="1" x14ac:dyDescent="0.25">
      <c r="B588" s="243"/>
      <c r="C588" s="243"/>
      <c r="D588" s="243"/>
    </row>
    <row r="589" spans="2:4" ht="11.45" hidden="1" customHeight="1" x14ac:dyDescent="0.25">
      <c r="B589" s="243"/>
      <c r="C589" s="243"/>
      <c r="D589" s="243"/>
    </row>
    <row r="590" spans="2:4" ht="11.45" hidden="1" customHeight="1" x14ac:dyDescent="0.25">
      <c r="B590" s="243"/>
      <c r="C590" s="243"/>
      <c r="D590" s="243"/>
    </row>
    <row r="591" spans="2:4" ht="11.45" hidden="1" customHeight="1" x14ac:dyDescent="0.25">
      <c r="B591" s="243"/>
      <c r="C591" s="243"/>
      <c r="D591" s="243"/>
    </row>
    <row r="592" spans="2:4" ht="11.45" hidden="1" customHeight="1" x14ac:dyDescent="0.25">
      <c r="B592" s="243"/>
      <c r="C592" s="243"/>
      <c r="D592" s="243"/>
    </row>
    <row r="593" spans="2:4" ht="11.45" hidden="1" customHeight="1" x14ac:dyDescent="0.25">
      <c r="B593" s="243"/>
      <c r="C593" s="243"/>
      <c r="D593" s="243"/>
    </row>
    <row r="594" spans="2:4" ht="11.45" hidden="1" customHeight="1" x14ac:dyDescent="0.25">
      <c r="B594" s="243"/>
      <c r="C594" s="243"/>
      <c r="D594" s="243"/>
    </row>
    <row r="595" spans="2:4" ht="11.45" hidden="1" customHeight="1" x14ac:dyDescent="0.25">
      <c r="B595" s="243"/>
      <c r="C595" s="243"/>
      <c r="D595" s="243"/>
    </row>
    <row r="596" spans="2:4" ht="11.45" hidden="1" customHeight="1" x14ac:dyDescent="0.25">
      <c r="B596" s="243"/>
      <c r="C596" s="243"/>
      <c r="D596" s="243"/>
    </row>
    <row r="597" spans="2:4" ht="11.45" hidden="1" customHeight="1" x14ac:dyDescent="0.25">
      <c r="B597" s="243"/>
      <c r="C597" s="243"/>
      <c r="D597" s="243"/>
    </row>
    <row r="598" spans="2:4" ht="11.45" hidden="1" customHeight="1" x14ac:dyDescent="0.25">
      <c r="B598" s="243"/>
      <c r="C598" s="243"/>
      <c r="D598" s="243"/>
    </row>
    <row r="599" spans="2:4" ht="11.45" hidden="1" customHeight="1" x14ac:dyDescent="0.25">
      <c r="B599" s="243"/>
      <c r="C599" s="243"/>
      <c r="D599" s="243"/>
    </row>
    <row r="600" spans="2:4" ht="11.45" hidden="1" customHeight="1" x14ac:dyDescent="0.25">
      <c r="B600" s="243"/>
      <c r="C600" s="243"/>
      <c r="D600" s="243"/>
    </row>
    <row r="601" spans="2:4" ht="11.45" hidden="1" customHeight="1" x14ac:dyDescent="0.25">
      <c r="B601" s="243"/>
      <c r="C601" s="243"/>
      <c r="D601" s="243"/>
    </row>
    <row r="602" spans="2:4" ht="11.45" hidden="1" customHeight="1" x14ac:dyDescent="0.25">
      <c r="B602" s="243"/>
      <c r="C602" s="243"/>
      <c r="D602" s="243"/>
    </row>
    <row r="603" spans="2:4" ht="11.45" hidden="1" customHeight="1" x14ac:dyDescent="0.25">
      <c r="B603" s="243"/>
      <c r="C603" s="243"/>
      <c r="D603" s="243"/>
    </row>
    <row r="604" spans="2:4" ht="11.45" hidden="1" customHeight="1" x14ac:dyDescent="0.25">
      <c r="B604" s="243"/>
      <c r="C604" s="243"/>
      <c r="D604" s="243"/>
    </row>
    <row r="605" spans="2:4" ht="11.45" hidden="1" customHeight="1" x14ac:dyDescent="0.25">
      <c r="B605" s="243"/>
      <c r="C605" s="243"/>
      <c r="D605" s="243"/>
    </row>
    <row r="606" spans="2:4" ht="11.45" hidden="1" customHeight="1" x14ac:dyDescent="0.25">
      <c r="B606" s="243"/>
      <c r="C606" s="243"/>
      <c r="D606" s="243"/>
    </row>
    <row r="607" spans="2:4" ht="11.45" hidden="1" customHeight="1" x14ac:dyDescent="0.25">
      <c r="B607" s="243"/>
      <c r="C607" s="243"/>
      <c r="D607" s="243"/>
    </row>
    <row r="608" spans="2:4" ht="11.45" hidden="1" customHeight="1" x14ac:dyDescent="0.25">
      <c r="B608" s="243"/>
      <c r="C608" s="243"/>
      <c r="D608" s="243"/>
    </row>
    <row r="609" spans="2:4" ht="11.45" hidden="1" customHeight="1" x14ac:dyDescent="0.25">
      <c r="B609" s="243"/>
      <c r="C609" s="243"/>
      <c r="D609" s="243"/>
    </row>
    <row r="610" spans="2:4" ht="11.45" hidden="1" customHeight="1" x14ac:dyDescent="0.25">
      <c r="B610" s="243"/>
      <c r="C610" s="243"/>
      <c r="D610" s="243"/>
    </row>
    <row r="611" spans="2:4" ht="11.45" hidden="1" customHeight="1" x14ac:dyDescent="0.25">
      <c r="B611" s="243"/>
      <c r="C611" s="243"/>
      <c r="D611" s="243"/>
    </row>
    <row r="612" spans="2:4" ht="11.45" hidden="1" customHeight="1" x14ac:dyDescent="0.25">
      <c r="B612" s="243"/>
      <c r="C612" s="243"/>
      <c r="D612" s="243"/>
    </row>
    <row r="613" spans="2:4" ht="11.45" hidden="1" customHeight="1" x14ac:dyDescent="0.25">
      <c r="B613" s="243"/>
      <c r="C613" s="243"/>
      <c r="D613" s="243"/>
    </row>
    <row r="614" spans="2:4" ht="11.45" hidden="1" customHeight="1" x14ac:dyDescent="0.25">
      <c r="B614" s="243"/>
      <c r="C614" s="243"/>
      <c r="D614" s="243"/>
    </row>
    <row r="615" spans="2:4" ht="11.45" hidden="1" customHeight="1" x14ac:dyDescent="0.25">
      <c r="B615" s="243"/>
      <c r="C615" s="243"/>
      <c r="D615" s="243"/>
    </row>
    <row r="616" spans="2:4" ht="11.45" hidden="1" customHeight="1" x14ac:dyDescent="0.25">
      <c r="B616" s="243"/>
      <c r="C616" s="243"/>
      <c r="D616" s="243"/>
    </row>
    <row r="617" spans="2:4" ht="11.45" hidden="1" customHeight="1" x14ac:dyDescent="0.25">
      <c r="B617" s="243"/>
      <c r="C617" s="243"/>
      <c r="D617" s="243"/>
    </row>
    <row r="618" spans="2:4" ht="11.45" hidden="1" customHeight="1" x14ac:dyDescent="0.25">
      <c r="B618" s="243"/>
      <c r="C618" s="243"/>
      <c r="D618" s="243"/>
    </row>
    <row r="619" spans="2:4" ht="11.45" hidden="1" customHeight="1" x14ac:dyDescent="0.25">
      <c r="B619" s="243"/>
      <c r="C619" s="243"/>
      <c r="D619" s="243"/>
    </row>
    <row r="620" spans="2:4" ht="11.45" hidden="1" customHeight="1" x14ac:dyDescent="0.25">
      <c r="B620" s="243"/>
      <c r="C620" s="243"/>
      <c r="D620" s="243"/>
    </row>
    <row r="621" spans="2:4" ht="11.45" hidden="1" customHeight="1" x14ac:dyDescent="0.25">
      <c r="B621" s="243"/>
      <c r="C621" s="243"/>
      <c r="D621" s="243"/>
    </row>
    <row r="622" spans="2:4" ht="11.45" hidden="1" customHeight="1" x14ac:dyDescent="0.25">
      <c r="B622" s="243"/>
      <c r="C622" s="243"/>
      <c r="D622" s="243"/>
    </row>
    <row r="623" spans="2:4" ht="11.45" hidden="1" customHeight="1" x14ac:dyDescent="0.25">
      <c r="B623" s="243"/>
      <c r="C623" s="243"/>
      <c r="D623" s="243"/>
    </row>
    <row r="624" spans="2:4" ht="11.45" hidden="1" customHeight="1" x14ac:dyDescent="0.25">
      <c r="B624" s="243"/>
      <c r="C624" s="243"/>
      <c r="D624" s="243"/>
    </row>
    <row r="625" spans="2:4" ht="11.45" hidden="1" customHeight="1" x14ac:dyDescent="0.25">
      <c r="B625" s="243"/>
      <c r="C625" s="243"/>
      <c r="D625" s="243"/>
    </row>
    <row r="626" spans="2:4" ht="11.45" hidden="1" customHeight="1" x14ac:dyDescent="0.25">
      <c r="B626" s="243"/>
      <c r="C626" s="243"/>
      <c r="D626" s="243"/>
    </row>
    <row r="627" spans="2:4" ht="11.45" hidden="1" customHeight="1" x14ac:dyDescent="0.25">
      <c r="B627" s="243"/>
      <c r="C627" s="243"/>
      <c r="D627" s="243"/>
    </row>
    <row r="628" spans="2:4" ht="11.45" hidden="1" customHeight="1" x14ac:dyDescent="0.25">
      <c r="B628" s="243"/>
      <c r="C628" s="243"/>
      <c r="D628" s="243"/>
    </row>
    <row r="629" spans="2:4" ht="11.45" hidden="1" customHeight="1" x14ac:dyDescent="0.25">
      <c r="B629" s="243"/>
      <c r="C629" s="243"/>
      <c r="D629" s="243"/>
    </row>
    <row r="630" spans="2:4" ht="11.45" hidden="1" customHeight="1" x14ac:dyDescent="0.25">
      <c r="B630" s="243"/>
      <c r="C630" s="243"/>
      <c r="D630" s="243"/>
    </row>
    <row r="631" spans="2:4" ht="11.45" hidden="1" customHeight="1" x14ac:dyDescent="0.25">
      <c r="B631" s="243"/>
      <c r="C631" s="243"/>
      <c r="D631" s="243"/>
    </row>
    <row r="632" spans="2:4" ht="11.45" hidden="1" customHeight="1" x14ac:dyDescent="0.25">
      <c r="B632" s="243"/>
      <c r="C632" s="243"/>
      <c r="D632" s="243"/>
    </row>
    <row r="633" spans="2:4" ht="11.45" hidden="1" customHeight="1" x14ac:dyDescent="0.25">
      <c r="B633" s="243"/>
      <c r="C633" s="243"/>
      <c r="D633" s="243"/>
    </row>
    <row r="634" spans="2:4" ht="11.45" hidden="1" customHeight="1" x14ac:dyDescent="0.25">
      <c r="B634" s="243"/>
      <c r="C634" s="243"/>
      <c r="D634" s="243"/>
    </row>
    <row r="635" spans="2:4" ht="11.45" hidden="1" customHeight="1" x14ac:dyDescent="0.25">
      <c r="B635" s="243"/>
      <c r="C635" s="243"/>
      <c r="D635" s="243"/>
    </row>
    <row r="636" spans="2:4" ht="11.45" hidden="1" customHeight="1" x14ac:dyDescent="0.25">
      <c r="B636" s="243"/>
      <c r="C636" s="243"/>
      <c r="D636" s="243"/>
    </row>
    <row r="637" spans="2:4" ht="11.45" hidden="1" customHeight="1" x14ac:dyDescent="0.25">
      <c r="B637" s="243"/>
      <c r="C637" s="243"/>
      <c r="D637" s="243"/>
    </row>
    <row r="638" spans="2:4" ht="11.45" hidden="1" customHeight="1" x14ac:dyDescent="0.25">
      <c r="B638" s="243"/>
      <c r="C638" s="243"/>
      <c r="D638" s="243"/>
    </row>
    <row r="639" spans="2:4" ht="11.45" hidden="1" customHeight="1" x14ac:dyDescent="0.25">
      <c r="B639" s="243"/>
      <c r="C639" s="243"/>
      <c r="D639" s="243"/>
    </row>
    <row r="640" spans="2:4" ht="11.45" hidden="1" customHeight="1" x14ac:dyDescent="0.25">
      <c r="B640" s="243"/>
      <c r="C640" s="243"/>
      <c r="D640" s="243"/>
    </row>
    <row r="641" spans="2:4" ht="11.45" hidden="1" customHeight="1" x14ac:dyDescent="0.25">
      <c r="B641" s="243"/>
      <c r="C641" s="243"/>
      <c r="D641" s="243"/>
    </row>
    <row r="642" spans="2:4" ht="11.45" hidden="1" customHeight="1" x14ac:dyDescent="0.25">
      <c r="B642" s="243"/>
      <c r="C642" s="243"/>
      <c r="D642" s="243"/>
    </row>
    <row r="643" spans="2:4" ht="11.45" hidden="1" customHeight="1" x14ac:dyDescent="0.25">
      <c r="B643" s="243"/>
      <c r="C643" s="243"/>
      <c r="D643" s="243"/>
    </row>
    <row r="644" spans="2:4" ht="11.45" hidden="1" customHeight="1" x14ac:dyDescent="0.25">
      <c r="B644" s="243"/>
      <c r="C644" s="243"/>
      <c r="D644" s="243"/>
    </row>
    <row r="645" spans="2:4" ht="11.45" hidden="1" customHeight="1" x14ac:dyDescent="0.25">
      <c r="B645" s="243"/>
      <c r="C645" s="243"/>
      <c r="D645" s="243"/>
    </row>
    <row r="646" spans="2:4" ht="11.45" hidden="1" customHeight="1" x14ac:dyDescent="0.25">
      <c r="B646" s="243"/>
      <c r="C646" s="243"/>
      <c r="D646" s="243"/>
    </row>
    <row r="647" spans="2:4" ht="11.45" hidden="1" customHeight="1" x14ac:dyDescent="0.25">
      <c r="B647" s="243"/>
      <c r="C647" s="243"/>
      <c r="D647" s="243"/>
    </row>
    <row r="648" spans="2:4" ht="11.45" hidden="1" customHeight="1" x14ac:dyDescent="0.25">
      <c r="B648" s="243"/>
      <c r="C648" s="243"/>
      <c r="D648" s="243"/>
    </row>
    <row r="649" spans="2:4" ht="11.45" hidden="1" customHeight="1" x14ac:dyDescent="0.25">
      <c r="B649" s="243"/>
      <c r="C649" s="243"/>
      <c r="D649" s="243"/>
    </row>
    <row r="650" spans="2:4" ht="11.45" hidden="1" customHeight="1" x14ac:dyDescent="0.25">
      <c r="B650" s="243"/>
      <c r="C650" s="243"/>
      <c r="D650" s="243"/>
    </row>
    <row r="651" spans="2:4" ht="11.45" hidden="1" customHeight="1" x14ac:dyDescent="0.25">
      <c r="B651" s="243"/>
      <c r="C651" s="243"/>
      <c r="D651" s="243"/>
    </row>
    <row r="652" spans="2:4" ht="11.45" hidden="1" customHeight="1" x14ac:dyDescent="0.25">
      <c r="B652" s="243"/>
      <c r="C652" s="243"/>
      <c r="D652" s="243"/>
    </row>
    <row r="653" spans="2:4" ht="11.45" hidden="1" customHeight="1" x14ac:dyDescent="0.25">
      <c r="B653" s="243"/>
      <c r="C653" s="243"/>
      <c r="D653" s="243"/>
    </row>
    <row r="654" spans="2:4" ht="11.45" hidden="1" customHeight="1" x14ac:dyDescent="0.25">
      <c r="B654" s="243"/>
      <c r="C654" s="243"/>
      <c r="D654" s="243"/>
    </row>
    <row r="655" spans="2:4" ht="11.45" hidden="1" customHeight="1" x14ac:dyDescent="0.25">
      <c r="B655" s="243"/>
      <c r="C655" s="243"/>
      <c r="D655" s="243"/>
    </row>
    <row r="656" spans="2:4" ht="11.45" hidden="1" customHeight="1" x14ac:dyDescent="0.25">
      <c r="B656" s="243"/>
      <c r="C656" s="243"/>
      <c r="D656" s="243"/>
    </row>
    <row r="657" spans="2:4" ht="11.45" hidden="1" customHeight="1" x14ac:dyDescent="0.25">
      <c r="B657" s="243"/>
      <c r="C657" s="243"/>
      <c r="D657" s="243"/>
    </row>
    <row r="658" spans="2:4" ht="11.45" hidden="1" customHeight="1" x14ac:dyDescent="0.25">
      <c r="B658" s="243"/>
      <c r="C658" s="243"/>
      <c r="D658" s="243"/>
    </row>
    <row r="659" spans="2:4" ht="11.45" hidden="1" customHeight="1" x14ac:dyDescent="0.25">
      <c r="B659" s="243"/>
      <c r="C659" s="243"/>
      <c r="D659" s="243"/>
    </row>
    <row r="660" spans="2:4" ht="11.45" hidden="1" customHeight="1" x14ac:dyDescent="0.25">
      <c r="B660" s="243"/>
      <c r="C660" s="243"/>
      <c r="D660" s="243"/>
    </row>
    <row r="661" spans="2:4" ht="11.45" hidden="1" customHeight="1" x14ac:dyDescent="0.25">
      <c r="B661" s="243"/>
      <c r="C661" s="243"/>
      <c r="D661" s="243"/>
    </row>
    <row r="662" spans="2:4" ht="11.45" hidden="1" customHeight="1" x14ac:dyDescent="0.25">
      <c r="B662" s="243"/>
      <c r="C662" s="243"/>
      <c r="D662" s="243"/>
    </row>
    <row r="663" spans="2:4" ht="11.45" hidden="1" customHeight="1" x14ac:dyDescent="0.25">
      <c r="B663" s="243"/>
      <c r="C663" s="243"/>
      <c r="D663" s="243"/>
    </row>
    <row r="664" spans="2:4" ht="11.45" hidden="1" customHeight="1" x14ac:dyDescent="0.25">
      <c r="B664" s="243"/>
      <c r="C664" s="243"/>
      <c r="D664" s="243"/>
    </row>
    <row r="665" spans="2:4" ht="11.45" hidden="1" customHeight="1" x14ac:dyDescent="0.25">
      <c r="B665" s="243"/>
      <c r="C665" s="243"/>
      <c r="D665" s="243"/>
    </row>
    <row r="666" spans="2:4" ht="11.45" hidden="1" customHeight="1" x14ac:dyDescent="0.25">
      <c r="B666" s="243"/>
      <c r="C666" s="243"/>
      <c r="D666" s="243"/>
    </row>
    <row r="667" spans="2:4" ht="11.45" hidden="1" customHeight="1" x14ac:dyDescent="0.25">
      <c r="B667" s="243"/>
      <c r="C667" s="243"/>
      <c r="D667" s="243"/>
    </row>
    <row r="668" spans="2:4" ht="11.45" hidden="1" customHeight="1" x14ac:dyDescent="0.25">
      <c r="B668" s="243"/>
      <c r="C668" s="243"/>
      <c r="D668" s="243"/>
    </row>
    <row r="669" spans="2:4" ht="11.45" hidden="1" customHeight="1" x14ac:dyDescent="0.25">
      <c r="B669" s="243"/>
      <c r="C669" s="243"/>
      <c r="D669" s="243"/>
    </row>
    <row r="670" spans="2:4" ht="11.45" hidden="1" customHeight="1" x14ac:dyDescent="0.25">
      <c r="B670" s="243"/>
      <c r="C670" s="243"/>
      <c r="D670" s="243"/>
    </row>
    <row r="671" spans="2:4" ht="11.45" hidden="1" customHeight="1" x14ac:dyDescent="0.25">
      <c r="B671" s="243"/>
      <c r="C671" s="243"/>
      <c r="D671" s="243"/>
    </row>
    <row r="672" spans="2:4" ht="11.45" hidden="1" customHeight="1" x14ac:dyDescent="0.25">
      <c r="B672" s="243"/>
      <c r="C672" s="243"/>
      <c r="D672" s="243"/>
    </row>
    <row r="673" spans="2:4" ht="11.45" hidden="1" customHeight="1" x14ac:dyDescent="0.25">
      <c r="B673" s="243"/>
      <c r="C673" s="243"/>
      <c r="D673" s="243"/>
    </row>
    <row r="674" spans="2:4" ht="11.45" hidden="1" customHeight="1" x14ac:dyDescent="0.25">
      <c r="B674" s="243"/>
      <c r="C674" s="243"/>
      <c r="D674" s="243"/>
    </row>
    <row r="675" spans="2:4" ht="11.45" hidden="1" customHeight="1" x14ac:dyDescent="0.25">
      <c r="B675" s="243"/>
      <c r="C675" s="243"/>
      <c r="D675" s="243"/>
    </row>
    <row r="676" spans="2:4" ht="11.45" hidden="1" customHeight="1" x14ac:dyDescent="0.25">
      <c r="B676" s="243"/>
      <c r="C676" s="243"/>
      <c r="D676" s="243"/>
    </row>
    <row r="677" spans="2:4" ht="11.45" hidden="1" customHeight="1" x14ac:dyDescent="0.25">
      <c r="B677" s="243"/>
      <c r="C677" s="243"/>
      <c r="D677" s="243"/>
    </row>
    <row r="678" spans="2:4" ht="11.45" hidden="1" customHeight="1" x14ac:dyDescent="0.25">
      <c r="B678" s="243"/>
      <c r="C678" s="243"/>
      <c r="D678" s="243"/>
    </row>
    <row r="679" spans="2:4" ht="11.45" hidden="1" customHeight="1" x14ac:dyDescent="0.25">
      <c r="B679" s="243"/>
      <c r="C679" s="243"/>
      <c r="D679" s="243"/>
    </row>
    <row r="680" spans="2:4" ht="11.45" hidden="1" customHeight="1" x14ac:dyDescent="0.25">
      <c r="B680" s="243"/>
      <c r="C680" s="243"/>
      <c r="D680" s="243"/>
    </row>
    <row r="681" spans="2:4" ht="11.45" hidden="1" customHeight="1" x14ac:dyDescent="0.25">
      <c r="B681" s="243"/>
      <c r="C681" s="243"/>
      <c r="D681" s="243"/>
    </row>
    <row r="682" spans="2:4" ht="11.45" hidden="1" customHeight="1" x14ac:dyDescent="0.25">
      <c r="B682" s="243"/>
      <c r="C682" s="243"/>
      <c r="D682" s="243"/>
    </row>
    <row r="683" spans="2:4" ht="11.45" hidden="1" customHeight="1" x14ac:dyDescent="0.25">
      <c r="B683" s="243"/>
      <c r="C683" s="243"/>
      <c r="D683" s="243"/>
    </row>
    <row r="684" spans="2:4" ht="11.45" hidden="1" customHeight="1" x14ac:dyDescent="0.25">
      <c r="B684" s="243"/>
      <c r="C684" s="243"/>
      <c r="D684" s="243"/>
    </row>
    <row r="685" spans="2:4" ht="11.45" hidden="1" customHeight="1" x14ac:dyDescent="0.25">
      <c r="B685" s="243"/>
      <c r="C685" s="243"/>
      <c r="D685" s="243"/>
    </row>
    <row r="686" spans="2:4" ht="11.45" hidden="1" customHeight="1" x14ac:dyDescent="0.25">
      <c r="B686" s="243"/>
      <c r="C686" s="243"/>
      <c r="D686" s="243"/>
    </row>
    <row r="687" spans="2:4" ht="11.45" hidden="1" customHeight="1" x14ac:dyDescent="0.25">
      <c r="B687" s="243"/>
      <c r="C687" s="243"/>
      <c r="D687" s="243"/>
    </row>
    <row r="688" spans="2:4" ht="11.45" hidden="1" customHeight="1" x14ac:dyDescent="0.25">
      <c r="B688" s="243"/>
      <c r="C688" s="243"/>
      <c r="D688" s="243"/>
    </row>
    <row r="689" spans="2:4" ht="11.45" hidden="1" customHeight="1" x14ac:dyDescent="0.25">
      <c r="B689" s="243"/>
      <c r="C689" s="243"/>
      <c r="D689" s="243"/>
    </row>
    <row r="690" spans="2:4" ht="11.45" hidden="1" customHeight="1" x14ac:dyDescent="0.25">
      <c r="B690" s="243"/>
      <c r="C690" s="243"/>
      <c r="D690" s="243"/>
    </row>
    <row r="691" spans="2:4" ht="11.45" hidden="1" customHeight="1" x14ac:dyDescent="0.25">
      <c r="B691" s="243"/>
      <c r="C691" s="243"/>
      <c r="D691" s="243"/>
    </row>
    <row r="692" spans="2:4" ht="11.45" hidden="1" customHeight="1" x14ac:dyDescent="0.25">
      <c r="B692" s="243"/>
      <c r="C692" s="243"/>
      <c r="D692" s="243"/>
    </row>
    <row r="693" spans="2:4" ht="11.45" hidden="1" customHeight="1" x14ac:dyDescent="0.25">
      <c r="B693" s="243"/>
      <c r="C693" s="243"/>
      <c r="D693" s="243"/>
    </row>
    <row r="694" spans="2:4" ht="11.45" hidden="1" customHeight="1" x14ac:dyDescent="0.25">
      <c r="B694" s="243"/>
      <c r="C694" s="243"/>
      <c r="D694" s="243"/>
    </row>
    <row r="695" spans="2:4" ht="11.45" hidden="1" customHeight="1" x14ac:dyDescent="0.25">
      <c r="B695" s="243"/>
      <c r="C695" s="243"/>
      <c r="D695" s="243"/>
    </row>
    <row r="696" spans="2:4" ht="11.45" hidden="1" customHeight="1" x14ac:dyDescent="0.25">
      <c r="B696" s="243"/>
      <c r="C696" s="243"/>
      <c r="D696" s="243"/>
    </row>
    <row r="697" spans="2:4" ht="11.45" hidden="1" customHeight="1" x14ac:dyDescent="0.25">
      <c r="B697" s="243"/>
      <c r="C697" s="243"/>
      <c r="D697" s="243"/>
    </row>
    <row r="698" spans="2:4" ht="11.45" hidden="1" customHeight="1" x14ac:dyDescent="0.25">
      <c r="B698" s="243"/>
      <c r="C698" s="243"/>
      <c r="D698" s="243"/>
    </row>
    <row r="699" spans="2:4" ht="11.45" hidden="1" customHeight="1" x14ac:dyDescent="0.25">
      <c r="B699" s="243"/>
      <c r="C699" s="243"/>
      <c r="D699" s="243"/>
    </row>
    <row r="700" spans="2:4" ht="11.45" hidden="1" customHeight="1" x14ac:dyDescent="0.25">
      <c r="B700" s="243"/>
      <c r="C700" s="243"/>
      <c r="D700" s="243"/>
    </row>
    <row r="701" spans="2:4" ht="11.45" hidden="1" customHeight="1" x14ac:dyDescent="0.25">
      <c r="B701" s="243"/>
      <c r="C701" s="243"/>
      <c r="D701" s="243"/>
    </row>
    <row r="702" spans="2:4" ht="11.45" hidden="1" customHeight="1" x14ac:dyDescent="0.25">
      <c r="B702" s="243"/>
      <c r="C702" s="243"/>
      <c r="D702" s="243"/>
    </row>
    <row r="703" spans="2:4" ht="11.45" hidden="1" customHeight="1" x14ac:dyDescent="0.25">
      <c r="B703" s="243"/>
      <c r="C703" s="243"/>
      <c r="D703" s="243"/>
    </row>
    <row r="704" spans="2:4" ht="11.45" hidden="1" customHeight="1" x14ac:dyDescent="0.25">
      <c r="B704" s="243"/>
      <c r="C704" s="243"/>
      <c r="D704" s="243"/>
    </row>
    <row r="705" spans="2:4" ht="11.45" hidden="1" customHeight="1" x14ac:dyDescent="0.25">
      <c r="B705" s="243"/>
      <c r="C705" s="243"/>
      <c r="D705" s="243"/>
    </row>
    <row r="706" spans="2:4" ht="11.45" hidden="1" customHeight="1" x14ac:dyDescent="0.25">
      <c r="B706" s="243"/>
      <c r="C706" s="243"/>
      <c r="D706" s="243"/>
    </row>
    <row r="707" spans="2:4" ht="11.45" hidden="1" customHeight="1" x14ac:dyDescent="0.25">
      <c r="B707" s="243"/>
      <c r="C707" s="243"/>
      <c r="D707" s="243"/>
    </row>
    <row r="708" spans="2:4" ht="11.45" hidden="1" customHeight="1" x14ac:dyDescent="0.25">
      <c r="B708" s="243"/>
      <c r="C708" s="243"/>
      <c r="D708" s="243"/>
    </row>
    <row r="709" spans="2:4" ht="11.45" hidden="1" customHeight="1" x14ac:dyDescent="0.25">
      <c r="B709" s="243"/>
      <c r="C709" s="243"/>
      <c r="D709" s="243"/>
    </row>
    <row r="710" spans="2:4" ht="11.45" hidden="1" customHeight="1" x14ac:dyDescent="0.25">
      <c r="B710" s="243"/>
      <c r="C710" s="243"/>
      <c r="D710" s="243"/>
    </row>
    <row r="711" spans="2:4" ht="11.45" hidden="1" customHeight="1" x14ac:dyDescent="0.25">
      <c r="B711" s="243"/>
      <c r="C711" s="243"/>
      <c r="D711" s="243"/>
    </row>
    <row r="712" spans="2:4" ht="11.45" hidden="1" customHeight="1" x14ac:dyDescent="0.25">
      <c r="B712" s="243"/>
      <c r="C712" s="243"/>
      <c r="D712" s="243"/>
    </row>
    <row r="713" spans="2:4" ht="11.45" hidden="1" customHeight="1" x14ac:dyDescent="0.25">
      <c r="B713" s="243"/>
      <c r="C713" s="243"/>
      <c r="D713" s="243"/>
    </row>
    <row r="714" spans="2:4" ht="11.45" hidden="1" customHeight="1" x14ac:dyDescent="0.25">
      <c r="B714" s="243"/>
      <c r="C714" s="243"/>
      <c r="D714" s="243"/>
    </row>
    <row r="715" spans="2:4" ht="11.45" hidden="1" customHeight="1" x14ac:dyDescent="0.25">
      <c r="B715" s="243"/>
      <c r="C715" s="243"/>
      <c r="D715" s="243"/>
    </row>
    <row r="716" spans="2:4" ht="11.45" hidden="1" customHeight="1" x14ac:dyDescent="0.25">
      <c r="B716" s="243"/>
      <c r="C716" s="243"/>
      <c r="D716" s="243"/>
    </row>
    <row r="717" spans="2:4" ht="11.45" hidden="1" customHeight="1" x14ac:dyDescent="0.25">
      <c r="B717" s="243"/>
      <c r="C717" s="243"/>
      <c r="D717" s="243"/>
    </row>
    <row r="718" spans="2:4" ht="11.45" hidden="1" customHeight="1" x14ac:dyDescent="0.25">
      <c r="B718" s="243"/>
      <c r="C718" s="243"/>
      <c r="D718" s="243"/>
    </row>
    <row r="719" spans="2:4" ht="11.45" hidden="1" customHeight="1" x14ac:dyDescent="0.25">
      <c r="B719" s="243"/>
      <c r="C719" s="243"/>
      <c r="D719" s="243"/>
    </row>
    <row r="720" spans="2:4" ht="11.45" hidden="1" customHeight="1" x14ac:dyDescent="0.25">
      <c r="B720" s="243"/>
      <c r="C720" s="243"/>
      <c r="D720" s="243"/>
    </row>
    <row r="721" spans="2:4" ht="11.45" hidden="1" customHeight="1" x14ac:dyDescent="0.25">
      <c r="B721" s="243"/>
      <c r="C721" s="243"/>
      <c r="D721" s="243"/>
    </row>
    <row r="722" spans="2:4" ht="11.45" hidden="1" customHeight="1" x14ac:dyDescent="0.25">
      <c r="B722" s="243"/>
      <c r="C722" s="243"/>
      <c r="D722" s="243"/>
    </row>
    <row r="723" spans="2:4" ht="11.45" hidden="1" customHeight="1" x14ac:dyDescent="0.25">
      <c r="B723" s="243"/>
      <c r="C723" s="243"/>
      <c r="D723" s="243"/>
    </row>
    <row r="724" spans="2:4" ht="11.45" hidden="1" customHeight="1" x14ac:dyDescent="0.25">
      <c r="B724" s="243"/>
      <c r="C724" s="243"/>
      <c r="D724" s="243"/>
    </row>
    <row r="725" spans="2:4" ht="11.45" hidden="1" customHeight="1" x14ac:dyDescent="0.25">
      <c r="B725" s="243"/>
      <c r="C725" s="243"/>
      <c r="D725" s="243"/>
    </row>
    <row r="726" spans="2:4" ht="11.45" hidden="1" customHeight="1" x14ac:dyDescent="0.25">
      <c r="B726" s="243"/>
      <c r="C726" s="243"/>
      <c r="D726" s="243"/>
    </row>
    <row r="727" spans="2:4" ht="11.45" hidden="1" customHeight="1" x14ac:dyDescent="0.25">
      <c r="B727" s="243"/>
      <c r="C727" s="243"/>
      <c r="D727" s="243"/>
    </row>
    <row r="728" spans="2:4" ht="11.45" hidden="1" customHeight="1" x14ac:dyDescent="0.25">
      <c r="B728" s="243"/>
      <c r="C728" s="243"/>
      <c r="D728" s="243"/>
    </row>
    <row r="729" spans="2:4" ht="11.45" hidden="1" customHeight="1" x14ac:dyDescent="0.25">
      <c r="B729" s="243"/>
      <c r="C729" s="243"/>
      <c r="D729" s="243"/>
    </row>
    <row r="730" spans="2:4" ht="11.45" hidden="1" customHeight="1" x14ac:dyDescent="0.25">
      <c r="B730" s="243"/>
      <c r="C730" s="243"/>
      <c r="D730" s="243"/>
    </row>
    <row r="731" spans="2:4" ht="11.45" hidden="1" customHeight="1" x14ac:dyDescent="0.25">
      <c r="B731" s="243"/>
      <c r="C731" s="243"/>
      <c r="D731" s="243"/>
    </row>
    <row r="732" spans="2:4" ht="11.45" hidden="1" customHeight="1" x14ac:dyDescent="0.25">
      <c r="B732" s="243"/>
      <c r="C732" s="243"/>
      <c r="D732" s="243"/>
    </row>
    <row r="733" spans="2:4" ht="11.45" hidden="1" customHeight="1" x14ac:dyDescent="0.25">
      <c r="B733" s="243"/>
      <c r="C733" s="243"/>
      <c r="D733" s="243"/>
    </row>
    <row r="734" spans="2:4" ht="11.45" hidden="1" customHeight="1" x14ac:dyDescent="0.25">
      <c r="B734" s="243"/>
      <c r="C734" s="243"/>
      <c r="D734" s="243"/>
    </row>
    <row r="735" spans="2:4" ht="11.45" hidden="1" customHeight="1" x14ac:dyDescent="0.25">
      <c r="B735" s="243"/>
      <c r="C735" s="243"/>
      <c r="D735" s="243"/>
    </row>
    <row r="736" spans="2:4" ht="11.45" hidden="1" customHeight="1" x14ac:dyDescent="0.25">
      <c r="B736" s="243"/>
      <c r="C736" s="243"/>
      <c r="D736" s="243"/>
    </row>
    <row r="737" spans="2:4" ht="11.45" hidden="1" customHeight="1" x14ac:dyDescent="0.25">
      <c r="B737" s="243"/>
      <c r="C737" s="243"/>
      <c r="D737" s="243"/>
    </row>
    <row r="738" spans="2:4" ht="11.45" hidden="1" customHeight="1" x14ac:dyDescent="0.25">
      <c r="B738" s="243"/>
      <c r="C738" s="243"/>
      <c r="D738" s="243"/>
    </row>
    <row r="739" spans="2:4" ht="11.45" hidden="1" customHeight="1" x14ac:dyDescent="0.25">
      <c r="B739" s="243"/>
      <c r="C739" s="243"/>
      <c r="D739" s="243"/>
    </row>
    <row r="740" spans="2:4" ht="11.45" hidden="1" customHeight="1" x14ac:dyDescent="0.25">
      <c r="B740" s="243"/>
      <c r="C740" s="243"/>
      <c r="D740" s="243"/>
    </row>
    <row r="741" spans="2:4" ht="11.45" hidden="1" customHeight="1" x14ac:dyDescent="0.25">
      <c r="B741" s="243"/>
      <c r="C741" s="243"/>
      <c r="D741" s="243"/>
    </row>
    <row r="742" spans="2:4" ht="11.45" hidden="1" customHeight="1" x14ac:dyDescent="0.25">
      <c r="B742" s="243"/>
      <c r="C742" s="243"/>
      <c r="D742" s="243"/>
    </row>
    <row r="743" spans="2:4" ht="11.45" hidden="1" customHeight="1" x14ac:dyDescent="0.25">
      <c r="B743" s="243"/>
      <c r="C743" s="243"/>
      <c r="D743" s="243"/>
    </row>
    <row r="744" spans="2:4" ht="11.45" hidden="1" customHeight="1" x14ac:dyDescent="0.25">
      <c r="B744" s="243"/>
      <c r="C744" s="243"/>
      <c r="D744" s="243"/>
    </row>
    <row r="745" spans="2:4" ht="11.45" hidden="1" customHeight="1" x14ac:dyDescent="0.25">
      <c r="B745" s="243"/>
      <c r="C745" s="243"/>
      <c r="D745" s="243"/>
    </row>
    <row r="746" spans="2:4" ht="11.45" hidden="1" customHeight="1" x14ac:dyDescent="0.25">
      <c r="B746" s="243"/>
      <c r="C746" s="243"/>
      <c r="D746" s="243"/>
    </row>
    <row r="747" spans="2:4" ht="11.45" hidden="1" customHeight="1" x14ac:dyDescent="0.25">
      <c r="B747" s="243"/>
      <c r="C747" s="243"/>
      <c r="D747" s="243"/>
    </row>
    <row r="748" spans="2:4" ht="11.45" hidden="1" customHeight="1" x14ac:dyDescent="0.25">
      <c r="B748" s="243"/>
      <c r="C748" s="243"/>
      <c r="D748" s="243"/>
    </row>
    <row r="749" spans="2:4" ht="11.45" hidden="1" customHeight="1" x14ac:dyDescent="0.25">
      <c r="B749" s="243"/>
      <c r="C749" s="243"/>
      <c r="D749" s="243"/>
    </row>
    <row r="750" spans="2:4" ht="11.45" hidden="1" customHeight="1" x14ac:dyDescent="0.25">
      <c r="B750" s="243"/>
      <c r="C750" s="243"/>
      <c r="D750" s="243"/>
    </row>
    <row r="751" spans="2:4" ht="11.45" hidden="1" customHeight="1" x14ac:dyDescent="0.25">
      <c r="B751" s="243"/>
      <c r="C751" s="243"/>
      <c r="D751" s="243"/>
    </row>
    <row r="752" spans="2:4" ht="11.45" hidden="1" customHeight="1" x14ac:dyDescent="0.25">
      <c r="B752" s="243"/>
      <c r="C752" s="243"/>
      <c r="D752" s="243"/>
    </row>
    <row r="753" spans="2:4" ht="11.45" hidden="1" customHeight="1" x14ac:dyDescent="0.25">
      <c r="B753" s="243"/>
      <c r="C753" s="243"/>
      <c r="D753" s="243"/>
    </row>
    <row r="754" spans="2:4" ht="11.45" hidden="1" customHeight="1" x14ac:dyDescent="0.25">
      <c r="B754" s="243"/>
      <c r="C754" s="243"/>
      <c r="D754" s="243"/>
    </row>
    <row r="755" spans="2:4" ht="11.45" hidden="1" customHeight="1" x14ac:dyDescent="0.25">
      <c r="B755" s="243"/>
      <c r="C755" s="243"/>
      <c r="D755" s="243"/>
    </row>
    <row r="756" spans="2:4" ht="11.45" hidden="1" customHeight="1" x14ac:dyDescent="0.25">
      <c r="B756" s="243"/>
      <c r="C756" s="243"/>
      <c r="D756" s="243"/>
    </row>
    <row r="757" spans="2:4" ht="11.45" hidden="1" customHeight="1" x14ac:dyDescent="0.25">
      <c r="B757" s="243"/>
      <c r="C757" s="243"/>
      <c r="D757" s="243"/>
    </row>
    <row r="758" spans="2:4" ht="11.45" hidden="1" customHeight="1" x14ac:dyDescent="0.25">
      <c r="B758" s="243"/>
      <c r="C758" s="243"/>
      <c r="D758" s="243"/>
    </row>
    <row r="759" spans="2:4" ht="11.45" hidden="1" customHeight="1" x14ac:dyDescent="0.25">
      <c r="B759" s="243"/>
      <c r="C759" s="243"/>
      <c r="D759" s="243"/>
    </row>
    <row r="760" spans="2:4" ht="11.45" hidden="1" customHeight="1" x14ac:dyDescent="0.25">
      <c r="B760" s="243"/>
      <c r="C760" s="243"/>
      <c r="D760" s="243"/>
    </row>
    <row r="761" spans="2:4" ht="11.45" hidden="1" customHeight="1" x14ac:dyDescent="0.25">
      <c r="B761" s="243"/>
      <c r="C761" s="243"/>
      <c r="D761" s="243"/>
    </row>
    <row r="762" spans="2:4" ht="11.45" hidden="1" customHeight="1" x14ac:dyDescent="0.25">
      <c r="B762" s="243"/>
      <c r="C762" s="243"/>
      <c r="D762" s="243"/>
    </row>
    <row r="763" spans="2:4" ht="11.45" hidden="1" customHeight="1" x14ac:dyDescent="0.25">
      <c r="B763" s="243"/>
      <c r="C763" s="243"/>
      <c r="D763" s="243"/>
    </row>
    <row r="764" spans="2:4" ht="11.45" hidden="1" customHeight="1" x14ac:dyDescent="0.25">
      <c r="B764" s="243"/>
      <c r="C764" s="243"/>
      <c r="D764" s="243"/>
    </row>
    <row r="765" spans="2:4" ht="11.45" hidden="1" customHeight="1" x14ac:dyDescent="0.25">
      <c r="B765" s="243"/>
      <c r="C765" s="243"/>
      <c r="D765" s="243"/>
    </row>
    <row r="766" spans="2:4" ht="11.45" hidden="1" customHeight="1" x14ac:dyDescent="0.25">
      <c r="B766" s="243"/>
      <c r="C766" s="243"/>
      <c r="D766" s="243"/>
    </row>
    <row r="767" spans="2:4" ht="11.45" hidden="1" customHeight="1" x14ac:dyDescent="0.25">
      <c r="B767" s="243"/>
      <c r="C767" s="243"/>
      <c r="D767" s="243"/>
    </row>
    <row r="768" spans="2:4" ht="11.45" hidden="1" customHeight="1" x14ac:dyDescent="0.25">
      <c r="B768" s="243"/>
      <c r="C768" s="243"/>
      <c r="D768" s="243"/>
    </row>
    <row r="769" spans="2:4" ht="11.45" hidden="1" customHeight="1" x14ac:dyDescent="0.25">
      <c r="B769" s="243"/>
      <c r="C769" s="243"/>
      <c r="D769" s="243"/>
    </row>
    <row r="770" spans="2:4" ht="11.45" hidden="1" customHeight="1" x14ac:dyDescent="0.25">
      <c r="B770" s="243"/>
      <c r="C770" s="243"/>
      <c r="D770" s="243"/>
    </row>
    <row r="771" spans="2:4" ht="11.45" hidden="1" customHeight="1" x14ac:dyDescent="0.25">
      <c r="B771" s="243"/>
      <c r="C771" s="243"/>
      <c r="D771" s="243"/>
    </row>
    <row r="772" spans="2:4" ht="11.45" hidden="1" customHeight="1" x14ac:dyDescent="0.25">
      <c r="B772" s="243"/>
      <c r="C772" s="243"/>
      <c r="D772" s="243"/>
    </row>
    <row r="773" spans="2:4" ht="11.45" hidden="1" customHeight="1" x14ac:dyDescent="0.25">
      <c r="B773" s="243"/>
      <c r="C773" s="243"/>
      <c r="D773" s="243"/>
    </row>
    <row r="774" spans="2:4" ht="11.45" hidden="1" customHeight="1" x14ac:dyDescent="0.25">
      <c r="B774" s="243"/>
      <c r="C774" s="243"/>
      <c r="D774" s="243"/>
    </row>
    <row r="775" spans="2:4" ht="11.45" hidden="1" customHeight="1" x14ac:dyDescent="0.25">
      <c r="B775" s="243"/>
      <c r="C775" s="243"/>
      <c r="D775" s="243"/>
    </row>
    <row r="776" spans="2:4" ht="11.45" hidden="1" customHeight="1" x14ac:dyDescent="0.25">
      <c r="B776" s="243"/>
      <c r="C776" s="243"/>
      <c r="D776" s="243"/>
    </row>
    <row r="777" spans="2:4" ht="11.45" hidden="1" customHeight="1" x14ac:dyDescent="0.25">
      <c r="B777" s="243"/>
      <c r="C777" s="243"/>
      <c r="D777" s="243"/>
    </row>
    <row r="778" spans="2:4" ht="11.45" hidden="1" customHeight="1" x14ac:dyDescent="0.25">
      <c r="B778" s="243"/>
      <c r="C778" s="243"/>
      <c r="D778" s="243"/>
    </row>
    <row r="779" spans="2:4" ht="11.45" hidden="1" customHeight="1" x14ac:dyDescent="0.25">
      <c r="B779" s="243"/>
      <c r="C779" s="243"/>
      <c r="D779" s="243"/>
    </row>
    <row r="780" spans="2:4" ht="11.45" hidden="1" customHeight="1" x14ac:dyDescent="0.25">
      <c r="B780" s="243"/>
      <c r="C780" s="243"/>
      <c r="D780" s="243"/>
    </row>
    <row r="781" spans="2:4" ht="11.45" hidden="1" customHeight="1" x14ac:dyDescent="0.25">
      <c r="B781" s="243"/>
      <c r="C781" s="243"/>
      <c r="D781" s="243"/>
    </row>
    <row r="782" spans="2:4" ht="11.45" hidden="1" customHeight="1" x14ac:dyDescent="0.25">
      <c r="B782" s="243"/>
      <c r="C782" s="243"/>
      <c r="D782" s="243"/>
    </row>
    <row r="783" spans="2:4" ht="11.45" hidden="1" customHeight="1" x14ac:dyDescent="0.25">
      <c r="B783" s="243"/>
      <c r="C783" s="243"/>
      <c r="D783" s="243"/>
    </row>
    <row r="784" spans="2:4" ht="11.45" hidden="1" customHeight="1" x14ac:dyDescent="0.25">
      <c r="B784" s="243"/>
      <c r="C784" s="243"/>
      <c r="D784" s="243"/>
    </row>
    <row r="785" spans="2:4" ht="11.45" hidden="1" customHeight="1" x14ac:dyDescent="0.25">
      <c r="B785" s="243"/>
      <c r="C785" s="243"/>
      <c r="D785" s="243"/>
    </row>
    <row r="786" spans="2:4" ht="11.45" hidden="1" customHeight="1" x14ac:dyDescent="0.25">
      <c r="B786" s="243"/>
      <c r="C786" s="243"/>
      <c r="D786" s="243"/>
    </row>
    <row r="787" spans="2:4" ht="11.45" hidden="1" customHeight="1" x14ac:dyDescent="0.25">
      <c r="B787" s="243"/>
      <c r="C787" s="243"/>
      <c r="D787" s="243"/>
    </row>
    <row r="788" spans="2:4" ht="11.45" hidden="1" customHeight="1" x14ac:dyDescent="0.25">
      <c r="B788" s="243"/>
      <c r="C788" s="243"/>
      <c r="D788" s="243"/>
    </row>
    <row r="789" spans="2:4" ht="11.45" hidden="1" customHeight="1" x14ac:dyDescent="0.25">
      <c r="B789" s="243"/>
      <c r="C789" s="243"/>
      <c r="D789" s="243"/>
    </row>
    <row r="790" spans="2:4" ht="11.45" hidden="1" customHeight="1" x14ac:dyDescent="0.25">
      <c r="B790" s="243"/>
      <c r="C790" s="243"/>
      <c r="D790" s="243"/>
    </row>
    <row r="791" spans="2:4" ht="11.45" hidden="1" customHeight="1" x14ac:dyDescent="0.25">
      <c r="B791" s="243"/>
      <c r="C791" s="243"/>
      <c r="D791" s="243"/>
    </row>
    <row r="792" spans="2:4" ht="11.45" hidden="1" customHeight="1" x14ac:dyDescent="0.25">
      <c r="B792" s="243"/>
      <c r="C792" s="243"/>
      <c r="D792" s="243"/>
    </row>
    <row r="793" spans="2:4" ht="11.45" hidden="1" customHeight="1" x14ac:dyDescent="0.25">
      <c r="B793" s="243"/>
      <c r="C793" s="243"/>
      <c r="D793" s="243"/>
    </row>
    <row r="794" spans="2:4" ht="11.45" hidden="1" customHeight="1" x14ac:dyDescent="0.25">
      <c r="B794" s="243"/>
      <c r="C794" s="243"/>
      <c r="D794" s="243"/>
    </row>
    <row r="795" spans="2:4" ht="11.45" hidden="1" customHeight="1" x14ac:dyDescent="0.25">
      <c r="B795" s="243"/>
      <c r="C795" s="243"/>
      <c r="D795" s="243"/>
    </row>
    <row r="796" spans="2:4" ht="11.45" hidden="1" customHeight="1" x14ac:dyDescent="0.25">
      <c r="B796" s="243"/>
      <c r="C796" s="243"/>
      <c r="D796" s="243"/>
    </row>
    <row r="797" spans="2:4" ht="11.45" hidden="1" customHeight="1" x14ac:dyDescent="0.25">
      <c r="B797" s="243"/>
      <c r="C797" s="243"/>
      <c r="D797" s="243"/>
    </row>
    <row r="798" spans="2:4" ht="11.45" hidden="1" customHeight="1" x14ac:dyDescent="0.25">
      <c r="B798" s="243"/>
      <c r="C798" s="243"/>
      <c r="D798" s="243"/>
    </row>
    <row r="799" spans="2:4" ht="11.45" hidden="1" customHeight="1" x14ac:dyDescent="0.25">
      <c r="B799" s="243"/>
      <c r="C799" s="243"/>
      <c r="D799" s="243"/>
    </row>
    <row r="800" spans="2:4" ht="11.45" hidden="1" customHeight="1" x14ac:dyDescent="0.25">
      <c r="B800" s="243"/>
      <c r="C800" s="243"/>
      <c r="D800" s="243"/>
    </row>
    <row r="801" spans="2:4" ht="11.45" hidden="1" customHeight="1" x14ac:dyDescent="0.25">
      <c r="B801" s="243"/>
      <c r="C801" s="243"/>
      <c r="D801" s="243"/>
    </row>
    <row r="802" spans="2:4" ht="11.45" hidden="1" customHeight="1" x14ac:dyDescent="0.25">
      <c r="B802" s="243"/>
      <c r="C802" s="243"/>
      <c r="D802" s="243"/>
    </row>
    <row r="803" spans="2:4" ht="11.45" hidden="1" customHeight="1" x14ac:dyDescent="0.25">
      <c r="B803" s="243"/>
      <c r="C803" s="243"/>
      <c r="D803" s="243"/>
    </row>
    <row r="804" spans="2:4" ht="11.45" hidden="1" customHeight="1" x14ac:dyDescent="0.25">
      <c r="B804" s="243"/>
      <c r="C804" s="243"/>
      <c r="D804" s="243"/>
    </row>
    <row r="805" spans="2:4" ht="11.45" hidden="1" customHeight="1" x14ac:dyDescent="0.25">
      <c r="B805" s="243"/>
      <c r="C805" s="243"/>
      <c r="D805" s="243"/>
    </row>
    <row r="806" spans="2:4" ht="11.45" hidden="1" customHeight="1" x14ac:dyDescent="0.25">
      <c r="B806" s="243"/>
      <c r="C806" s="243"/>
      <c r="D806" s="243"/>
    </row>
    <row r="807" spans="2:4" ht="11.45" hidden="1" customHeight="1" x14ac:dyDescent="0.25">
      <c r="B807" s="243"/>
      <c r="C807" s="243"/>
      <c r="D807" s="243"/>
    </row>
    <row r="808" spans="2:4" ht="11.45" hidden="1" customHeight="1" x14ac:dyDescent="0.25">
      <c r="B808" s="243"/>
      <c r="C808" s="243"/>
      <c r="D808" s="243"/>
    </row>
    <row r="809" spans="2:4" ht="11.45" hidden="1" customHeight="1" x14ac:dyDescent="0.25">
      <c r="B809" s="243"/>
      <c r="C809" s="243"/>
      <c r="D809" s="243"/>
    </row>
    <row r="810" spans="2:4" ht="11.45" hidden="1" customHeight="1" x14ac:dyDescent="0.25">
      <c r="B810" s="243"/>
      <c r="C810" s="243"/>
      <c r="D810" s="243"/>
    </row>
    <row r="811" spans="2:4" ht="11.45" hidden="1" customHeight="1" x14ac:dyDescent="0.25">
      <c r="B811" s="243"/>
      <c r="C811" s="243"/>
      <c r="D811" s="243"/>
    </row>
    <row r="812" spans="2:4" ht="11.45" hidden="1" customHeight="1" x14ac:dyDescent="0.25">
      <c r="B812" s="243"/>
      <c r="C812" s="243"/>
      <c r="D812" s="243"/>
    </row>
    <row r="813" spans="2:4" ht="11.45" hidden="1" customHeight="1" x14ac:dyDescent="0.25">
      <c r="B813" s="243"/>
      <c r="C813" s="243"/>
      <c r="D813" s="243"/>
    </row>
    <row r="814" spans="2:4" ht="11.45" hidden="1" customHeight="1" x14ac:dyDescent="0.25">
      <c r="B814" s="243"/>
      <c r="C814" s="243"/>
      <c r="D814" s="243"/>
    </row>
    <row r="815" spans="2:4" ht="11.45" hidden="1" customHeight="1" x14ac:dyDescent="0.25">
      <c r="B815" s="243"/>
      <c r="C815" s="243"/>
      <c r="D815" s="243"/>
    </row>
    <row r="816" spans="2:4" ht="11.45" hidden="1" customHeight="1" x14ac:dyDescent="0.25">
      <c r="B816" s="243"/>
      <c r="C816" s="243"/>
      <c r="D816" s="243"/>
    </row>
    <row r="817" spans="2:4" ht="11.45" hidden="1" customHeight="1" x14ac:dyDescent="0.25">
      <c r="B817" s="243"/>
      <c r="C817" s="243"/>
      <c r="D817" s="243"/>
    </row>
    <row r="818" spans="2:4" ht="11.45" hidden="1" customHeight="1" x14ac:dyDescent="0.25">
      <c r="B818" s="243"/>
      <c r="C818" s="243"/>
      <c r="D818" s="243"/>
    </row>
    <row r="819" spans="2:4" ht="11.45" hidden="1" customHeight="1" x14ac:dyDescent="0.25">
      <c r="B819" s="243"/>
      <c r="C819" s="243"/>
      <c r="D819" s="243"/>
    </row>
    <row r="820" spans="2:4" ht="11.45" hidden="1" customHeight="1" x14ac:dyDescent="0.25">
      <c r="B820" s="243"/>
      <c r="C820" s="243"/>
      <c r="D820" s="243"/>
    </row>
    <row r="821" spans="2:4" ht="11.45" hidden="1" customHeight="1" x14ac:dyDescent="0.25">
      <c r="B821" s="243"/>
      <c r="C821" s="243"/>
      <c r="D821" s="243"/>
    </row>
    <row r="822" spans="2:4" ht="11.45" hidden="1" customHeight="1" x14ac:dyDescent="0.25">
      <c r="B822" s="243"/>
      <c r="C822" s="243"/>
      <c r="D822" s="243"/>
    </row>
    <row r="823" spans="2:4" ht="11.45" hidden="1" customHeight="1" x14ac:dyDescent="0.25">
      <c r="B823" s="243"/>
      <c r="C823" s="243"/>
      <c r="D823" s="243"/>
    </row>
    <row r="824" spans="2:4" ht="11.45" hidden="1" customHeight="1" x14ac:dyDescent="0.25">
      <c r="B824" s="243"/>
      <c r="C824" s="243"/>
      <c r="D824" s="243"/>
    </row>
    <row r="825" spans="2:4" ht="11.45" hidden="1" customHeight="1" x14ac:dyDescent="0.25">
      <c r="B825" s="243"/>
      <c r="C825" s="243"/>
      <c r="D825" s="243"/>
    </row>
    <row r="826" spans="2:4" ht="11.45" hidden="1" customHeight="1" x14ac:dyDescent="0.25">
      <c r="B826" s="243"/>
      <c r="C826" s="243"/>
      <c r="D826" s="243"/>
    </row>
    <row r="827" spans="2:4" ht="11.45" hidden="1" customHeight="1" x14ac:dyDescent="0.25">
      <c r="B827" s="243"/>
      <c r="C827" s="243"/>
      <c r="D827" s="243"/>
    </row>
    <row r="828" spans="2:4" ht="11.45" hidden="1" customHeight="1" x14ac:dyDescent="0.25">
      <c r="B828" s="243"/>
      <c r="C828" s="243"/>
      <c r="D828" s="243"/>
    </row>
    <row r="829" spans="2:4" ht="11.45" hidden="1" customHeight="1" x14ac:dyDescent="0.25">
      <c r="B829" s="243"/>
      <c r="C829" s="243"/>
      <c r="D829" s="243"/>
    </row>
    <row r="830" spans="2:4" ht="11.45" hidden="1" customHeight="1" x14ac:dyDescent="0.25">
      <c r="B830" s="243"/>
      <c r="C830" s="243"/>
      <c r="D830" s="243"/>
    </row>
    <row r="831" spans="2:4" ht="11.45" hidden="1" customHeight="1" x14ac:dyDescent="0.25">
      <c r="B831" s="243"/>
      <c r="C831" s="243"/>
      <c r="D831" s="243"/>
    </row>
    <row r="832" spans="2:4" ht="11.45" hidden="1" customHeight="1" x14ac:dyDescent="0.25">
      <c r="B832" s="243"/>
      <c r="C832" s="243"/>
      <c r="D832" s="243"/>
    </row>
    <row r="833" spans="2:4" ht="11.45" hidden="1" customHeight="1" x14ac:dyDescent="0.25">
      <c r="B833" s="243"/>
      <c r="C833" s="243"/>
      <c r="D833" s="243"/>
    </row>
    <row r="834" spans="2:4" ht="11.45" hidden="1" customHeight="1" x14ac:dyDescent="0.25">
      <c r="B834" s="243"/>
      <c r="C834" s="243"/>
      <c r="D834" s="243"/>
    </row>
    <row r="835" spans="2:4" ht="11.45" hidden="1" customHeight="1" x14ac:dyDescent="0.25">
      <c r="B835" s="243"/>
      <c r="C835" s="243"/>
      <c r="D835" s="243"/>
    </row>
    <row r="836" spans="2:4" ht="11.45" hidden="1" customHeight="1" x14ac:dyDescent="0.25">
      <c r="B836" s="243"/>
      <c r="C836" s="243"/>
      <c r="D836" s="243"/>
    </row>
    <row r="837" spans="2:4" ht="11.45" hidden="1" customHeight="1" x14ac:dyDescent="0.25">
      <c r="B837" s="243"/>
      <c r="C837" s="243"/>
      <c r="D837" s="243"/>
    </row>
    <row r="838" spans="2:4" ht="11.45" hidden="1" customHeight="1" x14ac:dyDescent="0.25">
      <c r="B838" s="243"/>
      <c r="C838" s="243"/>
      <c r="D838" s="243"/>
    </row>
    <row r="839" spans="2:4" ht="11.45" hidden="1" customHeight="1" x14ac:dyDescent="0.25">
      <c r="B839" s="243"/>
      <c r="C839" s="243"/>
      <c r="D839" s="243"/>
    </row>
    <row r="840" spans="2:4" ht="11.45" hidden="1" customHeight="1" x14ac:dyDescent="0.25">
      <c r="B840" s="243"/>
      <c r="C840" s="243"/>
      <c r="D840" s="243"/>
    </row>
    <row r="841" spans="2:4" ht="11.45" hidden="1" customHeight="1" x14ac:dyDescent="0.25">
      <c r="B841" s="243"/>
      <c r="C841" s="243"/>
      <c r="D841" s="243"/>
    </row>
    <row r="842" spans="2:4" ht="11.45" hidden="1" customHeight="1" x14ac:dyDescent="0.25">
      <c r="B842" s="243"/>
      <c r="C842" s="243"/>
      <c r="D842" s="243"/>
    </row>
    <row r="843" spans="2:4" ht="11.45" hidden="1" customHeight="1" x14ac:dyDescent="0.25">
      <c r="B843" s="243"/>
      <c r="C843" s="243"/>
      <c r="D843" s="243"/>
    </row>
    <row r="844" spans="2:4" ht="11.45" hidden="1" customHeight="1" x14ac:dyDescent="0.25">
      <c r="B844" s="243"/>
      <c r="C844" s="243"/>
      <c r="D844" s="243"/>
    </row>
    <row r="845" spans="2:4" ht="11.45" hidden="1" customHeight="1" x14ac:dyDescent="0.25">
      <c r="B845" s="243"/>
      <c r="C845" s="243"/>
      <c r="D845" s="243"/>
    </row>
    <row r="846" spans="2:4" ht="11.45" hidden="1" customHeight="1" x14ac:dyDescent="0.25">
      <c r="B846" s="243"/>
      <c r="C846" s="243"/>
      <c r="D846" s="243"/>
    </row>
    <row r="847" spans="2:4" ht="11.45" hidden="1" customHeight="1" x14ac:dyDescent="0.25">
      <c r="B847" s="243"/>
      <c r="C847" s="243"/>
      <c r="D847" s="243"/>
    </row>
    <row r="848" spans="2:4" ht="11.45" hidden="1" customHeight="1" x14ac:dyDescent="0.25">
      <c r="B848" s="243"/>
      <c r="C848" s="243"/>
      <c r="D848" s="243"/>
    </row>
    <row r="849" spans="2:4" ht="11.45" hidden="1" customHeight="1" x14ac:dyDescent="0.25">
      <c r="B849" s="243"/>
      <c r="C849" s="243"/>
      <c r="D849" s="243"/>
    </row>
    <row r="850" spans="2:4" ht="11.45" hidden="1" customHeight="1" x14ac:dyDescent="0.25">
      <c r="B850" s="243"/>
      <c r="C850" s="243"/>
      <c r="D850" s="243"/>
    </row>
    <row r="851" spans="2:4" ht="11.45" hidden="1" customHeight="1" x14ac:dyDescent="0.25">
      <c r="B851" s="243"/>
      <c r="C851" s="243"/>
      <c r="D851" s="243"/>
    </row>
    <row r="852" spans="2:4" ht="11.45" hidden="1" customHeight="1" x14ac:dyDescent="0.25">
      <c r="B852" s="243"/>
      <c r="C852" s="243"/>
      <c r="D852" s="243"/>
    </row>
    <row r="853" spans="2:4" ht="11.45" hidden="1" customHeight="1" x14ac:dyDescent="0.25">
      <c r="B853" s="243"/>
      <c r="C853" s="243"/>
      <c r="D853" s="243"/>
    </row>
    <row r="854" spans="2:4" ht="11.45" hidden="1" customHeight="1" x14ac:dyDescent="0.25">
      <c r="B854" s="243"/>
      <c r="C854" s="243"/>
      <c r="D854" s="243"/>
    </row>
    <row r="855" spans="2:4" ht="11.45" hidden="1" customHeight="1" x14ac:dyDescent="0.25">
      <c r="B855" s="243"/>
      <c r="C855" s="243"/>
      <c r="D855" s="243"/>
    </row>
    <row r="856" spans="2:4" ht="11.45" hidden="1" customHeight="1" x14ac:dyDescent="0.25">
      <c r="B856" s="243"/>
      <c r="C856" s="243"/>
      <c r="D856" s="243"/>
    </row>
    <row r="857" spans="2:4" ht="11.45" hidden="1" customHeight="1" x14ac:dyDescent="0.25">
      <c r="B857" s="243"/>
      <c r="C857" s="243"/>
      <c r="D857" s="243"/>
    </row>
    <row r="858" spans="2:4" ht="11.45" hidden="1" customHeight="1" x14ac:dyDescent="0.25">
      <c r="B858" s="243"/>
      <c r="C858" s="243"/>
      <c r="D858" s="243"/>
    </row>
    <row r="859" spans="2:4" ht="11.45" hidden="1" customHeight="1" x14ac:dyDescent="0.25">
      <c r="B859" s="243"/>
      <c r="C859" s="243"/>
      <c r="D859" s="243"/>
    </row>
    <row r="860" spans="2:4" ht="11.45" hidden="1" customHeight="1" x14ac:dyDescent="0.25">
      <c r="B860" s="243"/>
      <c r="C860" s="243"/>
      <c r="D860" s="243"/>
    </row>
    <row r="861" spans="2:4" ht="11.45" hidden="1" customHeight="1" x14ac:dyDescent="0.25">
      <c r="B861" s="243"/>
      <c r="C861" s="243"/>
      <c r="D861" s="243"/>
    </row>
    <row r="862" spans="2:4" ht="11.45" hidden="1" customHeight="1" x14ac:dyDescent="0.25">
      <c r="B862" s="243"/>
      <c r="C862" s="243"/>
      <c r="D862" s="243"/>
    </row>
    <row r="863" spans="2:4" ht="11.45" hidden="1" customHeight="1" x14ac:dyDescent="0.25">
      <c r="B863" s="243"/>
      <c r="C863" s="243"/>
      <c r="D863" s="243"/>
    </row>
    <row r="864" spans="2:4" ht="11.45" hidden="1" customHeight="1" x14ac:dyDescent="0.25">
      <c r="B864" s="243"/>
      <c r="C864" s="243"/>
      <c r="D864" s="243"/>
    </row>
    <row r="865" spans="2:4" ht="11.45" hidden="1" customHeight="1" x14ac:dyDescent="0.25">
      <c r="B865" s="243"/>
      <c r="C865" s="243"/>
      <c r="D865" s="243"/>
    </row>
    <row r="866" spans="2:4" ht="11.45" hidden="1" customHeight="1" x14ac:dyDescent="0.25">
      <c r="B866" s="243"/>
      <c r="C866" s="243"/>
      <c r="D866" s="243"/>
    </row>
    <row r="867" spans="2:4" ht="11.45" hidden="1" customHeight="1" x14ac:dyDescent="0.25">
      <c r="B867" s="243"/>
      <c r="C867" s="243"/>
      <c r="D867" s="243"/>
    </row>
    <row r="868" spans="2:4" ht="11.45" hidden="1" customHeight="1" x14ac:dyDescent="0.25">
      <c r="B868" s="243"/>
      <c r="C868" s="243"/>
      <c r="D868" s="243"/>
    </row>
    <row r="869" spans="2:4" ht="11.45" hidden="1" customHeight="1" x14ac:dyDescent="0.25">
      <c r="B869" s="243"/>
      <c r="C869" s="243"/>
      <c r="D869" s="243"/>
    </row>
    <row r="870" spans="2:4" ht="11.45" hidden="1" customHeight="1" x14ac:dyDescent="0.25">
      <c r="B870" s="243"/>
      <c r="C870" s="243"/>
      <c r="D870" s="243"/>
    </row>
    <row r="871" spans="2:4" ht="11.45" hidden="1" customHeight="1" x14ac:dyDescent="0.25">
      <c r="B871" s="243"/>
      <c r="C871" s="243"/>
      <c r="D871" s="243"/>
    </row>
    <row r="872" spans="2:4" ht="11.45" hidden="1" customHeight="1" x14ac:dyDescent="0.25">
      <c r="B872" s="243"/>
      <c r="C872" s="243"/>
      <c r="D872" s="243"/>
    </row>
    <row r="873" spans="2:4" ht="11.45" hidden="1" customHeight="1" x14ac:dyDescent="0.25">
      <c r="B873" s="243"/>
      <c r="C873" s="243"/>
      <c r="D873" s="243"/>
    </row>
    <row r="874" spans="2:4" ht="11.45" hidden="1" customHeight="1" x14ac:dyDescent="0.25">
      <c r="B874" s="243"/>
      <c r="C874" s="243"/>
      <c r="D874" s="243"/>
    </row>
    <row r="875" spans="2:4" ht="11.45" hidden="1" customHeight="1" x14ac:dyDescent="0.25">
      <c r="B875" s="243"/>
      <c r="C875" s="243"/>
      <c r="D875" s="243"/>
    </row>
    <row r="876" spans="2:4" ht="11.45" hidden="1" customHeight="1" x14ac:dyDescent="0.25">
      <c r="B876" s="243"/>
      <c r="C876" s="243"/>
      <c r="D876" s="243"/>
    </row>
    <row r="877" spans="2:4" ht="11.45" hidden="1" customHeight="1" x14ac:dyDescent="0.25">
      <c r="B877" s="243"/>
      <c r="C877" s="243"/>
      <c r="D877" s="243"/>
    </row>
    <row r="878" spans="2:4" ht="11.45" hidden="1" customHeight="1" x14ac:dyDescent="0.25">
      <c r="B878" s="243"/>
      <c r="C878" s="243"/>
      <c r="D878" s="243"/>
    </row>
    <row r="879" spans="2:4" ht="11.45" hidden="1" customHeight="1" x14ac:dyDescent="0.25">
      <c r="B879" s="243"/>
      <c r="C879" s="243"/>
      <c r="D879" s="243"/>
    </row>
    <row r="880" spans="2:4" ht="11.45" hidden="1" customHeight="1" x14ac:dyDescent="0.25">
      <c r="B880" s="243"/>
      <c r="C880" s="243"/>
      <c r="D880" s="243"/>
    </row>
    <row r="881" spans="2:4" ht="11.45" hidden="1" customHeight="1" x14ac:dyDescent="0.25">
      <c r="B881" s="243"/>
      <c r="C881" s="243"/>
      <c r="D881" s="243"/>
    </row>
    <row r="882" spans="2:4" ht="11.45" hidden="1" customHeight="1" x14ac:dyDescent="0.25">
      <c r="B882" s="243"/>
      <c r="C882" s="243"/>
      <c r="D882" s="243"/>
    </row>
    <row r="883" spans="2:4" ht="11.45" hidden="1" customHeight="1" x14ac:dyDescent="0.25">
      <c r="B883" s="243"/>
      <c r="C883" s="243"/>
      <c r="D883" s="243"/>
    </row>
    <row r="884" spans="2:4" ht="11.45" hidden="1" customHeight="1" x14ac:dyDescent="0.25">
      <c r="B884" s="243"/>
      <c r="C884" s="243"/>
      <c r="D884" s="243"/>
    </row>
    <row r="885" spans="2:4" ht="11.45" hidden="1" customHeight="1" x14ac:dyDescent="0.25">
      <c r="B885" s="243"/>
      <c r="C885" s="243"/>
      <c r="D885" s="243"/>
    </row>
    <row r="886" spans="2:4" ht="11.45" hidden="1" customHeight="1" x14ac:dyDescent="0.25">
      <c r="B886" s="243"/>
      <c r="C886" s="243"/>
      <c r="D886" s="243"/>
    </row>
    <row r="887" spans="2:4" ht="11.45" hidden="1" customHeight="1" x14ac:dyDescent="0.25">
      <c r="B887" s="243"/>
      <c r="C887" s="243"/>
      <c r="D887" s="243"/>
    </row>
    <row r="888" spans="2:4" ht="11.45" hidden="1" customHeight="1" x14ac:dyDescent="0.25">
      <c r="B888" s="243"/>
      <c r="C888" s="243"/>
      <c r="D888" s="243"/>
    </row>
    <row r="889" spans="2:4" ht="11.45" hidden="1" customHeight="1" x14ac:dyDescent="0.25">
      <c r="B889" s="243"/>
      <c r="C889" s="243"/>
      <c r="D889" s="243"/>
    </row>
    <row r="890" spans="2:4" ht="11.45" hidden="1" customHeight="1" x14ac:dyDescent="0.25">
      <c r="B890" s="243"/>
      <c r="C890" s="243"/>
      <c r="D890" s="243"/>
    </row>
    <row r="891" spans="2:4" ht="11.45" hidden="1" customHeight="1" x14ac:dyDescent="0.25">
      <c r="B891" s="243"/>
      <c r="C891" s="243"/>
      <c r="D891" s="243"/>
    </row>
    <row r="892" spans="2:4" ht="11.45" hidden="1" customHeight="1" x14ac:dyDescent="0.25">
      <c r="B892" s="243"/>
      <c r="C892" s="243"/>
      <c r="D892" s="243"/>
    </row>
    <row r="893" spans="2:4" ht="11.45" hidden="1" customHeight="1" x14ac:dyDescent="0.25">
      <c r="B893" s="243"/>
      <c r="C893" s="243"/>
      <c r="D893" s="243"/>
    </row>
    <row r="894" spans="2:4" ht="11.45" hidden="1" customHeight="1" x14ac:dyDescent="0.25">
      <c r="B894" s="243"/>
      <c r="C894" s="243"/>
      <c r="D894" s="243"/>
    </row>
    <row r="895" spans="2:4" ht="11.45" hidden="1" customHeight="1" x14ac:dyDescent="0.25">
      <c r="B895" s="243"/>
      <c r="C895" s="243"/>
      <c r="D895" s="243"/>
    </row>
    <row r="896" spans="2:4" ht="11.45" hidden="1" customHeight="1" x14ac:dyDescent="0.25">
      <c r="B896" s="243"/>
      <c r="C896" s="243"/>
      <c r="D896" s="243"/>
    </row>
    <row r="897" spans="2:4" ht="11.45" hidden="1" customHeight="1" x14ac:dyDescent="0.25">
      <c r="B897" s="243"/>
      <c r="C897" s="243"/>
      <c r="D897" s="243"/>
    </row>
    <row r="898" spans="2:4" ht="11.45" hidden="1" customHeight="1" x14ac:dyDescent="0.25">
      <c r="B898" s="243"/>
      <c r="C898" s="243"/>
      <c r="D898" s="243"/>
    </row>
    <row r="899" spans="2:4" ht="11.45" hidden="1" customHeight="1" x14ac:dyDescent="0.25">
      <c r="B899" s="243"/>
      <c r="C899" s="243"/>
      <c r="D899" s="243"/>
    </row>
    <row r="900" spans="2:4" ht="11.45" hidden="1" customHeight="1" x14ac:dyDescent="0.25">
      <c r="B900" s="243"/>
      <c r="C900" s="243"/>
      <c r="D900" s="243"/>
    </row>
    <row r="901" spans="2:4" ht="11.45" hidden="1" customHeight="1" x14ac:dyDescent="0.25">
      <c r="B901" s="243"/>
      <c r="C901" s="243"/>
      <c r="D901" s="243"/>
    </row>
    <row r="902" spans="2:4" ht="11.45" hidden="1" customHeight="1" x14ac:dyDescent="0.25">
      <c r="B902" s="243"/>
      <c r="C902" s="243"/>
      <c r="D902" s="243"/>
    </row>
    <row r="903" spans="2:4" ht="11.45" hidden="1" customHeight="1" x14ac:dyDescent="0.25">
      <c r="B903" s="243"/>
      <c r="C903" s="243"/>
      <c r="D903" s="243"/>
    </row>
    <row r="904" spans="2:4" ht="11.45" hidden="1" customHeight="1" x14ac:dyDescent="0.25">
      <c r="B904" s="243"/>
      <c r="C904" s="243"/>
      <c r="D904" s="243"/>
    </row>
    <row r="905" spans="2:4" ht="11.45" hidden="1" customHeight="1" x14ac:dyDescent="0.25">
      <c r="B905" s="243"/>
      <c r="C905" s="243"/>
      <c r="D905" s="243"/>
    </row>
    <row r="906" spans="2:4" ht="11.45" hidden="1" customHeight="1" x14ac:dyDescent="0.25">
      <c r="B906" s="243"/>
      <c r="C906" s="243"/>
      <c r="D906" s="243"/>
    </row>
    <row r="907" spans="2:4" ht="11.45" hidden="1" customHeight="1" x14ac:dyDescent="0.25">
      <c r="B907" s="243"/>
      <c r="C907" s="243"/>
      <c r="D907" s="243"/>
    </row>
    <row r="908" spans="2:4" ht="11.45" hidden="1" customHeight="1" x14ac:dyDescent="0.25">
      <c r="B908" s="243"/>
      <c r="C908" s="243"/>
      <c r="D908" s="243"/>
    </row>
    <row r="909" spans="2:4" ht="11.45" hidden="1" customHeight="1" x14ac:dyDescent="0.25">
      <c r="B909" s="243"/>
      <c r="C909" s="243"/>
      <c r="D909" s="243"/>
    </row>
    <row r="910" spans="2:4" ht="11.45" hidden="1" customHeight="1" x14ac:dyDescent="0.25">
      <c r="B910" s="243"/>
      <c r="C910" s="243"/>
      <c r="D910" s="243"/>
    </row>
    <row r="911" spans="2:4" ht="11.45" hidden="1" customHeight="1" x14ac:dyDescent="0.25">
      <c r="B911" s="243"/>
      <c r="C911" s="243"/>
      <c r="D911" s="243"/>
    </row>
    <row r="912" spans="2:4" ht="11.45" hidden="1" customHeight="1" x14ac:dyDescent="0.25">
      <c r="B912" s="243"/>
      <c r="C912" s="243"/>
      <c r="D912" s="243"/>
    </row>
    <row r="913" spans="2:4" ht="11.45" hidden="1" customHeight="1" x14ac:dyDescent="0.25">
      <c r="B913" s="243"/>
      <c r="C913" s="243"/>
      <c r="D913" s="243"/>
    </row>
    <row r="914" spans="2:4" ht="11.45" hidden="1" customHeight="1" x14ac:dyDescent="0.25">
      <c r="B914" s="243"/>
      <c r="C914" s="243"/>
      <c r="D914" s="243"/>
    </row>
    <row r="915" spans="2:4" ht="11.45" hidden="1" customHeight="1" x14ac:dyDescent="0.25">
      <c r="B915" s="243"/>
      <c r="C915" s="243"/>
      <c r="D915" s="243"/>
    </row>
    <row r="916" spans="2:4" ht="11.45" hidden="1" customHeight="1" x14ac:dyDescent="0.25">
      <c r="B916" s="243"/>
      <c r="C916" s="243"/>
      <c r="D916" s="243"/>
    </row>
    <row r="917" spans="2:4" ht="11.45" hidden="1" customHeight="1" x14ac:dyDescent="0.25">
      <c r="B917" s="243"/>
      <c r="C917" s="243"/>
      <c r="D917" s="243"/>
    </row>
    <row r="918" spans="2:4" ht="11.45" hidden="1" customHeight="1" x14ac:dyDescent="0.25">
      <c r="B918" s="243"/>
      <c r="C918" s="243"/>
      <c r="D918" s="243"/>
    </row>
    <row r="919" spans="2:4" ht="11.45" hidden="1" customHeight="1" x14ac:dyDescent="0.25">
      <c r="B919" s="243"/>
      <c r="C919" s="243"/>
      <c r="D919" s="243"/>
    </row>
    <row r="920" spans="2:4" ht="11.45" hidden="1" customHeight="1" x14ac:dyDescent="0.25">
      <c r="B920" s="243"/>
      <c r="C920" s="243"/>
      <c r="D920" s="243"/>
    </row>
    <row r="921" spans="2:4" ht="11.45" hidden="1" customHeight="1" x14ac:dyDescent="0.25">
      <c r="B921" s="243"/>
      <c r="C921" s="243"/>
      <c r="D921" s="243"/>
    </row>
    <row r="922" spans="2:4" ht="11.45" hidden="1" customHeight="1" x14ac:dyDescent="0.25">
      <c r="B922" s="243"/>
      <c r="C922" s="243"/>
      <c r="D922" s="243"/>
    </row>
    <row r="923" spans="2:4" ht="11.45" hidden="1" customHeight="1" x14ac:dyDescent="0.25">
      <c r="B923" s="243"/>
      <c r="C923" s="243"/>
      <c r="D923" s="243"/>
    </row>
    <row r="924" spans="2:4" ht="11.45" hidden="1" customHeight="1" x14ac:dyDescent="0.25">
      <c r="B924" s="243"/>
      <c r="C924" s="243"/>
      <c r="D924" s="243"/>
    </row>
    <row r="925" spans="2:4" ht="11.45" hidden="1" customHeight="1" x14ac:dyDescent="0.25">
      <c r="B925" s="243"/>
      <c r="C925" s="243"/>
      <c r="D925" s="243"/>
    </row>
    <row r="926" spans="2:4" ht="11.45" hidden="1" customHeight="1" x14ac:dyDescent="0.25">
      <c r="B926" s="243"/>
      <c r="C926" s="243"/>
      <c r="D926" s="243"/>
    </row>
    <row r="927" spans="2:4" ht="11.45" hidden="1" customHeight="1" x14ac:dyDescent="0.25">
      <c r="B927" s="243"/>
      <c r="C927" s="243"/>
      <c r="D927" s="243"/>
    </row>
    <row r="928" spans="2:4" ht="11.45" hidden="1" customHeight="1" x14ac:dyDescent="0.25">
      <c r="B928" s="243"/>
      <c r="C928" s="243"/>
      <c r="D928" s="243"/>
    </row>
    <row r="929" spans="2:4" ht="11.45" hidden="1" customHeight="1" x14ac:dyDescent="0.25">
      <c r="B929" s="243"/>
      <c r="C929" s="243"/>
      <c r="D929" s="243"/>
    </row>
    <row r="930" spans="2:4" ht="11.45" hidden="1" customHeight="1" x14ac:dyDescent="0.25">
      <c r="B930" s="243"/>
      <c r="C930" s="243"/>
      <c r="D930" s="243"/>
    </row>
    <row r="931" spans="2:4" ht="11.45" hidden="1" customHeight="1" x14ac:dyDescent="0.25">
      <c r="B931" s="243"/>
      <c r="C931" s="243"/>
      <c r="D931" s="243"/>
    </row>
    <row r="932" spans="2:4" ht="11.45" hidden="1" customHeight="1" x14ac:dyDescent="0.25">
      <c r="B932" s="243"/>
      <c r="C932" s="243"/>
      <c r="D932" s="243"/>
    </row>
    <row r="933" spans="2:4" ht="11.45" hidden="1" customHeight="1" x14ac:dyDescent="0.25">
      <c r="B933" s="243"/>
      <c r="C933" s="243"/>
      <c r="D933" s="243"/>
    </row>
    <row r="934" spans="2:4" ht="11.45" hidden="1" customHeight="1" x14ac:dyDescent="0.25">
      <c r="B934" s="243"/>
      <c r="C934" s="243"/>
      <c r="D934" s="243"/>
    </row>
    <row r="935" spans="2:4" ht="11.45" hidden="1" customHeight="1" x14ac:dyDescent="0.25">
      <c r="B935" s="243"/>
      <c r="C935" s="243"/>
      <c r="D935" s="243"/>
    </row>
    <row r="936" spans="2:4" ht="11.45" hidden="1" customHeight="1" x14ac:dyDescent="0.25">
      <c r="B936" s="243"/>
      <c r="C936" s="243"/>
      <c r="D936" s="243"/>
    </row>
    <row r="937" spans="2:4" ht="11.45" hidden="1" customHeight="1" x14ac:dyDescent="0.25">
      <c r="B937" s="243"/>
      <c r="C937" s="243"/>
      <c r="D937" s="243"/>
    </row>
    <row r="938" spans="2:4" ht="11.45" hidden="1" customHeight="1" x14ac:dyDescent="0.25">
      <c r="B938" s="243"/>
      <c r="C938" s="243"/>
      <c r="D938" s="243"/>
    </row>
    <row r="939" spans="2:4" ht="11.45" hidden="1" customHeight="1" x14ac:dyDescent="0.25">
      <c r="B939" s="243"/>
      <c r="C939" s="243"/>
      <c r="D939" s="243"/>
    </row>
    <row r="940" spans="2:4" ht="11.45" hidden="1" customHeight="1" x14ac:dyDescent="0.25">
      <c r="B940" s="243"/>
      <c r="C940" s="243"/>
      <c r="D940" s="243"/>
    </row>
    <row r="941" spans="2:4" ht="11.45" hidden="1" customHeight="1" x14ac:dyDescent="0.25">
      <c r="B941" s="243"/>
      <c r="C941" s="243"/>
      <c r="D941" s="243"/>
    </row>
    <row r="942" spans="2:4" ht="11.45" hidden="1" customHeight="1" x14ac:dyDescent="0.25">
      <c r="B942" s="243"/>
      <c r="C942" s="243"/>
      <c r="D942" s="243"/>
    </row>
    <row r="943" spans="2:4" ht="11.45" hidden="1" customHeight="1" x14ac:dyDescent="0.25">
      <c r="B943" s="243"/>
      <c r="C943" s="243"/>
      <c r="D943" s="243"/>
    </row>
    <row r="944" spans="2:4" ht="11.45" hidden="1" customHeight="1" x14ac:dyDescent="0.25">
      <c r="B944" s="243"/>
      <c r="C944" s="243"/>
      <c r="D944" s="243"/>
    </row>
    <row r="945" spans="2:4" ht="11.45" hidden="1" customHeight="1" x14ac:dyDescent="0.25">
      <c r="B945" s="243"/>
      <c r="C945" s="243"/>
      <c r="D945" s="243"/>
    </row>
    <row r="946" spans="2:4" ht="11.45" hidden="1" customHeight="1" x14ac:dyDescent="0.25">
      <c r="B946" s="243"/>
      <c r="C946" s="243"/>
      <c r="D946" s="243"/>
    </row>
    <row r="947" spans="2:4" ht="11.45" hidden="1" customHeight="1" x14ac:dyDescent="0.25">
      <c r="B947" s="243"/>
      <c r="C947" s="243"/>
      <c r="D947" s="243"/>
    </row>
    <row r="948" spans="2:4" ht="11.45" hidden="1" customHeight="1" x14ac:dyDescent="0.25">
      <c r="B948" s="243"/>
      <c r="C948" s="243"/>
      <c r="D948" s="243"/>
    </row>
    <row r="949" spans="2:4" ht="11.45" hidden="1" customHeight="1" x14ac:dyDescent="0.25">
      <c r="B949" s="243"/>
      <c r="C949" s="243"/>
      <c r="D949" s="243"/>
    </row>
    <row r="950" spans="2:4" ht="11.45" hidden="1" customHeight="1" x14ac:dyDescent="0.25">
      <c r="B950" s="243"/>
      <c r="C950" s="243"/>
      <c r="D950" s="243"/>
    </row>
    <row r="951" spans="2:4" ht="11.45" hidden="1" customHeight="1" x14ac:dyDescent="0.25">
      <c r="B951" s="243"/>
      <c r="C951" s="243"/>
      <c r="D951" s="243"/>
    </row>
    <row r="952" spans="2:4" ht="11.45" hidden="1" customHeight="1" x14ac:dyDescent="0.25">
      <c r="B952" s="243"/>
      <c r="C952" s="243"/>
      <c r="D952" s="243"/>
    </row>
    <row r="953" spans="2:4" ht="11.45" hidden="1" customHeight="1" x14ac:dyDescent="0.25">
      <c r="B953" s="243"/>
      <c r="C953" s="243"/>
      <c r="D953" s="243"/>
    </row>
    <row r="954" spans="2:4" ht="11.45" hidden="1" customHeight="1" x14ac:dyDescent="0.25">
      <c r="B954" s="243"/>
      <c r="C954" s="243"/>
      <c r="D954" s="243"/>
    </row>
    <row r="955" spans="2:4" ht="11.45" hidden="1" customHeight="1" x14ac:dyDescent="0.25">
      <c r="B955" s="243"/>
      <c r="C955" s="243"/>
      <c r="D955" s="243"/>
    </row>
    <row r="956" spans="2:4" ht="11.45" hidden="1" customHeight="1" x14ac:dyDescent="0.25">
      <c r="B956" s="243"/>
      <c r="C956" s="243"/>
      <c r="D956" s="243"/>
    </row>
    <row r="957" spans="2:4" ht="11.45" hidden="1" customHeight="1" x14ac:dyDescent="0.25">
      <c r="B957" s="243"/>
      <c r="C957" s="243"/>
      <c r="D957" s="243"/>
    </row>
    <row r="958" spans="2:4" ht="11.45" hidden="1" customHeight="1" x14ac:dyDescent="0.25">
      <c r="B958" s="243"/>
      <c r="C958" s="243"/>
      <c r="D958" s="243"/>
    </row>
    <row r="959" spans="2:4" ht="11.45" hidden="1" customHeight="1" x14ac:dyDescent="0.25">
      <c r="B959" s="243"/>
      <c r="C959" s="243"/>
      <c r="D959" s="243"/>
    </row>
    <row r="960" spans="2:4" ht="11.45" hidden="1" customHeight="1" x14ac:dyDescent="0.25">
      <c r="B960" s="243"/>
      <c r="C960" s="243"/>
      <c r="D960" s="243"/>
    </row>
    <row r="961" spans="2:4" ht="11.45" hidden="1" customHeight="1" x14ac:dyDescent="0.25">
      <c r="B961" s="243"/>
      <c r="C961" s="243"/>
      <c r="D961" s="243"/>
    </row>
    <row r="962" spans="2:4" ht="11.45" hidden="1" customHeight="1" x14ac:dyDescent="0.25">
      <c r="B962" s="243"/>
      <c r="C962" s="243"/>
      <c r="D962" s="243"/>
    </row>
    <row r="963" spans="2:4" ht="11.45" hidden="1" customHeight="1" x14ac:dyDescent="0.25">
      <c r="B963" s="243"/>
      <c r="C963" s="243"/>
      <c r="D963" s="243"/>
    </row>
    <row r="964" spans="2:4" ht="11.45" hidden="1" customHeight="1" x14ac:dyDescent="0.25">
      <c r="B964" s="243"/>
      <c r="C964" s="243"/>
      <c r="D964" s="243"/>
    </row>
    <row r="965" spans="2:4" ht="11.45" hidden="1" customHeight="1" x14ac:dyDescent="0.25">
      <c r="B965" s="243"/>
      <c r="C965" s="243"/>
      <c r="D965" s="243"/>
    </row>
    <row r="966" spans="2:4" ht="11.45" hidden="1" customHeight="1" x14ac:dyDescent="0.25">
      <c r="B966" s="243"/>
      <c r="C966" s="243"/>
      <c r="D966" s="243"/>
    </row>
    <row r="967" spans="2:4" ht="11.45" hidden="1" customHeight="1" x14ac:dyDescent="0.25">
      <c r="B967" s="243"/>
      <c r="C967" s="243"/>
      <c r="D967" s="243"/>
    </row>
    <row r="968" spans="2:4" ht="11.45" hidden="1" customHeight="1" x14ac:dyDescent="0.25">
      <c r="B968" s="243"/>
      <c r="C968" s="243"/>
      <c r="D968" s="243"/>
    </row>
    <row r="969" spans="2:4" ht="11.45" hidden="1" customHeight="1" x14ac:dyDescent="0.25">
      <c r="B969" s="243"/>
      <c r="C969" s="243"/>
      <c r="D969" s="243"/>
    </row>
    <row r="970" spans="2:4" ht="11.45" hidden="1" customHeight="1" x14ac:dyDescent="0.25">
      <c r="B970" s="243"/>
      <c r="C970" s="243"/>
      <c r="D970" s="243"/>
    </row>
    <row r="971" spans="2:4" ht="11.45" hidden="1" customHeight="1" x14ac:dyDescent="0.25">
      <c r="B971" s="243"/>
      <c r="C971" s="243"/>
      <c r="D971" s="243"/>
    </row>
    <row r="972" spans="2:4" ht="11.45" hidden="1" customHeight="1" x14ac:dyDescent="0.25">
      <c r="B972" s="243"/>
      <c r="C972" s="243"/>
      <c r="D972" s="243"/>
    </row>
    <row r="973" spans="2:4" ht="11.45" hidden="1" customHeight="1" x14ac:dyDescent="0.25">
      <c r="B973" s="243"/>
      <c r="C973" s="243"/>
      <c r="D973" s="243"/>
    </row>
    <row r="974" spans="2:4" ht="11.45" hidden="1" customHeight="1" x14ac:dyDescent="0.25">
      <c r="B974" s="243"/>
      <c r="C974" s="243"/>
      <c r="D974" s="243"/>
    </row>
    <row r="975" spans="2:4" ht="11.45" hidden="1" customHeight="1" x14ac:dyDescent="0.25">
      <c r="B975" s="243"/>
      <c r="C975" s="243"/>
      <c r="D975" s="243"/>
    </row>
    <row r="976" spans="2:4" ht="11.45" hidden="1" customHeight="1" x14ac:dyDescent="0.25">
      <c r="B976" s="243"/>
      <c r="C976" s="243"/>
      <c r="D976" s="243"/>
    </row>
    <row r="977" spans="2:4" ht="11.45" hidden="1" customHeight="1" x14ac:dyDescent="0.25">
      <c r="B977" s="243"/>
      <c r="C977" s="243"/>
      <c r="D977" s="243"/>
    </row>
    <row r="978" spans="2:4" ht="11.45" hidden="1" customHeight="1" x14ac:dyDescent="0.25">
      <c r="B978" s="243"/>
      <c r="C978" s="243"/>
      <c r="D978" s="243"/>
    </row>
    <row r="979" spans="2:4" ht="11.45" hidden="1" customHeight="1" x14ac:dyDescent="0.25">
      <c r="B979" s="243"/>
      <c r="C979" s="243"/>
      <c r="D979" s="243"/>
    </row>
    <row r="980" spans="2:4" ht="11.45" hidden="1" customHeight="1" x14ac:dyDescent="0.25">
      <c r="B980" s="243"/>
      <c r="C980" s="243"/>
      <c r="D980" s="243"/>
    </row>
    <row r="981" spans="2:4" ht="11.45" hidden="1" customHeight="1" x14ac:dyDescent="0.25">
      <c r="B981" s="243"/>
      <c r="C981" s="243"/>
      <c r="D981" s="243"/>
    </row>
    <row r="982" spans="2:4" ht="11.45" hidden="1" customHeight="1" x14ac:dyDescent="0.25">
      <c r="B982" s="243"/>
      <c r="C982" s="243"/>
      <c r="D982" s="243"/>
    </row>
    <row r="983" spans="2:4" ht="11.45" hidden="1" customHeight="1" x14ac:dyDescent="0.25">
      <c r="B983" s="243"/>
      <c r="C983" s="243"/>
      <c r="D983" s="243"/>
    </row>
    <row r="984" spans="2:4" ht="11.45" hidden="1" customHeight="1" x14ac:dyDescent="0.25">
      <c r="B984" s="243"/>
      <c r="C984" s="243"/>
      <c r="D984" s="243"/>
    </row>
    <row r="985" spans="2:4" ht="11.45" hidden="1" customHeight="1" x14ac:dyDescent="0.25">
      <c r="B985" s="243"/>
      <c r="C985" s="243"/>
      <c r="D985" s="243"/>
    </row>
    <row r="986" spans="2:4" ht="11.45" hidden="1" customHeight="1" x14ac:dyDescent="0.25">
      <c r="B986" s="243"/>
      <c r="C986" s="243"/>
      <c r="D986" s="243"/>
    </row>
    <row r="987" spans="2:4" ht="11.45" hidden="1" customHeight="1" x14ac:dyDescent="0.25">
      <c r="B987" s="243"/>
      <c r="C987" s="243"/>
      <c r="D987" s="243"/>
    </row>
    <row r="988" spans="2:4" ht="11.45" hidden="1" customHeight="1" x14ac:dyDescent="0.25">
      <c r="B988" s="243"/>
      <c r="C988" s="243"/>
      <c r="D988" s="243"/>
    </row>
    <row r="989" spans="2:4" ht="11.45" hidden="1" customHeight="1" x14ac:dyDescent="0.25">
      <c r="B989" s="243"/>
      <c r="C989" s="243"/>
      <c r="D989" s="243"/>
    </row>
    <row r="990" spans="2:4" ht="11.45" hidden="1" customHeight="1" x14ac:dyDescent="0.25">
      <c r="B990" s="243"/>
      <c r="C990" s="243"/>
      <c r="D990" s="243"/>
    </row>
    <row r="991" spans="2:4" ht="11.45" hidden="1" customHeight="1" x14ac:dyDescent="0.25">
      <c r="B991" s="243"/>
      <c r="C991" s="243"/>
      <c r="D991" s="243"/>
    </row>
    <row r="992" spans="2:4" ht="11.45" hidden="1" customHeight="1" x14ac:dyDescent="0.25">
      <c r="B992" s="243"/>
      <c r="C992" s="243"/>
      <c r="D992" s="243"/>
    </row>
    <row r="993" spans="2:4" ht="11.45" hidden="1" customHeight="1" x14ac:dyDescent="0.25">
      <c r="B993" s="243"/>
      <c r="C993" s="243"/>
      <c r="D993" s="243"/>
    </row>
    <row r="994" spans="2:4" ht="11.45" hidden="1" customHeight="1" x14ac:dyDescent="0.25">
      <c r="B994" s="243"/>
      <c r="C994" s="243"/>
      <c r="D994" s="243"/>
    </row>
    <row r="995" spans="2:4" ht="11.45" hidden="1" customHeight="1" x14ac:dyDescent="0.25">
      <c r="B995" s="243"/>
      <c r="C995" s="243"/>
      <c r="D995" s="243"/>
    </row>
    <row r="996" spans="2:4" ht="11.45" hidden="1" customHeight="1" x14ac:dyDescent="0.25">
      <c r="B996" s="243"/>
      <c r="C996" s="243"/>
      <c r="D996" s="243"/>
    </row>
    <row r="997" spans="2:4" ht="11.45" hidden="1" customHeight="1" x14ac:dyDescent="0.25">
      <c r="B997" s="243"/>
      <c r="C997" s="243"/>
      <c r="D997" s="243"/>
    </row>
    <row r="998" spans="2:4" ht="11.45" hidden="1" customHeight="1" x14ac:dyDescent="0.25">
      <c r="B998" s="243"/>
      <c r="C998" s="243"/>
      <c r="D998" s="243"/>
    </row>
    <row r="999" spans="2:4" ht="11.45" hidden="1" customHeight="1" x14ac:dyDescent="0.25">
      <c r="B999" s="243"/>
      <c r="C999" s="243"/>
      <c r="D999" s="243"/>
    </row>
    <row r="1000" spans="2:4" ht="11.45" hidden="1" customHeight="1" x14ac:dyDescent="0.25">
      <c r="B1000" s="243"/>
      <c r="C1000" s="243"/>
      <c r="D1000" s="243"/>
    </row>
    <row r="1001" spans="2:4" ht="11.45" hidden="1" customHeight="1" x14ac:dyDescent="0.25">
      <c r="B1001" s="243"/>
      <c r="C1001" s="243"/>
      <c r="D1001" s="243"/>
    </row>
    <row r="1002" spans="2:4" ht="11.45" hidden="1" customHeight="1" x14ac:dyDescent="0.25">
      <c r="B1002" s="243"/>
      <c r="C1002" s="243"/>
      <c r="D1002" s="243"/>
    </row>
    <row r="1003" spans="2:4" ht="11.45" hidden="1" customHeight="1" x14ac:dyDescent="0.25">
      <c r="B1003" s="243"/>
      <c r="C1003" s="243"/>
      <c r="D1003" s="243"/>
    </row>
    <row r="1004" spans="2:4" ht="11.45" hidden="1" customHeight="1" x14ac:dyDescent="0.25">
      <c r="B1004" s="243"/>
      <c r="C1004" s="243"/>
      <c r="D1004" s="243"/>
    </row>
    <row r="1005" spans="2:4" ht="11.45" hidden="1" customHeight="1" x14ac:dyDescent="0.25">
      <c r="B1005" s="243"/>
      <c r="C1005" s="243"/>
      <c r="D1005" s="243"/>
    </row>
    <row r="1006" spans="2:4" ht="11.45" hidden="1" customHeight="1" x14ac:dyDescent="0.25">
      <c r="B1006" s="243"/>
      <c r="C1006" s="243"/>
      <c r="D1006" s="243"/>
    </row>
    <row r="1007" spans="2:4" ht="11.45" hidden="1" customHeight="1" x14ac:dyDescent="0.25">
      <c r="B1007" s="243"/>
      <c r="C1007" s="243"/>
      <c r="D1007" s="243"/>
    </row>
    <row r="1008" spans="2:4" ht="11.45" hidden="1" customHeight="1" x14ac:dyDescent="0.25">
      <c r="B1008" s="243"/>
      <c r="C1008" s="243"/>
      <c r="D1008" s="243"/>
    </row>
    <row r="1009" spans="2:4" ht="11.45" hidden="1" customHeight="1" x14ac:dyDescent="0.25">
      <c r="B1009" s="243"/>
      <c r="C1009" s="243"/>
      <c r="D1009" s="243"/>
    </row>
    <row r="1010" spans="2:4" ht="11.45" hidden="1" customHeight="1" x14ac:dyDescent="0.25">
      <c r="B1010" s="243"/>
      <c r="C1010" s="243"/>
      <c r="D1010" s="243"/>
    </row>
    <row r="1011" spans="2:4" ht="11.45" hidden="1" customHeight="1" x14ac:dyDescent="0.25">
      <c r="B1011" s="243"/>
      <c r="C1011" s="243"/>
      <c r="D1011" s="243"/>
    </row>
    <row r="1012" spans="2:4" ht="11.45" hidden="1" customHeight="1" x14ac:dyDescent="0.25">
      <c r="B1012" s="243"/>
      <c r="C1012" s="243"/>
      <c r="D1012" s="243"/>
    </row>
    <row r="1013" spans="2:4" ht="11.45" hidden="1" customHeight="1" x14ac:dyDescent="0.25">
      <c r="B1013" s="243"/>
      <c r="C1013" s="243"/>
      <c r="D1013" s="243"/>
    </row>
    <row r="1014" spans="2:4" ht="11.45" hidden="1" customHeight="1" x14ac:dyDescent="0.25">
      <c r="B1014" s="243"/>
      <c r="C1014" s="243"/>
      <c r="D1014" s="243"/>
    </row>
    <row r="1015" spans="2:4" ht="11.45" hidden="1" customHeight="1" x14ac:dyDescent="0.25">
      <c r="B1015" s="243"/>
      <c r="C1015" s="243"/>
      <c r="D1015" s="243"/>
    </row>
    <row r="1016" spans="2:4" ht="11.45" hidden="1" customHeight="1" x14ac:dyDescent="0.25">
      <c r="B1016" s="243"/>
      <c r="C1016" s="243"/>
      <c r="D1016" s="243"/>
    </row>
    <row r="1017" spans="2:4" ht="11.45" hidden="1" customHeight="1" x14ac:dyDescent="0.25">
      <c r="B1017" s="243"/>
      <c r="C1017" s="243"/>
      <c r="D1017" s="243"/>
    </row>
    <row r="1018" spans="2:4" ht="11.45" hidden="1" customHeight="1" x14ac:dyDescent="0.25">
      <c r="B1018" s="243"/>
      <c r="C1018" s="243"/>
      <c r="D1018" s="243"/>
    </row>
    <row r="1019" spans="2:4" ht="11.45" hidden="1" customHeight="1" x14ac:dyDescent="0.25">
      <c r="B1019" s="243"/>
      <c r="C1019" s="243"/>
      <c r="D1019" s="243"/>
    </row>
    <row r="1020" spans="2:4" ht="11.45" hidden="1" customHeight="1" x14ac:dyDescent="0.25">
      <c r="B1020" s="243"/>
      <c r="C1020" s="243"/>
      <c r="D1020" s="243"/>
    </row>
    <row r="1021" spans="2:4" ht="11.45" hidden="1" customHeight="1" x14ac:dyDescent="0.25">
      <c r="B1021" s="243"/>
      <c r="C1021" s="243"/>
      <c r="D1021" s="243"/>
    </row>
    <row r="1022" spans="2:4" ht="11.45" hidden="1" customHeight="1" x14ac:dyDescent="0.25">
      <c r="B1022" s="243"/>
      <c r="C1022" s="243"/>
      <c r="D1022" s="243"/>
    </row>
    <row r="1023" spans="2:4" ht="11.45" hidden="1" customHeight="1" x14ac:dyDescent="0.25">
      <c r="B1023" s="243"/>
      <c r="C1023" s="243"/>
      <c r="D1023" s="243"/>
    </row>
    <row r="1024" spans="2:4" ht="11.45" hidden="1" customHeight="1" x14ac:dyDescent="0.25">
      <c r="B1024" s="243"/>
      <c r="C1024" s="243"/>
      <c r="D1024" s="243"/>
    </row>
    <row r="1025" spans="2:4" ht="11.45" hidden="1" customHeight="1" x14ac:dyDescent="0.25">
      <c r="B1025" s="243"/>
      <c r="C1025" s="243"/>
      <c r="D1025" s="243"/>
    </row>
    <row r="1026" spans="2:4" ht="11.45" hidden="1" customHeight="1" x14ac:dyDescent="0.25">
      <c r="B1026" s="243"/>
      <c r="C1026" s="243"/>
      <c r="D1026" s="243"/>
    </row>
    <row r="1027" spans="2:4" ht="11.45" hidden="1" customHeight="1" x14ac:dyDescent="0.25">
      <c r="B1027" s="243"/>
      <c r="C1027" s="243"/>
      <c r="D1027" s="243"/>
    </row>
    <row r="1028" spans="2:4" ht="11.45" hidden="1" customHeight="1" x14ac:dyDescent="0.25">
      <c r="B1028" s="243"/>
      <c r="C1028" s="243"/>
      <c r="D1028" s="243"/>
    </row>
    <row r="1029" spans="2:4" ht="11.45" hidden="1" customHeight="1" x14ac:dyDescent="0.25">
      <c r="B1029" s="243"/>
      <c r="C1029" s="243"/>
      <c r="D1029" s="243"/>
    </row>
    <row r="1030" spans="2:4" ht="11.45" hidden="1" customHeight="1" x14ac:dyDescent="0.25">
      <c r="B1030" s="243"/>
      <c r="C1030" s="243"/>
      <c r="D1030" s="243"/>
    </row>
    <row r="1031" spans="2:4" ht="11.45" hidden="1" customHeight="1" x14ac:dyDescent="0.25">
      <c r="B1031" s="243"/>
      <c r="C1031" s="243"/>
      <c r="D1031" s="243"/>
    </row>
    <row r="1032" spans="2:4" ht="11.45" hidden="1" customHeight="1" x14ac:dyDescent="0.25">
      <c r="B1032" s="243"/>
      <c r="C1032" s="243"/>
      <c r="D1032" s="243"/>
    </row>
    <row r="1033" spans="2:4" ht="11.45" hidden="1" customHeight="1" x14ac:dyDescent="0.25">
      <c r="B1033" s="243"/>
      <c r="C1033" s="243"/>
      <c r="D1033" s="243"/>
    </row>
    <row r="1034" spans="2:4" ht="11.45" hidden="1" customHeight="1" x14ac:dyDescent="0.25">
      <c r="B1034" s="243"/>
      <c r="C1034" s="243"/>
      <c r="D1034" s="243"/>
    </row>
    <row r="1035" spans="2:4" ht="11.45" hidden="1" customHeight="1" x14ac:dyDescent="0.25">
      <c r="B1035" s="243"/>
      <c r="C1035" s="243"/>
      <c r="D1035" s="243"/>
    </row>
    <row r="1036" spans="2:4" ht="11.45" hidden="1" customHeight="1" x14ac:dyDescent="0.25">
      <c r="B1036" s="243"/>
      <c r="C1036" s="243"/>
      <c r="D1036" s="243"/>
    </row>
    <row r="1037" spans="2:4" ht="11.45" hidden="1" customHeight="1" x14ac:dyDescent="0.25">
      <c r="B1037" s="243"/>
      <c r="C1037" s="243"/>
      <c r="D1037" s="243"/>
    </row>
    <row r="1038" spans="2:4" ht="11.45" hidden="1" customHeight="1" x14ac:dyDescent="0.25">
      <c r="B1038" s="243"/>
      <c r="C1038" s="243"/>
      <c r="D1038" s="243"/>
    </row>
    <row r="1039" spans="2:4" ht="11.45" hidden="1" customHeight="1" x14ac:dyDescent="0.25">
      <c r="B1039" s="243"/>
      <c r="C1039" s="243"/>
      <c r="D1039" s="243"/>
    </row>
    <row r="1040" spans="2:4" ht="11.45" hidden="1" customHeight="1" x14ac:dyDescent="0.25">
      <c r="B1040" s="243"/>
      <c r="C1040" s="243"/>
      <c r="D1040" s="243"/>
    </row>
    <row r="1041" spans="2:4" ht="11.45" hidden="1" customHeight="1" x14ac:dyDescent="0.25">
      <c r="B1041" s="243"/>
      <c r="C1041" s="243"/>
      <c r="D1041" s="243"/>
    </row>
    <row r="1042" spans="2:4" ht="11.45" hidden="1" customHeight="1" x14ac:dyDescent="0.25">
      <c r="B1042" s="243"/>
      <c r="C1042" s="243"/>
      <c r="D1042" s="243"/>
    </row>
    <row r="1043" spans="2:4" ht="11.45" hidden="1" customHeight="1" x14ac:dyDescent="0.25">
      <c r="B1043" s="243"/>
      <c r="C1043" s="243"/>
      <c r="D1043" s="243"/>
    </row>
    <row r="1044" spans="2:4" ht="11.45" hidden="1" customHeight="1" x14ac:dyDescent="0.25">
      <c r="B1044" s="243"/>
      <c r="C1044" s="243"/>
      <c r="D1044" s="243"/>
    </row>
    <row r="1045" spans="2:4" ht="11.45" hidden="1" customHeight="1" x14ac:dyDescent="0.25">
      <c r="B1045" s="243"/>
      <c r="C1045" s="243"/>
      <c r="D1045" s="243"/>
    </row>
    <row r="1046" spans="2:4" ht="11.45" hidden="1" customHeight="1" x14ac:dyDescent="0.25">
      <c r="B1046" s="243"/>
      <c r="C1046" s="243"/>
      <c r="D1046" s="243"/>
    </row>
    <row r="1047" spans="2:4" ht="11.45" hidden="1" customHeight="1" x14ac:dyDescent="0.25">
      <c r="B1047" s="243"/>
      <c r="C1047" s="243"/>
      <c r="D1047" s="243"/>
    </row>
    <row r="1048" spans="2:4" ht="11.45" hidden="1" customHeight="1" x14ac:dyDescent="0.25">
      <c r="B1048" s="243"/>
      <c r="C1048" s="243"/>
      <c r="D1048" s="243"/>
    </row>
    <row r="1049" spans="2:4" ht="11.45" hidden="1" customHeight="1" x14ac:dyDescent="0.25">
      <c r="B1049" s="243"/>
      <c r="C1049" s="243"/>
      <c r="D1049" s="243"/>
    </row>
    <row r="1050" spans="2:4" ht="11.45" hidden="1" customHeight="1" x14ac:dyDescent="0.25">
      <c r="B1050" s="243"/>
      <c r="C1050" s="243"/>
      <c r="D1050" s="243"/>
    </row>
    <row r="1051" spans="2:4" ht="11.45" hidden="1" customHeight="1" x14ac:dyDescent="0.25">
      <c r="B1051" s="243"/>
      <c r="C1051" s="243"/>
      <c r="D1051" s="243"/>
    </row>
    <row r="1052" spans="2:4" ht="11.45" hidden="1" customHeight="1" x14ac:dyDescent="0.25">
      <c r="B1052" s="243"/>
      <c r="C1052" s="243"/>
      <c r="D1052" s="243"/>
    </row>
    <row r="1053" spans="2:4" ht="11.45" hidden="1" customHeight="1" x14ac:dyDescent="0.25">
      <c r="B1053" s="243"/>
      <c r="C1053" s="243"/>
      <c r="D1053" s="243"/>
    </row>
    <row r="1054" spans="2:4" ht="11.45" hidden="1" customHeight="1" x14ac:dyDescent="0.25">
      <c r="B1054" s="243"/>
      <c r="C1054" s="243"/>
      <c r="D1054" s="243"/>
    </row>
    <row r="1055" spans="2:4" ht="11.45" hidden="1" customHeight="1" x14ac:dyDescent="0.25">
      <c r="B1055" s="243"/>
      <c r="C1055" s="243"/>
      <c r="D1055" s="243"/>
    </row>
    <row r="1056" spans="2:4" ht="11.45" hidden="1" customHeight="1" x14ac:dyDescent="0.25">
      <c r="B1056" s="243"/>
      <c r="C1056" s="243"/>
      <c r="D1056" s="243"/>
    </row>
    <row r="1057" spans="2:4" ht="11.45" hidden="1" customHeight="1" x14ac:dyDescent="0.25">
      <c r="B1057" s="243"/>
      <c r="C1057" s="243"/>
      <c r="D1057" s="243"/>
    </row>
    <row r="1058" spans="2:4" ht="11.45" hidden="1" customHeight="1" x14ac:dyDescent="0.25">
      <c r="B1058" s="243"/>
      <c r="C1058" s="243"/>
      <c r="D1058" s="243"/>
    </row>
    <row r="1059" spans="2:4" ht="11.45" hidden="1" customHeight="1" x14ac:dyDescent="0.25">
      <c r="B1059" s="243"/>
      <c r="C1059" s="243"/>
      <c r="D1059" s="243"/>
    </row>
    <row r="1060" spans="2:4" ht="11.45" hidden="1" customHeight="1" x14ac:dyDescent="0.25">
      <c r="B1060" s="243"/>
      <c r="C1060" s="243"/>
      <c r="D1060" s="243"/>
    </row>
    <row r="1061" spans="2:4" ht="11.45" hidden="1" customHeight="1" x14ac:dyDescent="0.25">
      <c r="B1061" s="243"/>
      <c r="C1061" s="243"/>
      <c r="D1061" s="243"/>
    </row>
    <row r="1062" spans="2:4" ht="11.45" hidden="1" customHeight="1" x14ac:dyDescent="0.25">
      <c r="B1062" s="243"/>
      <c r="C1062" s="243"/>
      <c r="D1062" s="243"/>
    </row>
    <row r="1063" spans="2:4" ht="11.45" hidden="1" customHeight="1" x14ac:dyDescent="0.25">
      <c r="B1063" s="243"/>
      <c r="C1063" s="243"/>
      <c r="D1063" s="243"/>
    </row>
    <row r="1064" spans="2:4" ht="11.45" hidden="1" customHeight="1" x14ac:dyDescent="0.25">
      <c r="B1064" s="243"/>
      <c r="C1064" s="243"/>
      <c r="D1064" s="243"/>
    </row>
    <row r="1065" spans="2:4" ht="11.45" hidden="1" customHeight="1" x14ac:dyDescent="0.25">
      <c r="B1065" s="243"/>
      <c r="C1065" s="243"/>
      <c r="D1065" s="243"/>
    </row>
    <row r="1066" spans="2:4" ht="11.45" hidden="1" customHeight="1" x14ac:dyDescent="0.25">
      <c r="B1066" s="243"/>
      <c r="C1066" s="243"/>
      <c r="D1066" s="243"/>
    </row>
    <row r="1067" spans="2:4" ht="11.45" hidden="1" customHeight="1" x14ac:dyDescent="0.25">
      <c r="B1067" s="243"/>
      <c r="C1067" s="243"/>
      <c r="D1067" s="243"/>
    </row>
    <row r="1068" spans="2:4" ht="11.45" hidden="1" customHeight="1" x14ac:dyDescent="0.25">
      <c r="B1068" s="243"/>
      <c r="C1068" s="243"/>
      <c r="D1068" s="243"/>
    </row>
    <row r="1069" spans="2:4" ht="11.45" hidden="1" customHeight="1" x14ac:dyDescent="0.25">
      <c r="B1069" s="243"/>
      <c r="C1069" s="243"/>
      <c r="D1069" s="243"/>
    </row>
    <row r="1070" spans="2:4" ht="11.45" hidden="1" customHeight="1" x14ac:dyDescent="0.25">
      <c r="B1070" s="243"/>
      <c r="C1070" s="243"/>
      <c r="D1070" s="243"/>
    </row>
    <row r="1071" spans="2:4" ht="11.45" hidden="1" customHeight="1" x14ac:dyDescent="0.25">
      <c r="B1071" s="243"/>
      <c r="C1071" s="243"/>
      <c r="D1071" s="243"/>
    </row>
    <row r="1072" spans="2:4" ht="11.45" hidden="1" customHeight="1" x14ac:dyDescent="0.25">
      <c r="B1072" s="243"/>
      <c r="C1072" s="243"/>
      <c r="D1072" s="243"/>
    </row>
    <row r="1073" spans="2:4" ht="11.45" hidden="1" customHeight="1" x14ac:dyDescent="0.25">
      <c r="B1073" s="243"/>
      <c r="C1073" s="243"/>
      <c r="D1073" s="243"/>
    </row>
    <row r="1074" spans="2:4" ht="11.45" hidden="1" customHeight="1" x14ac:dyDescent="0.25">
      <c r="B1074" s="243"/>
      <c r="C1074" s="243"/>
      <c r="D1074" s="243"/>
    </row>
    <row r="1075" spans="2:4" ht="11.45" hidden="1" customHeight="1" x14ac:dyDescent="0.25">
      <c r="B1075" s="243"/>
      <c r="C1075" s="243"/>
      <c r="D1075" s="243"/>
    </row>
    <row r="1076" spans="2:4" ht="11.45" hidden="1" customHeight="1" x14ac:dyDescent="0.25">
      <c r="B1076" s="243"/>
      <c r="C1076" s="243"/>
      <c r="D1076" s="243"/>
    </row>
    <row r="1077" spans="2:4" ht="11.45" hidden="1" customHeight="1" x14ac:dyDescent="0.25">
      <c r="B1077" s="243"/>
      <c r="C1077" s="243"/>
      <c r="D1077" s="243"/>
    </row>
    <row r="1078" spans="2:4" ht="11.45" hidden="1" customHeight="1" x14ac:dyDescent="0.25">
      <c r="B1078" s="243"/>
      <c r="C1078" s="243"/>
      <c r="D1078" s="243"/>
    </row>
    <row r="1079" spans="2:4" ht="11.45" hidden="1" customHeight="1" x14ac:dyDescent="0.25">
      <c r="B1079" s="243"/>
      <c r="C1079" s="243"/>
      <c r="D1079" s="243"/>
    </row>
    <row r="1080" spans="2:4" ht="11.45" hidden="1" customHeight="1" x14ac:dyDescent="0.25">
      <c r="B1080" s="243"/>
      <c r="C1080" s="243"/>
      <c r="D1080" s="243"/>
    </row>
    <row r="1081" spans="2:4" ht="11.45" hidden="1" customHeight="1" x14ac:dyDescent="0.25">
      <c r="B1081" s="243"/>
      <c r="C1081" s="243"/>
      <c r="D1081" s="243"/>
    </row>
    <row r="1082" spans="2:4" ht="11.45" hidden="1" customHeight="1" x14ac:dyDescent="0.25">
      <c r="B1082" s="243"/>
      <c r="C1082" s="243"/>
      <c r="D1082" s="243"/>
    </row>
    <row r="1083" spans="2:4" ht="11.45" hidden="1" customHeight="1" x14ac:dyDescent="0.25">
      <c r="B1083" s="243"/>
      <c r="C1083" s="243"/>
      <c r="D1083" s="243"/>
    </row>
    <row r="1084" spans="2:4" ht="11.45" hidden="1" customHeight="1" x14ac:dyDescent="0.25">
      <c r="B1084" s="243"/>
      <c r="C1084" s="243"/>
      <c r="D1084" s="243"/>
    </row>
    <row r="1085" spans="2:4" ht="11.45" hidden="1" customHeight="1" x14ac:dyDescent="0.25">
      <c r="B1085" s="243"/>
      <c r="C1085" s="243"/>
      <c r="D1085" s="243"/>
    </row>
    <row r="1086" spans="2:4" ht="11.45" hidden="1" customHeight="1" x14ac:dyDescent="0.25">
      <c r="B1086" s="243"/>
      <c r="C1086" s="243"/>
      <c r="D1086" s="243"/>
    </row>
    <row r="1087" spans="2:4" ht="11.45" hidden="1" customHeight="1" x14ac:dyDescent="0.25">
      <c r="B1087" s="243"/>
      <c r="C1087" s="243"/>
      <c r="D1087" s="243"/>
    </row>
    <row r="1088" spans="2:4" ht="11.45" hidden="1" customHeight="1" x14ac:dyDescent="0.25">
      <c r="B1088" s="243"/>
      <c r="C1088" s="243"/>
      <c r="D1088" s="243"/>
    </row>
    <row r="1089" spans="2:4" ht="11.45" hidden="1" customHeight="1" x14ac:dyDescent="0.25">
      <c r="B1089" s="243"/>
      <c r="C1089" s="243"/>
      <c r="D1089" s="243"/>
    </row>
    <row r="1090" spans="2:4" ht="11.45" hidden="1" customHeight="1" x14ac:dyDescent="0.25">
      <c r="B1090" s="243"/>
      <c r="C1090" s="243"/>
      <c r="D1090" s="243"/>
    </row>
    <row r="1091" spans="2:4" ht="11.45" hidden="1" customHeight="1" x14ac:dyDescent="0.25">
      <c r="B1091" s="243"/>
      <c r="C1091" s="243"/>
      <c r="D1091" s="243"/>
    </row>
    <row r="1092" spans="2:4" ht="11.45" hidden="1" customHeight="1" x14ac:dyDescent="0.25">
      <c r="B1092" s="243"/>
      <c r="C1092" s="243"/>
      <c r="D1092" s="243"/>
    </row>
    <row r="1093" spans="2:4" ht="11.45" hidden="1" customHeight="1" x14ac:dyDescent="0.25">
      <c r="B1093" s="243"/>
      <c r="C1093" s="243"/>
      <c r="D1093" s="243"/>
    </row>
    <row r="1094" spans="2:4" ht="11.45" hidden="1" customHeight="1" x14ac:dyDescent="0.25">
      <c r="B1094" s="243"/>
      <c r="C1094" s="243"/>
      <c r="D1094" s="243"/>
    </row>
    <row r="1095" spans="2:4" ht="11.45" hidden="1" customHeight="1" x14ac:dyDescent="0.25">
      <c r="B1095" s="243"/>
      <c r="C1095" s="243"/>
      <c r="D1095" s="243"/>
    </row>
    <row r="1096" spans="2:4" ht="11.45" hidden="1" customHeight="1" x14ac:dyDescent="0.25">
      <c r="B1096" s="243"/>
      <c r="C1096" s="243"/>
      <c r="D1096" s="243"/>
    </row>
    <row r="1097" spans="2:4" ht="11.45" hidden="1" customHeight="1" x14ac:dyDescent="0.25">
      <c r="B1097" s="243"/>
      <c r="C1097" s="243"/>
      <c r="D1097" s="243"/>
    </row>
    <row r="1098" spans="2:4" ht="11.45" hidden="1" customHeight="1" x14ac:dyDescent="0.25">
      <c r="B1098" s="243"/>
      <c r="C1098" s="243"/>
      <c r="D1098" s="243"/>
    </row>
    <row r="1099" spans="2:4" ht="11.45" hidden="1" customHeight="1" x14ac:dyDescent="0.25">
      <c r="B1099" s="243"/>
      <c r="C1099" s="243"/>
      <c r="D1099" s="243"/>
    </row>
    <row r="1100" spans="2:4" ht="11.45" hidden="1" customHeight="1" x14ac:dyDescent="0.25">
      <c r="B1100" s="243"/>
      <c r="C1100" s="243"/>
      <c r="D1100" s="243"/>
    </row>
    <row r="1101" spans="2:4" ht="11.45" hidden="1" customHeight="1" x14ac:dyDescent="0.25">
      <c r="B1101" s="243"/>
      <c r="C1101" s="243"/>
      <c r="D1101" s="243"/>
    </row>
    <row r="1102" spans="2:4" ht="11.45" hidden="1" customHeight="1" x14ac:dyDescent="0.25">
      <c r="B1102" s="243"/>
      <c r="C1102" s="243"/>
      <c r="D1102" s="243"/>
    </row>
    <row r="1103" spans="2:4" ht="11.45" hidden="1" customHeight="1" x14ac:dyDescent="0.25">
      <c r="B1103" s="243"/>
      <c r="C1103" s="243"/>
      <c r="D1103" s="243"/>
    </row>
    <row r="1104" spans="2:4" ht="11.45" hidden="1" customHeight="1" x14ac:dyDescent="0.25">
      <c r="B1104" s="243"/>
      <c r="C1104" s="243"/>
      <c r="D1104" s="243"/>
    </row>
    <row r="1105" spans="2:4" ht="11.45" hidden="1" customHeight="1" x14ac:dyDescent="0.25">
      <c r="B1105" s="243"/>
      <c r="C1105" s="243"/>
      <c r="D1105" s="243"/>
    </row>
    <row r="1106" spans="2:4" ht="11.45" hidden="1" customHeight="1" x14ac:dyDescent="0.25">
      <c r="B1106" s="243"/>
      <c r="C1106" s="243"/>
      <c r="D1106" s="243"/>
    </row>
    <row r="1107" spans="2:4" ht="11.45" hidden="1" customHeight="1" x14ac:dyDescent="0.25">
      <c r="B1107" s="243"/>
      <c r="C1107" s="243"/>
      <c r="D1107" s="243"/>
    </row>
    <row r="1108" spans="2:4" ht="11.45" hidden="1" customHeight="1" x14ac:dyDescent="0.25">
      <c r="B1108" s="243"/>
      <c r="C1108" s="243"/>
      <c r="D1108" s="243"/>
    </row>
    <row r="1109" spans="2:4" ht="11.45" hidden="1" customHeight="1" x14ac:dyDescent="0.25">
      <c r="B1109" s="243"/>
      <c r="C1109" s="243"/>
      <c r="D1109" s="243"/>
    </row>
    <row r="1110" spans="2:4" ht="11.45" hidden="1" customHeight="1" x14ac:dyDescent="0.25">
      <c r="B1110" s="243"/>
      <c r="C1110" s="243"/>
      <c r="D1110" s="243"/>
    </row>
    <row r="1111" spans="2:4" ht="11.45" hidden="1" customHeight="1" x14ac:dyDescent="0.25">
      <c r="B1111" s="243"/>
      <c r="C1111" s="243"/>
      <c r="D1111" s="243"/>
    </row>
    <row r="1112" spans="2:4" ht="11.45" hidden="1" customHeight="1" x14ac:dyDescent="0.25">
      <c r="B1112" s="243"/>
      <c r="C1112" s="243"/>
      <c r="D1112" s="243"/>
    </row>
    <row r="1113" spans="2:4" ht="11.45" hidden="1" customHeight="1" x14ac:dyDescent="0.25">
      <c r="B1113" s="243"/>
      <c r="C1113" s="243"/>
      <c r="D1113" s="243"/>
    </row>
    <row r="1114" spans="2:4" ht="11.45" hidden="1" customHeight="1" x14ac:dyDescent="0.25">
      <c r="B1114" s="243"/>
      <c r="C1114" s="243"/>
      <c r="D1114" s="243"/>
    </row>
    <row r="1115" spans="2:4" ht="11.45" hidden="1" customHeight="1" x14ac:dyDescent="0.25">
      <c r="B1115" s="243"/>
      <c r="C1115" s="243"/>
      <c r="D1115" s="243"/>
    </row>
    <row r="1116" spans="2:4" ht="11.45" hidden="1" customHeight="1" x14ac:dyDescent="0.25">
      <c r="B1116" s="243"/>
      <c r="C1116" s="243"/>
      <c r="D1116" s="243"/>
    </row>
    <row r="1117" spans="2:4" ht="11.45" hidden="1" customHeight="1" x14ac:dyDescent="0.25">
      <c r="B1117" s="243"/>
      <c r="C1117" s="243"/>
      <c r="D1117" s="243"/>
    </row>
    <row r="1118" spans="2:4" ht="11.45" hidden="1" customHeight="1" x14ac:dyDescent="0.25">
      <c r="B1118" s="243"/>
      <c r="C1118" s="243"/>
      <c r="D1118" s="243"/>
    </row>
    <row r="1119" spans="2:4" ht="11.45" hidden="1" customHeight="1" x14ac:dyDescent="0.25">
      <c r="B1119" s="243"/>
      <c r="C1119" s="243"/>
      <c r="D1119" s="243"/>
    </row>
    <row r="1120" spans="2:4" ht="11.45" hidden="1" customHeight="1" x14ac:dyDescent="0.25">
      <c r="B1120" s="243"/>
      <c r="C1120" s="243"/>
      <c r="D1120" s="243"/>
    </row>
    <row r="1121" spans="2:4" ht="11.45" hidden="1" customHeight="1" x14ac:dyDescent="0.25">
      <c r="B1121" s="243"/>
      <c r="C1121" s="243"/>
      <c r="D1121" s="243"/>
    </row>
    <row r="1122" spans="2:4" ht="11.45" hidden="1" customHeight="1" x14ac:dyDescent="0.25">
      <c r="B1122" s="243"/>
      <c r="C1122" s="243"/>
      <c r="D1122" s="243"/>
    </row>
    <row r="1123" spans="2:4" ht="11.45" hidden="1" customHeight="1" x14ac:dyDescent="0.25">
      <c r="B1123" s="243"/>
      <c r="C1123" s="243"/>
      <c r="D1123" s="243"/>
    </row>
    <row r="1124" spans="2:4" ht="11.45" hidden="1" customHeight="1" x14ac:dyDescent="0.25">
      <c r="B1124" s="243"/>
      <c r="C1124" s="243"/>
      <c r="D1124" s="243"/>
    </row>
    <row r="1125" spans="2:4" ht="11.45" hidden="1" customHeight="1" x14ac:dyDescent="0.25">
      <c r="B1125" s="243"/>
      <c r="C1125" s="243"/>
      <c r="D1125" s="243"/>
    </row>
    <row r="1126" spans="2:4" ht="11.45" hidden="1" customHeight="1" x14ac:dyDescent="0.25">
      <c r="B1126" s="243"/>
      <c r="C1126" s="243"/>
      <c r="D1126" s="243"/>
    </row>
    <row r="1127" spans="2:4" ht="11.45" hidden="1" customHeight="1" x14ac:dyDescent="0.25">
      <c r="B1127" s="243"/>
      <c r="C1127" s="243"/>
      <c r="D1127" s="243"/>
    </row>
    <row r="1128" spans="2:4" ht="11.45" hidden="1" customHeight="1" x14ac:dyDescent="0.25">
      <c r="B1128" s="243"/>
      <c r="C1128" s="243"/>
      <c r="D1128" s="243"/>
    </row>
    <row r="1129" spans="2:4" ht="11.45" hidden="1" customHeight="1" x14ac:dyDescent="0.25">
      <c r="B1129" s="243"/>
      <c r="C1129" s="243"/>
      <c r="D1129" s="243"/>
    </row>
    <row r="1130" spans="2:4" ht="11.45" hidden="1" customHeight="1" x14ac:dyDescent="0.25">
      <c r="B1130" s="243"/>
      <c r="C1130" s="243"/>
      <c r="D1130" s="243"/>
    </row>
    <row r="1131" spans="2:4" ht="11.45" hidden="1" customHeight="1" x14ac:dyDescent="0.25">
      <c r="B1131" s="243"/>
      <c r="C1131" s="243"/>
      <c r="D1131" s="243"/>
    </row>
    <row r="1132" spans="2:4" ht="11.45" hidden="1" customHeight="1" x14ac:dyDescent="0.25">
      <c r="B1132" s="243"/>
      <c r="C1132" s="243"/>
      <c r="D1132" s="243"/>
    </row>
    <row r="1133" spans="2:4" ht="11.45" hidden="1" customHeight="1" x14ac:dyDescent="0.25">
      <c r="B1133" s="243"/>
      <c r="C1133" s="243"/>
      <c r="D1133" s="243"/>
    </row>
    <row r="1134" spans="2:4" ht="11.45" hidden="1" customHeight="1" x14ac:dyDescent="0.25">
      <c r="B1134" s="243"/>
      <c r="C1134" s="243"/>
      <c r="D1134" s="243"/>
    </row>
    <row r="1135" spans="2:4" ht="11.45" hidden="1" customHeight="1" x14ac:dyDescent="0.25">
      <c r="B1135" s="243"/>
      <c r="C1135" s="243"/>
      <c r="D1135" s="243"/>
    </row>
    <row r="1136" spans="2:4" ht="11.45" hidden="1" customHeight="1" x14ac:dyDescent="0.25">
      <c r="B1136" s="243"/>
      <c r="C1136" s="243"/>
      <c r="D1136" s="243"/>
    </row>
    <row r="1137" spans="2:4" ht="11.45" hidden="1" customHeight="1" x14ac:dyDescent="0.25">
      <c r="B1137" s="243"/>
      <c r="C1137" s="243"/>
      <c r="D1137" s="243"/>
    </row>
    <row r="1138" spans="2:4" ht="11.45" hidden="1" customHeight="1" x14ac:dyDescent="0.25">
      <c r="B1138" s="243"/>
      <c r="C1138" s="243"/>
      <c r="D1138" s="243"/>
    </row>
    <row r="1139" spans="2:4" ht="11.45" hidden="1" customHeight="1" x14ac:dyDescent="0.25">
      <c r="B1139" s="243"/>
      <c r="C1139" s="243"/>
      <c r="D1139" s="243"/>
    </row>
    <row r="1140" spans="2:4" ht="11.45" hidden="1" customHeight="1" x14ac:dyDescent="0.25">
      <c r="B1140" s="243"/>
      <c r="C1140" s="243"/>
      <c r="D1140" s="243"/>
    </row>
    <row r="1141" spans="2:4" ht="11.45" hidden="1" customHeight="1" x14ac:dyDescent="0.25">
      <c r="B1141" s="243"/>
      <c r="C1141" s="243"/>
      <c r="D1141" s="243"/>
    </row>
    <row r="1142" spans="2:4" ht="11.45" hidden="1" customHeight="1" x14ac:dyDescent="0.25">
      <c r="B1142" s="243"/>
      <c r="C1142" s="243"/>
      <c r="D1142" s="243"/>
    </row>
    <row r="1143" spans="2:4" ht="11.45" hidden="1" customHeight="1" x14ac:dyDescent="0.25">
      <c r="B1143" s="243"/>
      <c r="C1143" s="243"/>
      <c r="D1143" s="243"/>
    </row>
    <row r="1144" spans="2:4" ht="11.45" hidden="1" customHeight="1" x14ac:dyDescent="0.25">
      <c r="B1144" s="243"/>
      <c r="C1144" s="243"/>
      <c r="D1144" s="243"/>
    </row>
    <row r="1145" spans="2:4" ht="11.45" hidden="1" customHeight="1" x14ac:dyDescent="0.25">
      <c r="B1145" s="243"/>
      <c r="C1145" s="243"/>
      <c r="D1145" s="243"/>
    </row>
    <row r="1146" spans="2:4" ht="11.45" hidden="1" customHeight="1" x14ac:dyDescent="0.25">
      <c r="B1146" s="243"/>
      <c r="C1146" s="243"/>
      <c r="D1146" s="243"/>
    </row>
    <row r="1147" spans="2:4" ht="11.45" hidden="1" customHeight="1" x14ac:dyDescent="0.25">
      <c r="B1147" s="243"/>
      <c r="C1147" s="243"/>
      <c r="D1147" s="243"/>
    </row>
    <row r="1148" spans="2:4" ht="11.45" hidden="1" customHeight="1" x14ac:dyDescent="0.25">
      <c r="B1148" s="243"/>
      <c r="C1148" s="243"/>
      <c r="D1148" s="243"/>
    </row>
    <row r="1149" spans="2:4" ht="11.45" hidden="1" customHeight="1" x14ac:dyDescent="0.25">
      <c r="B1149" s="243"/>
      <c r="C1149" s="243"/>
      <c r="D1149" s="243"/>
    </row>
    <row r="1150" spans="2:4" ht="11.45" hidden="1" customHeight="1" x14ac:dyDescent="0.25">
      <c r="B1150" s="243"/>
      <c r="C1150" s="243"/>
      <c r="D1150" s="243"/>
    </row>
    <row r="1151" spans="2:4" ht="11.45" hidden="1" customHeight="1" x14ac:dyDescent="0.25">
      <c r="B1151" s="243"/>
      <c r="C1151" s="243"/>
      <c r="D1151" s="243"/>
    </row>
    <row r="1152" spans="2:4" ht="11.45" hidden="1" customHeight="1" x14ac:dyDescent="0.25">
      <c r="B1152" s="243"/>
      <c r="C1152" s="243"/>
      <c r="D1152" s="243"/>
    </row>
    <row r="1153" spans="2:4" ht="11.45" hidden="1" customHeight="1" x14ac:dyDescent="0.25">
      <c r="B1153" s="243"/>
      <c r="C1153" s="243"/>
      <c r="D1153" s="243"/>
    </row>
    <row r="1154" spans="2:4" ht="11.45" hidden="1" customHeight="1" x14ac:dyDescent="0.25">
      <c r="B1154" s="243"/>
      <c r="C1154" s="243"/>
      <c r="D1154" s="243"/>
    </row>
    <row r="1155" spans="2:4" ht="11.45" hidden="1" customHeight="1" x14ac:dyDescent="0.25">
      <c r="B1155" s="243"/>
      <c r="C1155" s="243"/>
      <c r="D1155" s="243"/>
    </row>
    <row r="1156" spans="2:4" ht="11.45" hidden="1" customHeight="1" x14ac:dyDescent="0.25">
      <c r="B1156" s="243"/>
      <c r="C1156" s="243"/>
      <c r="D1156" s="243"/>
    </row>
    <row r="1157" spans="2:4" ht="11.45" hidden="1" customHeight="1" x14ac:dyDescent="0.25">
      <c r="B1157" s="243"/>
      <c r="C1157" s="243"/>
      <c r="D1157" s="243"/>
    </row>
    <row r="1158" spans="2:4" ht="11.45" hidden="1" customHeight="1" x14ac:dyDescent="0.25">
      <c r="B1158" s="243"/>
      <c r="C1158" s="243"/>
      <c r="D1158" s="243"/>
    </row>
    <row r="1159" spans="2:4" ht="11.45" hidden="1" customHeight="1" x14ac:dyDescent="0.25">
      <c r="B1159" s="243"/>
      <c r="C1159" s="243"/>
      <c r="D1159" s="243"/>
    </row>
    <row r="1160" spans="2:4" ht="11.45" hidden="1" customHeight="1" x14ac:dyDescent="0.25">
      <c r="B1160" s="243"/>
      <c r="C1160" s="243"/>
      <c r="D1160" s="243"/>
    </row>
    <row r="1161" spans="2:4" ht="11.45" hidden="1" customHeight="1" x14ac:dyDescent="0.25">
      <c r="B1161" s="243"/>
      <c r="C1161" s="243"/>
      <c r="D1161" s="243"/>
    </row>
    <row r="1162" spans="2:4" ht="11.45" hidden="1" customHeight="1" x14ac:dyDescent="0.25">
      <c r="B1162" s="243"/>
      <c r="C1162" s="243"/>
      <c r="D1162" s="243"/>
    </row>
    <row r="1163" spans="2:4" ht="11.45" hidden="1" customHeight="1" x14ac:dyDescent="0.25">
      <c r="B1163" s="243"/>
      <c r="C1163" s="243"/>
      <c r="D1163" s="243"/>
    </row>
    <row r="1164" spans="2:4" ht="11.45" hidden="1" customHeight="1" x14ac:dyDescent="0.25">
      <c r="B1164" s="243"/>
      <c r="C1164" s="243"/>
      <c r="D1164" s="243"/>
    </row>
    <row r="1165" spans="2:4" ht="11.45" hidden="1" customHeight="1" x14ac:dyDescent="0.25">
      <c r="B1165" s="243"/>
      <c r="C1165" s="243"/>
      <c r="D1165" s="243"/>
    </row>
    <row r="1166" spans="2:4" ht="11.45" hidden="1" customHeight="1" x14ac:dyDescent="0.25">
      <c r="B1166" s="243"/>
      <c r="C1166" s="243"/>
      <c r="D1166" s="243"/>
    </row>
    <row r="1167" spans="2:4" ht="11.45" hidden="1" customHeight="1" x14ac:dyDescent="0.25">
      <c r="B1167" s="243"/>
      <c r="C1167" s="243"/>
      <c r="D1167" s="243"/>
    </row>
    <row r="1168" spans="2:4" ht="11.45" hidden="1" customHeight="1" x14ac:dyDescent="0.25">
      <c r="B1168" s="243"/>
      <c r="C1168" s="243"/>
      <c r="D1168" s="243"/>
    </row>
    <row r="1169" spans="2:4" ht="11.45" hidden="1" customHeight="1" x14ac:dyDescent="0.25">
      <c r="B1169" s="243"/>
      <c r="C1169" s="243"/>
      <c r="D1169" s="243"/>
    </row>
    <row r="1170" spans="2:4" ht="11.45" hidden="1" customHeight="1" x14ac:dyDescent="0.25">
      <c r="B1170" s="243"/>
      <c r="C1170" s="243"/>
      <c r="D1170" s="243"/>
    </row>
    <row r="1171" spans="2:4" ht="11.45" hidden="1" customHeight="1" x14ac:dyDescent="0.25">
      <c r="B1171" s="243"/>
      <c r="C1171" s="243"/>
      <c r="D1171" s="243"/>
    </row>
    <row r="1172" spans="2:4" ht="11.45" hidden="1" customHeight="1" x14ac:dyDescent="0.25">
      <c r="B1172" s="243"/>
      <c r="C1172" s="243"/>
      <c r="D1172" s="243"/>
    </row>
    <row r="1173" spans="2:4" ht="11.45" hidden="1" customHeight="1" x14ac:dyDescent="0.25">
      <c r="B1173" s="243"/>
      <c r="C1173" s="243"/>
      <c r="D1173" s="243"/>
    </row>
    <row r="1174" spans="2:4" ht="11.45" hidden="1" customHeight="1" x14ac:dyDescent="0.25">
      <c r="B1174" s="243"/>
      <c r="C1174" s="243"/>
      <c r="D1174" s="243"/>
    </row>
    <row r="1175" spans="2:4" ht="11.45" hidden="1" customHeight="1" x14ac:dyDescent="0.25">
      <c r="B1175" s="243"/>
      <c r="C1175" s="243"/>
      <c r="D1175" s="243"/>
    </row>
    <row r="1176" spans="2:4" ht="11.45" hidden="1" customHeight="1" x14ac:dyDescent="0.25">
      <c r="B1176" s="243"/>
      <c r="C1176" s="243"/>
      <c r="D1176" s="243"/>
    </row>
    <row r="1177" spans="2:4" ht="11.45" hidden="1" customHeight="1" x14ac:dyDescent="0.25">
      <c r="B1177" s="243"/>
      <c r="C1177" s="243"/>
      <c r="D1177" s="243"/>
    </row>
    <row r="1178" spans="2:4" ht="11.45" hidden="1" customHeight="1" x14ac:dyDescent="0.25">
      <c r="B1178" s="243"/>
      <c r="C1178" s="243"/>
      <c r="D1178" s="243"/>
    </row>
    <row r="1179" spans="2:4" ht="11.45" hidden="1" customHeight="1" x14ac:dyDescent="0.25">
      <c r="B1179" s="243"/>
      <c r="C1179" s="243"/>
      <c r="D1179" s="243"/>
    </row>
    <row r="1180" spans="2:4" ht="11.45" hidden="1" customHeight="1" x14ac:dyDescent="0.25">
      <c r="B1180" s="243"/>
      <c r="C1180" s="243"/>
      <c r="D1180" s="243"/>
    </row>
    <row r="1048567" ht="12" hidden="1" customHeight="1" x14ac:dyDescent="0.2"/>
  </sheetData>
  <mergeCells count="24">
    <mergeCell ref="H26:I26"/>
    <mergeCell ref="H27:I27"/>
    <mergeCell ref="H28:I28"/>
    <mergeCell ref="H21:I21"/>
    <mergeCell ref="H22:I22"/>
    <mergeCell ref="H23:I23"/>
    <mergeCell ref="H24:I24"/>
    <mergeCell ref="H25:I25"/>
    <mergeCell ref="L27:M27"/>
    <mergeCell ref="L28:M28"/>
    <mergeCell ref="J21:K21"/>
    <mergeCell ref="J22:K22"/>
    <mergeCell ref="J23:K23"/>
    <mergeCell ref="J24:K24"/>
    <mergeCell ref="J25:K25"/>
    <mergeCell ref="J26:K26"/>
    <mergeCell ref="J27:K27"/>
    <mergeCell ref="J28:K28"/>
    <mergeCell ref="L21:M21"/>
    <mergeCell ref="L22:M22"/>
    <mergeCell ref="L23:M23"/>
    <mergeCell ref="L24:M24"/>
    <mergeCell ref="L25:M25"/>
    <mergeCell ref="L26:M26"/>
  </mergeCells>
  <dataValidations count="2">
    <dataValidation type="list" allowBlank="1" showInputMessage="1" sqref="C32:C44" xr:uid="{C49E0190-B7FB-46D6-8AA1-6A26B33D7812}">
      <formula1>iBedRange</formula1>
    </dataValidation>
    <dataValidation type="list" allowBlank="1" showInputMessage="1" sqref="D32:D44" xr:uid="{BE083A93-9E3B-4B87-877E-1069233F8652}">
      <formula1>iBathRange</formula1>
    </dataValidation>
  </dataValidations>
  <pageMargins left="0.7" right="0.7" top="0.75" bottom="0.75" header="0.3" footer="0.3"/>
  <pageSetup orientation="portrait" r:id="rId1"/>
  <ignoredErrors>
    <ignoredError sqref="A12:A16" evalError="1"/>
  </ignoredError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>
    <tabColor theme="2" tint="-0.499984740745262"/>
  </sheetPr>
  <dimension ref="A1:AO64"/>
  <sheetViews>
    <sheetView showGridLines="0" zoomScaleNormal="100" workbookViewId="0"/>
  </sheetViews>
  <sheetFormatPr defaultColWidth="0" defaultRowHeight="15" zeroHeight="1" x14ac:dyDescent="0.25"/>
  <cols>
    <col min="1" max="1" width="2.140625" style="11" customWidth="1"/>
    <col min="2" max="8" width="10.7109375" style="72" customWidth="1"/>
    <col min="9" max="9" width="2.28515625" style="72" customWidth="1"/>
    <col min="10" max="16" width="10.7109375" style="72" customWidth="1"/>
    <col min="17" max="17" width="2.28515625" style="72" customWidth="1"/>
    <col min="18" max="18" width="10.7109375" hidden="1" customWidth="1"/>
    <col min="19" max="19" width="9.140625" hidden="1" customWidth="1"/>
    <col min="20" max="20" width="9.5703125" hidden="1" customWidth="1"/>
    <col min="21" max="21" width="8.28515625" hidden="1" customWidth="1"/>
    <col min="22" max="22" width="8.85546875" hidden="1" customWidth="1"/>
    <col min="23" max="24" width="9.7109375" hidden="1" customWidth="1"/>
    <col min="25" max="25" width="15.140625" hidden="1" customWidth="1"/>
    <col min="26" max="29" width="8.85546875" hidden="1" customWidth="1"/>
    <col min="30" max="30" width="10.5703125" hidden="1" customWidth="1"/>
    <col min="31" max="33" width="8.85546875" hidden="1" customWidth="1"/>
    <col min="34" max="34" width="14" hidden="1" customWidth="1"/>
    <col min="35" max="35" width="10.7109375" hidden="1" customWidth="1"/>
    <col min="36" max="36" width="11" hidden="1" customWidth="1"/>
    <col min="37" max="39" width="8.85546875" hidden="1" customWidth="1"/>
    <col min="40" max="40" width="15" hidden="1" customWidth="1"/>
    <col min="41" max="41" width="15.7109375" hidden="1" customWidth="1"/>
    <col min="42" max="16384" width="8.85546875" hidden="1"/>
  </cols>
  <sheetData>
    <row r="1" spans="1:33" x14ac:dyDescent="0.25">
      <c r="B1"/>
      <c r="C1"/>
      <c r="D1"/>
      <c r="E1"/>
      <c r="F1"/>
      <c r="G1"/>
      <c r="H1"/>
      <c r="I1"/>
      <c r="J1"/>
      <c r="K1"/>
      <c r="L1"/>
      <c r="M1"/>
      <c r="N1"/>
      <c r="O1"/>
      <c r="P1"/>
      <c r="Q1"/>
    </row>
    <row r="2" spans="1:33" x14ac:dyDescent="0.25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</row>
    <row r="3" spans="1:33" x14ac:dyDescent="0.25"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X3" s="12">
        <f>rng_rent_roll_date</f>
        <v>0</v>
      </c>
      <c r="Y3" s="11" t="s">
        <v>290</v>
      </c>
    </row>
    <row r="4" spans="1:33" x14ac:dyDescent="0.25"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X4" s="12">
        <f>X3-30</f>
        <v>-30</v>
      </c>
      <c r="Y4" s="11" t="s">
        <v>159</v>
      </c>
    </row>
    <row r="5" spans="1:33" ht="12.6" customHeight="1" x14ac:dyDescent="0.25">
      <c r="A5" s="152" t="s">
        <v>34</v>
      </c>
      <c r="B5" s="71" t="s">
        <v>293</v>
      </c>
      <c r="C5" s="71" t="s">
        <v>158</v>
      </c>
      <c r="D5" s="71" t="s">
        <v>156</v>
      </c>
      <c r="E5" s="71" t="s">
        <v>157</v>
      </c>
      <c r="F5" s="71" t="s">
        <v>292</v>
      </c>
      <c r="G5" s="71" t="s">
        <v>288</v>
      </c>
      <c r="H5" s="71" t="s">
        <v>289</v>
      </c>
      <c r="I5" s="71" t="s">
        <v>34</v>
      </c>
      <c r="J5" s="71" t="s">
        <v>293</v>
      </c>
      <c r="K5" s="71" t="s">
        <v>291</v>
      </c>
      <c r="L5" s="71" t="s">
        <v>156</v>
      </c>
      <c r="M5" s="71" t="s">
        <v>157</v>
      </c>
      <c r="N5" s="71" t="s">
        <v>292</v>
      </c>
      <c r="O5" s="71" t="s">
        <v>288</v>
      </c>
      <c r="P5" s="71" t="s">
        <v>289</v>
      </c>
      <c r="Q5"/>
      <c r="X5" s="12">
        <f>X4-30</f>
        <v>-60</v>
      </c>
      <c r="Y5" s="11" t="s">
        <v>160</v>
      </c>
    </row>
    <row r="6" spans="1:33" x14ac:dyDescent="0.25">
      <c r="A6" s="258" t="e">
        <f t="shared" ref="A6:A16" si="0">DATE(YEAR(B6),MONTH(B6),DAY(1))</f>
        <v>#VALUE!</v>
      </c>
      <c r="B6" s="259" t="e">
        <f t="shared" ref="B6:B15" si="1">EOMONTH(B7,1)</f>
        <v>#VALUE!</v>
      </c>
      <c r="C6" s="260">
        <f>COUNTIFS('Rent Roll'!$M$11:M$50,"&gt;="&amp;A6,'Rent Roll'!$M$11:M$50,"&lt;="&amp;B6)</f>
        <v>0</v>
      </c>
      <c r="D6" s="261" t="e">
        <f t="shared" ref="D6:D17" si="2">C6/SUM($K$6:$K$17)</f>
        <v>#DIV/0!</v>
      </c>
      <c r="E6" s="262">
        <f ca="1">SUMIFS('Rent Roll'!$J$11:T$50,'Rent Roll'!$L$11:V$50,"&gt;="&amp;'Lease Analysis'!$I6,'Rent Roll'!$L$11:V$50,"&lt;="&amp;'Lease Analysis'!$J6)</f>
        <v>0</v>
      </c>
      <c r="F6" s="263" t="e">
        <f ca="1">SUMIFS('Rent Roll'!$O$11:O$50,'Rent Roll'!$M$11:M$50,"&gt;="&amp;A6,'Rent Roll'!$M$11:M$50,"&lt;="&amp;B6,'Rent Roll'!$I$11:I$50,"Occupied")/E6</f>
        <v>#DIV/0!</v>
      </c>
      <c r="G6" s="263" t="e">
        <f>SUMIFS('Rent Roll'!$O$11:O$50,'Rent Roll'!$M$11:M$50,"&gt;="&amp;A6,'Rent Roll'!$M$11:M$50,"&lt;="&amp;B6,'Rent Roll'!$I$11:I$50,"Occupied")/C6</f>
        <v>#DIV/0!</v>
      </c>
      <c r="H6" s="264" t="e">
        <f>SUMIFS('Rent Roll'!$R$11:R$50,'Rent Roll'!$M$11:M$50,"&gt;="&amp;A6,'Rent Roll'!$M$11:M$50,"&lt;="&amp;B6,'Rent Roll'!$I$11:I$50,"Occupied")/C6</f>
        <v>#DIV/0!</v>
      </c>
      <c r="I6" s="259" t="e">
        <f t="shared" ref="I6:I16" si="3">DATE(YEAR(J6),MONTH(J6),DAY(1))</f>
        <v>#VALUE!</v>
      </c>
      <c r="J6" s="259" t="e">
        <f t="shared" ref="J6:J15" si="4">EOMONTH(J7,-1)</f>
        <v>#VALUE!</v>
      </c>
      <c r="K6" s="260">
        <f>COUNTIFS('Rent Roll'!$L$11:L$50,"&gt;="&amp;I6,'Rent Roll'!$L$11:L$50,"&lt;="&amp;J6,'Rent Roll'!$I$11:I$50,"Occupied")</f>
        <v>0</v>
      </c>
      <c r="L6" s="261" t="e">
        <f t="shared" ref="L6:L17" si="5">K6/SUM($K$6:$K$17)</f>
        <v>#DIV/0!</v>
      </c>
      <c r="M6" s="260">
        <f>SUMIFS('Rent Roll'!$J$11:J$50,'Rent Roll'!$L$11:L$50,"&gt;="&amp;'Lease Analysis'!$I6,'Rent Roll'!$L$11:L$50,"&lt;="&amp;'Lease Analysis'!$J6)</f>
        <v>0</v>
      </c>
      <c r="N6" s="263" t="e">
        <f>SUMIFS('Rent Roll'!$O$11:O$50,'Rent Roll'!$L$11:L$50,"&gt;="&amp;I6,'Rent Roll'!$L$11:L$50,"&lt;="&amp;J6,'Rent Roll'!$I$11:I$50,"Occupied")/M6</f>
        <v>#DIV/0!</v>
      </c>
      <c r="O6" s="264" t="e">
        <f>SUMIFS('Rent Roll'!$O$11:O$50,'Rent Roll'!$L$11:L$50,"&gt;="&amp;I6,'Rent Roll'!$L$11:L$50,"&lt;="&amp;J6,'Rent Roll'!$I$11:I$50,"Occupied")/K6</f>
        <v>#DIV/0!</v>
      </c>
      <c r="P6" s="264" t="e">
        <f>SUMIFS('Rent Roll'!$R$11:R$50,'Rent Roll'!$L$11:L$50,"&gt;="&amp;I6,'Rent Roll'!$L$11:L$50,"&lt;="&amp;J6,'Rent Roll'!$I$11:I$50,"Occupied")/K6</f>
        <v>#DIV/0!</v>
      </c>
      <c r="Q6"/>
      <c r="X6" s="12">
        <f>X5-30</f>
        <v>-90</v>
      </c>
      <c r="Y6" s="11" t="s">
        <v>161</v>
      </c>
    </row>
    <row r="7" spans="1:33" x14ac:dyDescent="0.25">
      <c r="A7" s="258" t="e">
        <f t="shared" si="0"/>
        <v>#VALUE!</v>
      </c>
      <c r="B7" s="259" t="e">
        <f t="shared" si="1"/>
        <v>#VALUE!</v>
      </c>
      <c r="C7" s="260">
        <f>COUNTIFS('Rent Roll'!$M$11:M$50,"&gt;="&amp;A7,'Rent Roll'!$M$11:M$50,"&lt;="&amp;B7)</f>
        <v>0</v>
      </c>
      <c r="D7" s="261" t="e">
        <f t="shared" si="2"/>
        <v>#DIV/0!</v>
      </c>
      <c r="E7" s="262">
        <f ca="1">SUMIFS('Rent Roll'!$J$11:T$50,'Rent Roll'!$L$11:V$50,"&gt;="&amp;'Lease Analysis'!$I7,'Rent Roll'!$L$11:V$50,"&lt;="&amp;'Lease Analysis'!$J7)</f>
        <v>0</v>
      </c>
      <c r="F7" s="263" t="e">
        <f ca="1">SUMIFS('Rent Roll'!$O$11:O$50,'Rent Roll'!$M$11:M$50,"&gt;="&amp;A7,'Rent Roll'!$M$11:M$50,"&lt;="&amp;B7,'Rent Roll'!$I$11:I$50,"Occupied")/E7</f>
        <v>#DIV/0!</v>
      </c>
      <c r="G7" s="263" t="e">
        <f>SUMIFS('Rent Roll'!$O$11:O$50,'Rent Roll'!$M$11:M$50,"&gt;="&amp;A7,'Rent Roll'!$M$11:M$50,"&lt;="&amp;B7,'Rent Roll'!$I$11:I$50,"Occupied")/C7</f>
        <v>#DIV/0!</v>
      </c>
      <c r="H7" s="264" t="e">
        <f>SUMIFS('Rent Roll'!$R$11:R$50,'Rent Roll'!$M$11:M$50,"&gt;="&amp;A7,'Rent Roll'!$M$11:M$50,"&lt;="&amp;B7,'Rent Roll'!$I$11:I$50,"Occupied")/C7</f>
        <v>#DIV/0!</v>
      </c>
      <c r="I7" s="259" t="e">
        <f t="shared" si="3"/>
        <v>#VALUE!</v>
      </c>
      <c r="J7" s="259" t="e">
        <f t="shared" si="4"/>
        <v>#VALUE!</v>
      </c>
      <c r="K7" s="260">
        <f>COUNTIFS('Rent Roll'!$L$11:L$50,"&gt;="&amp;I7,'Rent Roll'!$L$11:L$50,"&lt;="&amp;J7,'Rent Roll'!$I$11:I$50,"Occupied")</f>
        <v>0</v>
      </c>
      <c r="L7" s="261" t="e">
        <f t="shared" si="5"/>
        <v>#DIV/0!</v>
      </c>
      <c r="M7" s="260">
        <f>SUMIFS('Rent Roll'!$J$11:J$50,'Rent Roll'!$L$11:L$50,"&gt;="&amp;'Lease Analysis'!$I7,'Rent Roll'!$L$11:L$50,"&lt;="&amp;'Lease Analysis'!$J7)</f>
        <v>0</v>
      </c>
      <c r="N7" s="263" t="e">
        <f>SUMIFS('Rent Roll'!$O$11:O$50,'Rent Roll'!$L$11:L$50,"&gt;="&amp;I7,'Rent Roll'!$L$11:L$50,"&lt;="&amp;J7,'Rent Roll'!$I$11:I$50,"Occupied")/M7</f>
        <v>#DIV/0!</v>
      </c>
      <c r="O7" s="264" t="e">
        <f>SUMIFS('Rent Roll'!$O$11:O$50,'Rent Roll'!$L$11:L$50,"&gt;="&amp;I7,'Rent Roll'!$L$11:L$50,"&lt;="&amp;J7,'Rent Roll'!$I$11:I$50,"Occupied")/K7</f>
        <v>#DIV/0!</v>
      </c>
      <c r="P7" s="264" t="e">
        <f>SUMIFS('Rent Roll'!$R$11:R$50,'Rent Roll'!$L$11:L$50,"&gt;="&amp;I7,'Rent Roll'!$L$11:L$50,"&lt;="&amp;J7,'Rent Roll'!$I$11:I$50,"Occupied")/K7</f>
        <v>#DIV/0!</v>
      </c>
      <c r="Q7"/>
      <c r="V7" s="20"/>
    </row>
    <row r="8" spans="1:33" x14ac:dyDescent="0.25">
      <c r="A8" s="258" t="e">
        <f t="shared" si="0"/>
        <v>#VALUE!</v>
      </c>
      <c r="B8" s="259" t="e">
        <f t="shared" si="1"/>
        <v>#VALUE!</v>
      </c>
      <c r="C8" s="260">
        <f>COUNTIFS('Rent Roll'!$M$11:M$50,"&gt;="&amp;A8,'Rent Roll'!$M$11:M$50,"&lt;="&amp;B8)</f>
        <v>0</v>
      </c>
      <c r="D8" s="261" t="e">
        <f t="shared" si="2"/>
        <v>#DIV/0!</v>
      </c>
      <c r="E8" s="262">
        <f ca="1">SUMIFS('Rent Roll'!$J$11:T$50,'Rent Roll'!$L$11:V$50,"&gt;="&amp;'Lease Analysis'!$I8,'Rent Roll'!$L$11:V$50,"&lt;="&amp;'Lease Analysis'!$J8)</f>
        <v>0</v>
      </c>
      <c r="F8" s="263" t="e">
        <f ca="1">SUMIFS('Rent Roll'!$O$11:O$50,'Rent Roll'!$M$11:M$50,"&gt;="&amp;A8,'Rent Roll'!$M$11:M$50,"&lt;="&amp;B8,'Rent Roll'!$I$11:I$50,"Occupied")/E8</f>
        <v>#DIV/0!</v>
      </c>
      <c r="G8" s="263" t="e">
        <f>SUMIFS('Rent Roll'!$O$11:O$50,'Rent Roll'!$M$11:M$50,"&gt;="&amp;A8,'Rent Roll'!$M$11:M$50,"&lt;="&amp;B8,'Rent Roll'!$I$11:I$50,"Occupied")/C8</f>
        <v>#DIV/0!</v>
      </c>
      <c r="H8" s="264" t="e">
        <f>SUMIFS('Rent Roll'!$R$11:R$50,'Rent Roll'!$M$11:M$50,"&gt;="&amp;A8,'Rent Roll'!$M$11:M$50,"&lt;="&amp;B8,'Rent Roll'!$I$11:I$50,"Occupied")/C8</f>
        <v>#DIV/0!</v>
      </c>
      <c r="I8" s="259" t="e">
        <f t="shared" si="3"/>
        <v>#VALUE!</v>
      </c>
      <c r="J8" s="259" t="e">
        <f t="shared" si="4"/>
        <v>#VALUE!</v>
      </c>
      <c r="K8" s="260">
        <f>COUNTIFS('Rent Roll'!$L$11:L$50,"&gt;="&amp;I8,'Rent Roll'!$L$11:L$50,"&lt;="&amp;J8,'Rent Roll'!$I$11:I$50,"Occupied")</f>
        <v>0</v>
      </c>
      <c r="L8" s="261" t="e">
        <f t="shared" si="5"/>
        <v>#DIV/0!</v>
      </c>
      <c r="M8" s="260">
        <f>SUMIFS('Rent Roll'!$J$11:J$50,'Rent Roll'!$L$11:L$50,"&gt;="&amp;'Lease Analysis'!$I8,'Rent Roll'!$L$11:L$50,"&lt;="&amp;'Lease Analysis'!$J8)</f>
        <v>0</v>
      </c>
      <c r="N8" s="263" t="e">
        <f>SUMIFS('Rent Roll'!$O$11:O$50,'Rent Roll'!$L$11:L$50,"&gt;="&amp;I8,'Rent Roll'!$L$11:L$50,"&lt;="&amp;J8,'Rent Roll'!$I$11:I$50,"Occupied")/M8</f>
        <v>#DIV/0!</v>
      </c>
      <c r="O8" s="264" t="e">
        <f>SUMIFS('Rent Roll'!$O$11:O$50,'Rent Roll'!$L$11:L$50,"&gt;="&amp;I8,'Rent Roll'!$L$11:L$50,"&lt;="&amp;J8,'Rent Roll'!$I$11:I$50,"Occupied")/K8</f>
        <v>#DIV/0!</v>
      </c>
      <c r="P8" s="264" t="e">
        <f>SUMIFS('Rent Roll'!$R$11:R$50,'Rent Roll'!$L$11:L$50,"&gt;="&amp;I8,'Rent Roll'!$L$11:L$50,"&lt;="&amp;J8,'Rent Roll'!$I$11:I$50,"Occupied")/K8</f>
        <v>#DIV/0!</v>
      </c>
      <c r="Q8"/>
      <c r="W8" s="27"/>
      <c r="AG8" s="27"/>
    </row>
    <row r="9" spans="1:33" x14ac:dyDescent="0.25">
      <c r="A9" s="258" t="e">
        <f t="shared" si="0"/>
        <v>#VALUE!</v>
      </c>
      <c r="B9" s="259" t="e">
        <f t="shared" si="1"/>
        <v>#VALUE!</v>
      </c>
      <c r="C9" s="260">
        <f>COUNTIFS('Rent Roll'!$M$11:M$50,"&gt;="&amp;A9,'Rent Roll'!$M$11:M$50,"&lt;="&amp;B9)</f>
        <v>0</v>
      </c>
      <c r="D9" s="261" t="e">
        <f t="shared" si="2"/>
        <v>#DIV/0!</v>
      </c>
      <c r="E9" s="262">
        <f ca="1">SUMIFS('Rent Roll'!$J$11:T$50,'Rent Roll'!$L$11:V$50,"&gt;="&amp;'Lease Analysis'!$I9,'Rent Roll'!$L$11:V$50,"&lt;="&amp;'Lease Analysis'!$J9)</f>
        <v>0</v>
      </c>
      <c r="F9" s="263" t="e">
        <f ca="1">SUMIFS('Rent Roll'!$O$11:O$50,'Rent Roll'!$M$11:M$50,"&gt;="&amp;A9,'Rent Roll'!$M$11:M$50,"&lt;="&amp;B9,'Rent Roll'!$I$11:I$50,"Occupied")/E9</f>
        <v>#DIV/0!</v>
      </c>
      <c r="G9" s="263" t="e">
        <f>SUMIFS('Rent Roll'!$O$11:O$50,'Rent Roll'!$M$11:M$50,"&gt;="&amp;A9,'Rent Roll'!$M$11:M$50,"&lt;="&amp;B9,'Rent Roll'!$I$11:I$50,"Occupied")/C9</f>
        <v>#DIV/0!</v>
      </c>
      <c r="H9" s="264" t="e">
        <f>SUMIFS('Rent Roll'!$R$11:R$50,'Rent Roll'!$M$11:M$50,"&gt;="&amp;A9,'Rent Roll'!$M$11:M$50,"&lt;="&amp;B9,'Rent Roll'!$I$11:I$50,"Occupied")/C9</f>
        <v>#DIV/0!</v>
      </c>
      <c r="I9" s="259" t="e">
        <f t="shared" si="3"/>
        <v>#VALUE!</v>
      </c>
      <c r="J9" s="259" t="e">
        <f t="shared" si="4"/>
        <v>#VALUE!</v>
      </c>
      <c r="K9" s="260">
        <f>COUNTIFS('Rent Roll'!$L$11:L$50,"&gt;="&amp;I9,'Rent Roll'!$L$11:L$50,"&lt;="&amp;J9,'Rent Roll'!$I$11:I$50,"Occupied")</f>
        <v>0</v>
      </c>
      <c r="L9" s="261" t="e">
        <f t="shared" si="5"/>
        <v>#DIV/0!</v>
      </c>
      <c r="M9" s="260">
        <f>SUMIFS('Rent Roll'!$J$11:J$50,'Rent Roll'!$L$11:L$50,"&gt;="&amp;'Lease Analysis'!$I9,'Rent Roll'!$L$11:L$50,"&lt;="&amp;'Lease Analysis'!$J9)</f>
        <v>0</v>
      </c>
      <c r="N9" s="263" t="e">
        <f>SUMIFS('Rent Roll'!$O$11:O$50,'Rent Roll'!$L$11:L$50,"&gt;="&amp;I9,'Rent Roll'!$L$11:L$50,"&lt;="&amp;J9,'Rent Roll'!$I$11:I$50,"Occupied")/M9</f>
        <v>#DIV/0!</v>
      </c>
      <c r="O9" s="264" t="e">
        <f>SUMIFS('Rent Roll'!$O$11:O$50,'Rent Roll'!$L$11:L$50,"&gt;="&amp;I9,'Rent Roll'!$L$11:L$50,"&lt;="&amp;J9,'Rent Roll'!$I$11:I$50,"Occupied")/K9</f>
        <v>#DIV/0!</v>
      </c>
      <c r="P9" s="264" t="e">
        <f>SUMIFS('Rent Roll'!$R$11:R$50,'Rent Roll'!$L$11:L$50,"&gt;="&amp;I9,'Rent Roll'!$L$11:L$50,"&lt;="&amp;J9,'Rent Roll'!$I$11:I$50,"Occupied")/K9</f>
        <v>#DIV/0!</v>
      </c>
      <c r="Q9"/>
      <c r="W9" s="27"/>
      <c r="AG9" s="27"/>
    </row>
    <row r="10" spans="1:33" x14ac:dyDescent="0.25">
      <c r="A10" s="258" t="e">
        <f t="shared" si="0"/>
        <v>#VALUE!</v>
      </c>
      <c r="B10" s="259" t="e">
        <f t="shared" si="1"/>
        <v>#VALUE!</v>
      </c>
      <c r="C10" s="260">
        <f>COUNTIFS('Rent Roll'!$M$11:M$50,"&gt;="&amp;A10,'Rent Roll'!$M$11:M$50,"&lt;="&amp;B10)</f>
        <v>0</v>
      </c>
      <c r="D10" s="261" t="e">
        <f t="shared" si="2"/>
        <v>#DIV/0!</v>
      </c>
      <c r="E10" s="262">
        <f ca="1">SUMIFS('Rent Roll'!$J$11:T$50,'Rent Roll'!$L$11:V$50,"&gt;="&amp;'Lease Analysis'!$I10,'Rent Roll'!$L$11:V$50,"&lt;="&amp;'Lease Analysis'!$J10)</f>
        <v>0</v>
      </c>
      <c r="F10" s="263" t="e">
        <f ca="1">SUMIFS('Rent Roll'!$O$11:O$50,'Rent Roll'!$M$11:M$50,"&gt;="&amp;A10,'Rent Roll'!$M$11:M$50,"&lt;="&amp;B10,'Rent Roll'!$I$11:I$50,"Occupied")/E10</f>
        <v>#DIV/0!</v>
      </c>
      <c r="G10" s="263" t="e">
        <f>SUMIFS('Rent Roll'!$O$11:O$50,'Rent Roll'!$M$11:M$50,"&gt;="&amp;A10,'Rent Roll'!$M$11:M$50,"&lt;="&amp;B10,'Rent Roll'!$I$11:I$50,"Occupied")/C10</f>
        <v>#DIV/0!</v>
      </c>
      <c r="H10" s="264" t="e">
        <f>SUMIFS('Rent Roll'!$R$11:R$50,'Rent Roll'!$M$11:M$50,"&gt;="&amp;A10,'Rent Roll'!$M$11:M$50,"&lt;="&amp;B10,'Rent Roll'!$I$11:I$50,"Occupied")/C10</f>
        <v>#DIV/0!</v>
      </c>
      <c r="I10" s="259" t="e">
        <f t="shared" si="3"/>
        <v>#VALUE!</v>
      </c>
      <c r="J10" s="259" t="e">
        <f t="shared" si="4"/>
        <v>#VALUE!</v>
      </c>
      <c r="K10" s="260">
        <f>COUNTIFS('Rent Roll'!$L$11:L$50,"&gt;="&amp;I10,'Rent Roll'!$L$11:L$50,"&lt;="&amp;J10,'Rent Roll'!$I$11:I$50,"Occupied")</f>
        <v>0</v>
      </c>
      <c r="L10" s="261" t="e">
        <f t="shared" si="5"/>
        <v>#DIV/0!</v>
      </c>
      <c r="M10" s="260">
        <f>SUMIFS('Rent Roll'!$J$11:J$50,'Rent Roll'!$L$11:L$50,"&gt;="&amp;'Lease Analysis'!$I10,'Rent Roll'!$L$11:L$50,"&lt;="&amp;'Lease Analysis'!$J10)</f>
        <v>0</v>
      </c>
      <c r="N10" s="263" t="e">
        <f>SUMIFS('Rent Roll'!$O$11:O$50,'Rent Roll'!$L$11:L$50,"&gt;="&amp;I10,'Rent Roll'!$L$11:L$50,"&lt;="&amp;J10,'Rent Roll'!$I$11:I$50,"Occupied")/M10</f>
        <v>#DIV/0!</v>
      </c>
      <c r="O10" s="264" t="e">
        <f>SUMIFS('Rent Roll'!$O$11:O$50,'Rent Roll'!$L$11:L$50,"&gt;="&amp;I10,'Rent Roll'!$L$11:L$50,"&lt;="&amp;J10,'Rent Roll'!$I$11:I$50,"Occupied")/K10</f>
        <v>#DIV/0!</v>
      </c>
      <c r="P10" s="264" t="e">
        <f>SUMIFS('Rent Roll'!$R$11:R$50,'Rent Roll'!$L$11:L$50,"&gt;="&amp;I10,'Rent Roll'!$L$11:L$50,"&lt;="&amp;J10,'Rent Roll'!$I$11:I$50,"Occupied")/K10</f>
        <v>#DIV/0!</v>
      </c>
      <c r="Q10"/>
      <c r="W10" s="27"/>
      <c r="AG10" s="27"/>
    </row>
    <row r="11" spans="1:33" x14ac:dyDescent="0.25">
      <c r="A11" s="258" t="e">
        <f t="shared" si="0"/>
        <v>#VALUE!</v>
      </c>
      <c r="B11" s="259" t="e">
        <f t="shared" si="1"/>
        <v>#VALUE!</v>
      </c>
      <c r="C11" s="260">
        <f>COUNTIFS('Rent Roll'!$M$11:M$50,"&gt;="&amp;A11,'Rent Roll'!$M$11:M$50,"&lt;="&amp;B11)</f>
        <v>0</v>
      </c>
      <c r="D11" s="261" t="e">
        <f t="shared" si="2"/>
        <v>#DIV/0!</v>
      </c>
      <c r="E11" s="262">
        <f ca="1">SUMIFS('Rent Roll'!$J$11:T$50,'Rent Roll'!$L$11:V$50,"&gt;="&amp;'Lease Analysis'!$I11,'Rent Roll'!$L$11:V$50,"&lt;="&amp;'Lease Analysis'!$J11)</f>
        <v>0</v>
      </c>
      <c r="F11" s="263" t="e">
        <f ca="1">SUMIFS('Rent Roll'!$O$11:O$50,'Rent Roll'!$M$11:M$50,"&gt;="&amp;A11,'Rent Roll'!$M$11:M$50,"&lt;="&amp;B11,'Rent Roll'!$I$11:I$50,"Occupied")/E11</f>
        <v>#DIV/0!</v>
      </c>
      <c r="G11" s="263" t="e">
        <f>SUMIFS('Rent Roll'!$O$11:O$50,'Rent Roll'!$M$11:M$50,"&gt;="&amp;A11,'Rent Roll'!$M$11:M$50,"&lt;="&amp;B11,'Rent Roll'!$I$11:I$50,"Occupied")/C11</f>
        <v>#DIV/0!</v>
      </c>
      <c r="H11" s="264" t="e">
        <f>SUMIFS('Rent Roll'!$R$11:R$50,'Rent Roll'!$M$11:M$50,"&gt;="&amp;A11,'Rent Roll'!$M$11:M$50,"&lt;="&amp;B11,'Rent Roll'!$I$11:I$50,"Occupied")/C11</f>
        <v>#DIV/0!</v>
      </c>
      <c r="I11" s="259" t="e">
        <f t="shared" si="3"/>
        <v>#VALUE!</v>
      </c>
      <c r="J11" s="259" t="e">
        <f t="shared" si="4"/>
        <v>#VALUE!</v>
      </c>
      <c r="K11" s="260">
        <f>COUNTIFS('Rent Roll'!$L$11:L$50,"&gt;="&amp;I11,'Rent Roll'!$L$11:L$50,"&lt;="&amp;J11,'Rent Roll'!$I$11:I$50,"Occupied")</f>
        <v>0</v>
      </c>
      <c r="L11" s="261" t="e">
        <f t="shared" si="5"/>
        <v>#DIV/0!</v>
      </c>
      <c r="M11" s="260">
        <f>SUMIFS('Rent Roll'!$J$11:J$50,'Rent Roll'!$L$11:L$50,"&gt;="&amp;'Lease Analysis'!$I11,'Rent Roll'!$L$11:L$50,"&lt;="&amp;'Lease Analysis'!$J11)</f>
        <v>0</v>
      </c>
      <c r="N11" s="263" t="e">
        <f>SUMIFS('Rent Roll'!$O$11:O$50,'Rent Roll'!$L$11:L$50,"&gt;="&amp;I11,'Rent Roll'!$L$11:L$50,"&lt;="&amp;J11,'Rent Roll'!$I$11:I$50,"Occupied")/M11</f>
        <v>#DIV/0!</v>
      </c>
      <c r="O11" s="264" t="e">
        <f>SUMIFS('Rent Roll'!$O$11:O$50,'Rent Roll'!$L$11:L$50,"&gt;="&amp;I11,'Rent Roll'!$L$11:L$50,"&lt;="&amp;J11,'Rent Roll'!$I$11:I$50,"Occupied")/K11</f>
        <v>#DIV/0!</v>
      </c>
      <c r="P11" s="264" t="e">
        <f>SUMIFS('Rent Roll'!$R$11:R$50,'Rent Roll'!$L$11:L$50,"&gt;="&amp;I11,'Rent Roll'!$L$11:L$50,"&lt;="&amp;J11,'Rent Roll'!$I$11:I$50,"Occupied")/K11</f>
        <v>#DIV/0!</v>
      </c>
      <c r="Q11"/>
      <c r="W11" s="27"/>
      <c r="AG11" s="27"/>
    </row>
    <row r="12" spans="1:33" x14ac:dyDescent="0.25">
      <c r="A12" s="258" t="e">
        <f t="shared" si="0"/>
        <v>#VALUE!</v>
      </c>
      <c r="B12" s="259" t="e">
        <f t="shared" si="1"/>
        <v>#VALUE!</v>
      </c>
      <c r="C12" s="260">
        <f>COUNTIFS('Rent Roll'!$M$11:M$50,"&gt;="&amp;A12,'Rent Roll'!$M$11:M$50,"&lt;="&amp;B12)</f>
        <v>0</v>
      </c>
      <c r="D12" s="261" t="e">
        <f t="shared" si="2"/>
        <v>#DIV/0!</v>
      </c>
      <c r="E12" s="262">
        <f ca="1">SUMIFS('Rent Roll'!$J$11:T$50,'Rent Roll'!$L$11:V$50,"&gt;="&amp;'Lease Analysis'!$I12,'Rent Roll'!$L$11:V$50,"&lt;="&amp;'Lease Analysis'!$J12)</f>
        <v>0</v>
      </c>
      <c r="F12" s="263" t="e">
        <f ca="1">SUMIFS('Rent Roll'!$O$11:O$50,'Rent Roll'!$M$11:M$50,"&gt;="&amp;A12,'Rent Roll'!$M$11:M$50,"&lt;="&amp;B12,'Rent Roll'!$I$11:I$50,"Occupied")/E12</f>
        <v>#DIV/0!</v>
      </c>
      <c r="G12" s="263" t="e">
        <f>SUMIFS('Rent Roll'!$O$11:O$50,'Rent Roll'!$M$11:M$50,"&gt;="&amp;A12,'Rent Roll'!$M$11:M$50,"&lt;="&amp;B12,'Rent Roll'!$I$11:I$50,"Occupied")/C12</f>
        <v>#DIV/0!</v>
      </c>
      <c r="H12" s="264" t="e">
        <f>SUMIFS('Rent Roll'!$R$11:R$50,'Rent Roll'!$M$11:M$50,"&gt;="&amp;A12,'Rent Roll'!$M$11:M$50,"&lt;="&amp;B12,'Rent Roll'!$I$11:I$50,"Occupied")/C12</f>
        <v>#DIV/0!</v>
      </c>
      <c r="I12" s="259" t="e">
        <f t="shared" si="3"/>
        <v>#VALUE!</v>
      </c>
      <c r="J12" s="259" t="e">
        <f t="shared" si="4"/>
        <v>#VALUE!</v>
      </c>
      <c r="K12" s="260">
        <f>COUNTIFS('Rent Roll'!$L$11:L$50,"&gt;="&amp;I12,'Rent Roll'!$L$11:L$50,"&lt;="&amp;J12,'Rent Roll'!$I$11:I$50,"Occupied")</f>
        <v>0</v>
      </c>
      <c r="L12" s="261" t="e">
        <f t="shared" si="5"/>
        <v>#DIV/0!</v>
      </c>
      <c r="M12" s="260">
        <f>SUMIFS('Rent Roll'!$J$11:J$50,'Rent Roll'!$L$11:L$50,"&gt;="&amp;'Lease Analysis'!$I12,'Rent Roll'!$L$11:L$50,"&lt;="&amp;'Lease Analysis'!$J12)</f>
        <v>0</v>
      </c>
      <c r="N12" s="263" t="e">
        <f>SUMIFS('Rent Roll'!$O$11:O$50,'Rent Roll'!$L$11:L$50,"&gt;="&amp;I12,'Rent Roll'!$L$11:L$50,"&lt;="&amp;J12,'Rent Roll'!$I$11:I$50,"Occupied")/M12</f>
        <v>#DIV/0!</v>
      </c>
      <c r="O12" s="264" t="e">
        <f>SUMIFS('Rent Roll'!$O$11:O$50,'Rent Roll'!$L$11:L$50,"&gt;="&amp;I12,'Rent Roll'!$L$11:L$50,"&lt;="&amp;J12,'Rent Roll'!$I$11:I$50,"Occupied")/K12</f>
        <v>#DIV/0!</v>
      </c>
      <c r="P12" s="264" t="e">
        <f>SUMIFS('Rent Roll'!$R$11:R$50,'Rent Roll'!$L$11:L$50,"&gt;="&amp;I12,'Rent Roll'!$L$11:L$50,"&lt;="&amp;J12,'Rent Roll'!$I$11:I$50,"Occupied")/K12</f>
        <v>#DIV/0!</v>
      </c>
      <c r="Q12"/>
      <c r="W12" s="27"/>
      <c r="AG12" s="27"/>
    </row>
    <row r="13" spans="1:33" x14ac:dyDescent="0.25">
      <c r="A13" s="258" t="e">
        <f t="shared" si="0"/>
        <v>#VALUE!</v>
      </c>
      <c r="B13" s="259" t="e">
        <f t="shared" si="1"/>
        <v>#VALUE!</v>
      </c>
      <c r="C13" s="260">
        <f>COUNTIFS('Rent Roll'!$M$11:M$50,"&gt;="&amp;A13,'Rent Roll'!$M$11:M$50,"&lt;="&amp;B13)</f>
        <v>0</v>
      </c>
      <c r="D13" s="261" t="e">
        <f t="shared" si="2"/>
        <v>#DIV/0!</v>
      </c>
      <c r="E13" s="262">
        <f ca="1">SUMIFS('Rent Roll'!$J$11:T$50,'Rent Roll'!$L$11:V$50,"&gt;="&amp;'Lease Analysis'!$I13,'Rent Roll'!$L$11:V$50,"&lt;="&amp;'Lease Analysis'!$J13)</f>
        <v>0</v>
      </c>
      <c r="F13" s="263" t="e">
        <f ca="1">SUMIFS('Rent Roll'!$O$11:O$50,'Rent Roll'!$M$11:M$50,"&gt;="&amp;A13,'Rent Roll'!$M$11:M$50,"&lt;="&amp;B13,'Rent Roll'!$I$11:I$50,"Occupied")/E13</f>
        <v>#DIV/0!</v>
      </c>
      <c r="G13" s="263" t="e">
        <f>SUMIFS('Rent Roll'!$O$11:O$50,'Rent Roll'!$M$11:M$50,"&gt;="&amp;A13,'Rent Roll'!$M$11:M$50,"&lt;="&amp;B13,'Rent Roll'!$I$11:I$50,"Occupied")/C13</f>
        <v>#DIV/0!</v>
      </c>
      <c r="H13" s="264" t="e">
        <f>SUMIFS('Rent Roll'!$R$11:R$50,'Rent Roll'!$M$11:M$50,"&gt;="&amp;A13,'Rent Roll'!$M$11:M$50,"&lt;="&amp;B13,'Rent Roll'!$I$11:I$50,"Occupied")/C13</f>
        <v>#DIV/0!</v>
      </c>
      <c r="I13" s="259" t="e">
        <f t="shared" si="3"/>
        <v>#VALUE!</v>
      </c>
      <c r="J13" s="259" t="e">
        <f t="shared" si="4"/>
        <v>#VALUE!</v>
      </c>
      <c r="K13" s="260">
        <f>COUNTIFS('Rent Roll'!$L$11:L$50,"&gt;="&amp;I13,'Rent Roll'!$L$11:L$50,"&lt;="&amp;J13,'Rent Roll'!$I$11:I$50,"Occupied")</f>
        <v>0</v>
      </c>
      <c r="L13" s="261" t="e">
        <f t="shared" si="5"/>
        <v>#DIV/0!</v>
      </c>
      <c r="M13" s="260">
        <f>SUMIFS('Rent Roll'!$J$11:J$50,'Rent Roll'!$L$11:L$50,"&gt;="&amp;'Lease Analysis'!$I13,'Rent Roll'!$L$11:L$50,"&lt;="&amp;'Lease Analysis'!$J13)</f>
        <v>0</v>
      </c>
      <c r="N13" s="263" t="e">
        <f>SUMIFS('Rent Roll'!$O$11:O$50,'Rent Roll'!$L$11:L$50,"&gt;="&amp;I13,'Rent Roll'!$L$11:L$50,"&lt;="&amp;J13,'Rent Roll'!$I$11:I$50,"Occupied")/M13</f>
        <v>#DIV/0!</v>
      </c>
      <c r="O13" s="264" t="e">
        <f>SUMIFS('Rent Roll'!$O$11:O$50,'Rent Roll'!$L$11:L$50,"&gt;="&amp;I13,'Rent Roll'!$L$11:L$50,"&lt;="&amp;J13,'Rent Roll'!$I$11:I$50,"Occupied")/K13</f>
        <v>#DIV/0!</v>
      </c>
      <c r="P13" s="264" t="e">
        <f>SUMIFS('Rent Roll'!$R$11:R$50,'Rent Roll'!$L$11:L$50,"&gt;="&amp;I13,'Rent Roll'!$L$11:L$50,"&lt;="&amp;J13,'Rent Roll'!$I$11:I$50,"Occupied")/K13</f>
        <v>#DIV/0!</v>
      </c>
      <c r="Q13"/>
      <c r="W13" s="27"/>
      <c r="AG13" s="27"/>
    </row>
    <row r="14" spans="1:33" x14ac:dyDescent="0.25">
      <c r="A14" s="258" t="e">
        <f t="shared" si="0"/>
        <v>#VALUE!</v>
      </c>
      <c r="B14" s="259" t="e">
        <f t="shared" si="1"/>
        <v>#VALUE!</v>
      </c>
      <c r="C14" s="260">
        <f>COUNTIFS('Rent Roll'!$M$11:M$50,"&gt;="&amp;A14,'Rent Roll'!$M$11:M$50,"&lt;="&amp;B14)</f>
        <v>0</v>
      </c>
      <c r="D14" s="261" t="e">
        <f t="shared" si="2"/>
        <v>#DIV/0!</v>
      </c>
      <c r="E14" s="262">
        <f ca="1">SUMIFS('Rent Roll'!$J$11:T$50,'Rent Roll'!$L$11:V$50,"&gt;="&amp;'Lease Analysis'!$I14,'Rent Roll'!$L$11:V$50,"&lt;="&amp;'Lease Analysis'!$J14)</f>
        <v>0</v>
      </c>
      <c r="F14" s="263" t="e">
        <f ca="1">SUMIFS('Rent Roll'!$O$11:O$50,'Rent Roll'!$M$11:M$50,"&gt;="&amp;A14,'Rent Roll'!$M$11:M$50,"&lt;="&amp;B14,'Rent Roll'!$I$11:I$50,"Occupied")/E14</f>
        <v>#DIV/0!</v>
      </c>
      <c r="G14" s="263" t="e">
        <f>SUMIFS('Rent Roll'!$O$11:O$50,'Rent Roll'!$M$11:M$50,"&gt;="&amp;A14,'Rent Roll'!$M$11:M$50,"&lt;="&amp;B14,'Rent Roll'!$I$11:I$50,"Occupied")/C14</f>
        <v>#DIV/0!</v>
      </c>
      <c r="H14" s="264" t="e">
        <f>SUMIFS('Rent Roll'!$R$11:R$50,'Rent Roll'!$M$11:M$50,"&gt;="&amp;A14,'Rent Roll'!$M$11:M$50,"&lt;="&amp;B14,'Rent Roll'!$I$11:I$50,"Occupied")/C14</f>
        <v>#DIV/0!</v>
      </c>
      <c r="I14" s="259" t="e">
        <f t="shared" si="3"/>
        <v>#VALUE!</v>
      </c>
      <c r="J14" s="259" t="e">
        <f t="shared" si="4"/>
        <v>#VALUE!</v>
      </c>
      <c r="K14" s="260">
        <f>COUNTIFS('Rent Roll'!$L$11:L$50,"&gt;="&amp;I14,'Rent Roll'!$L$11:L$50,"&lt;="&amp;J14,'Rent Roll'!$I$11:I$50,"Occupied")</f>
        <v>0</v>
      </c>
      <c r="L14" s="261" t="e">
        <f t="shared" si="5"/>
        <v>#DIV/0!</v>
      </c>
      <c r="M14" s="260">
        <f>SUMIFS('Rent Roll'!$J$11:J$50,'Rent Roll'!$L$11:L$50,"&gt;="&amp;'Lease Analysis'!$I14,'Rent Roll'!$L$11:L$50,"&lt;="&amp;'Lease Analysis'!$J14)</f>
        <v>0</v>
      </c>
      <c r="N14" s="263" t="e">
        <f>SUMIFS('Rent Roll'!$O$11:O$50,'Rent Roll'!$L$11:L$50,"&gt;="&amp;I14,'Rent Roll'!$L$11:L$50,"&lt;="&amp;J14,'Rent Roll'!$I$11:I$50,"Occupied")/M14</f>
        <v>#DIV/0!</v>
      </c>
      <c r="O14" s="264" t="e">
        <f>SUMIFS('Rent Roll'!$O$11:O$50,'Rent Roll'!$L$11:L$50,"&gt;="&amp;I14,'Rent Roll'!$L$11:L$50,"&lt;="&amp;J14,'Rent Roll'!$I$11:I$50,"Occupied")/K14</f>
        <v>#DIV/0!</v>
      </c>
      <c r="P14" s="264" t="e">
        <f>SUMIFS('Rent Roll'!$R$11:R$50,'Rent Roll'!$L$11:L$50,"&gt;="&amp;I14,'Rent Roll'!$L$11:L$50,"&lt;="&amp;J14,'Rent Roll'!$I$11:I$50,"Occupied")/K14</f>
        <v>#DIV/0!</v>
      </c>
      <c r="Q14"/>
      <c r="W14" s="27"/>
      <c r="AG14" s="27"/>
    </row>
    <row r="15" spans="1:33" x14ac:dyDescent="0.25">
      <c r="A15" s="258" t="e">
        <f t="shared" si="0"/>
        <v>#VALUE!</v>
      </c>
      <c r="B15" s="259" t="e">
        <f t="shared" si="1"/>
        <v>#VALUE!</v>
      </c>
      <c r="C15" s="260">
        <f>COUNTIFS('Rent Roll'!$M$11:M$50,"&gt;="&amp;A15,'Rent Roll'!$M$11:M$50,"&lt;="&amp;B15)</f>
        <v>0</v>
      </c>
      <c r="D15" s="261" t="e">
        <f>C15/SUM($K$6:$K$17)</f>
        <v>#DIV/0!</v>
      </c>
      <c r="E15" s="262">
        <f ca="1">SUMIFS('Rent Roll'!$J$11:T$50,'Rent Roll'!$L$11:V$50,"&gt;="&amp;'Lease Analysis'!$I15,'Rent Roll'!$L$11:V$50,"&lt;="&amp;'Lease Analysis'!$J15)</f>
        <v>0</v>
      </c>
      <c r="F15" s="263" t="e">
        <f ca="1">SUMIFS('Rent Roll'!$O$11:O$50,'Rent Roll'!$M$11:M$50,"&gt;="&amp;A15,'Rent Roll'!$M$11:M$50,"&lt;="&amp;B15,'Rent Roll'!$I$11:I$50,"Occupied")/E15</f>
        <v>#DIV/0!</v>
      </c>
      <c r="G15" s="263" t="e">
        <f>SUMIFS('Rent Roll'!$O$11:O$50,'Rent Roll'!$M$11:M$50,"&gt;="&amp;A15,'Rent Roll'!$M$11:M$50,"&lt;="&amp;B15,'Rent Roll'!$I$11:I$50,"Occupied")/C15</f>
        <v>#DIV/0!</v>
      </c>
      <c r="H15" s="264" t="e">
        <f>SUMIFS('Rent Roll'!$R$11:R$50,'Rent Roll'!$M$11:M$50,"&gt;="&amp;A15,'Rent Roll'!$M$11:M$50,"&lt;="&amp;B15,'Rent Roll'!$I$11:I$50,"Occupied")/C15</f>
        <v>#DIV/0!</v>
      </c>
      <c r="I15" s="259" t="e">
        <f t="shared" si="3"/>
        <v>#VALUE!</v>
      </c>
      <c r="J15" s="259" t="e">
        <f t="shared" si="4"/>
        <v>#VALUE!</v>
      </c>
      <c r="K15" s="260">
        <f>COUNTIFS('Rent Roll'!$L$11:L$50,"&gt;="&amp;I15,'Rent Roll'!$L$11:L$50,"&lt;="&amp;J15,'Rent Roll'!$I$11:I$50,"Occupied")</f>
        <v>0</v>
      </c>
      <c r="L15" s="261" t="e">
        <f t="shared" si="5"/>
        <v>#DIV/0!</v>
      </c>
      <c r="M15" s="260">
        <f>SUMIFS('Rent Roll'!$J$11:J$50,'Rent Roll'!$L$11:L$50,"&gt;="&amp;'Lease Analysis'!$I15,'Rent Roll'!$L$11:L$50,"&lt;="&amp;'Lease Analysis'!$J15)</f>
        <v>0</v>
      </c>
      <c r="N15" s="263" t="e">
        <f>SUMIFS('Rent Roll'!$O$11:O$50,'Rent Roll'!$L$11:L$50,"&gt;="&amp;I15,'Rent Roll'!$L$11:L$50,"&lt;="&amp;J15,'Rent Roll'!$I$11:I$50,"Occupied")/M15</f>
        <v>#DIV/0!</v>
      </c>
      <c r="O15" s="264" t="e">
        <f>SUMIFS('Rent Roll'!$O$11:O$50,'Rent Roll'!$L$11:L$50,"&gt;="&amp;I15,'Rent Roll'!$L$11:L$50,"&lt;="&amp;J15,'Rent Roll'!$I$11:I$50,"Occupied")/K15</f>
        <v>#DIV/0!</v>
      </c>
      <c r="P15" s="264" t="e">
        <f>SUMIFS('Rent Roll'!$R$11:R$50,'Rent Roll'!$L$11:L$50,"&gt;="&amp;I15,'Rent Roll'!$L$11:L$50,"&lt;="&amp;J15,'Rent Roll'!$I$11:I$50,"Occupied")/K15</f>
        <v>#DIV/0!</v>
      </c>
      <c r="Q15"/>
      <c r="W15" s="27"/>
      <c r="AG15" s="27"/>
    </row>
    <row r="16" spans="1:33" x14ac:dyDescent="0.25">
      <c r="A16" s="258" t="e">
        <f t="shared" si="0"/>
        <v>#VALUE!</v>
      </c>
      <c r="B16" s="259" t="e">
        <f>EOMONTH(B17,1)</f>
        <v>#VALUE!</v>
      </c>
      <c r="C16" s="260">
        <f>COUNTIFS('Rent Roll'!$M$11:M$50,"&gt;="&amp;A16,'Rent Roll'!$M$11:M$50,"&lt;="&amp;B16)</f>
        <v>0</v>
      </c>
      <c r="D16" s="261" t="e">
        <f t="shared" si="2"/>
        <v>#DIV/0!</v>
      </c>
      <c r="E16" s="262">
        <f ca="1">SUMIFS('Rent Roll'!$J$11:T$50,'Rent Roll'!$L$11:V$50,"&gt;="&amp;'Lease Analysis'!$I16,'Rent Roll'!$L$11:V$50,"&lt;="&amp;'Lease Analysis'!$J16)</f>
        <v>0</v>
      </c>
      <c r="F16" s="263" t="e">
        <f ca="1">SUMIFS('Rent Roll'!$O$11:O$50,'Rent Roll'!$M$11:M$50,"&gt;="&amp;A16,'Rent Roll'!$M$11:M$50,"&lt;="&amp;B16,'Rent Roll'!$I$11:I$50,"Occupied")/E16</f>
        <v>#DIV/0!</v>
      </c>
      <c r="G16" s="263" t="e">
        <f>SUMIFS('Rent Roll'!$O$11:O$50,'Rent Roll'!$M$11:M$50,"&gt;="&amp;A16,'Rent Roll'!$M$11:M$50,"&lt;="&amp;B16,'Rent Roll'!$I$11:I$50,"Occupied")/C16</f>
        <v>#DIV/0!</v>
      </c>
      <c r="H16" s="264" t="e">
        <f>SUMIFS('Rent Roll'!$R$11:R$50,'Rent Roll'!$M$11:M$50,"&gt;="&amp;A16,'Rent Roll'!$M$11:M$50,"&lt;="&amp;B16,'Rent Roll'!$I$11:I$50,"Occupied")/C16</f>
        <v>#DIV/0!</v>
      </c>
      <c r="I16" s="259" t="e">
        <f t="shared" si="3"/>
        <v>#VALUE!</v>
      </c>
      <c r="J16" s="259" t="e">
        <f>EOMONTH(J17,-1)</f>
        <v>#VALUE!</v>
      </c>
      <c r="K16" s="260">
        <f>COUNTIFS('Rent Roll'!$L$11:L$50,"&gt;="&amp;I16,'Rent Roll'!$L$11:L$50,"&lt;="&amp;J16,'Rent Roll'!$I$11:I$50,"Occupied")</f>
        <v>0</v>
      </c>
      <c r="L16" s="261" t="e">
        <f t="shared" si="5"/>
        <v>#DIV/0!</v>
      </c>
      <c r="M16" s="260">
        <f>SUMIFS('Rent Roll'!$J$11:J$50,'Rent Roll'!$L$11:L$50,"&gt;="&amp;'Lease Analysis'!$I16,'Rent Roll'!$L$11:L$50,"&lt;="&amp;'Lease Analysis'!$J16)</f>
        <v>0</v>
      </c>
      <c r="N16" s="263" t="e">
        <f>SUMIFS('Rent Roll'!$O$11:O$50,'Rent Roll'!$L$11:L$50,"&gt;="&amp;I16,'Rent Roll'!$L$11:L$50,"&lt;="&amp;J16,'Rent Roll'!$I$11:I$50,"Occupied")/M16</f>
        <v>#DIV/0!</v>
      </c>
      <c r="O16" s="264" t="e">
        <f>SUMIFS('Rent Roll'!$O$11:O$50,'Rent Roll'!$L$11:L$50,"&gt;="&amp;I16,'Rent Roll'!$L$11:L$50,"&lt;="&amp;J16,'Rent Roll'!$I$11:I$50,"Occupied")/K16</f>
        <v>#DIV/0!</v>
      </c>
      <c r="P16" s="264" t="e">
        <f>SUMIFS('Rent Roll'!$R$11:R$50,'Rent Roll'!$L$11:L$50,"&gt;="&amp;I16,'Rent Roll'!$L$11:L$50,"&lt;="&amp;J16,'Rent Roll'!$I$11:I$50,"Occupied")/K16</f>
        <v>#DIV/0!</v>
      </c>
      <c r="Q16"/>
      <c r="W16" s="27"/>
      <c r="AG16" s="27"/>
    </row>
    <row r="17" spans="1:33" x14ac:dyDescent="0.25">
      <c r="A17" s="258" t="e">
        <f>DATE(YEAR(B17),MONTH(B17),DAY(1))</f>
        <v>#VALUE!</v>
      </c>
      <c r="B17" s="259" t="e">
        <f>DATE(RIGHT(rng_rent_roll_date,4),LEFT(rng_rent_roll_date,2),MID(rng_rent_roll_date,4,2))</f>
        <v>#VALUE!</v>
      </c>
      <c r="C17" s="260">
        <f>COUNTIFS('Rent Roll'!$M$11:M$50,"&gt;="&amp;A17,'Rent Roll'!$M$11:M$50,"&lt;="&amp;B17)</f>
        <v>0</v>
      </c>
      <c r="D17" s="261" t="e">
        <f t="shared" si="2"/>
        <v>#DIV/0!</v>
      </c>
      <c r="E17" s="262">
        <f ca="1">SUMIFS('Rent Roll'!$J$11:T$50,'Rent Roll'!$L$11:V$50,"&gt;="&amp;'Lease Analysis'!$I17,'Rent Roll'!$L$11:V$50,"&lt;="&amp;'Lease Analysis'!$J17)</f>
        <v>0</v>
      </c>
      <c r="F17" s="263" t="e">
        <f ca="1">SUMIFS('Rent Roll'!$O$11:O$50,'Rent Roll'!$M$11:M$50,"&gt;="&amp;A17,'Rent Roll'!$M$11:M$50,"&lt;="&amp;B17,'Rent Roll'!$I$11:I$50,"Occupied")/E17</f>
        <v>#DIV/0!</v>
      </c>
      <c r="G17" s="263" t="e">
        <f>SUMIFS('Rent Roll'!$O$11:O$50,'Rent Roll'!$M$11:M$50,"&gt;="&amp;A17,'Rent Roll'!$M$11:M$50,"&lt;="&amp;B17,'Rent Roll'!$I$11:I$50,"Occupied")/C17</f>
        <v>#DIV/0!</v>
      </c>
      <c r="H17" s="264" t="e">
        <f>SUMIFS('Rent Roll'!$R$11:R$50,'Rent Roll'!$M$11:M$50,"&gt;="&amp;A17,'Rent Roll'!$M$11:M$50,"&lt;="&amp;B17,'Rent Roll'!$I$11:I$50,"Occupied")/C17</f>
        <v>#DIV/0!</v>
      </c>
      <c r="I17" s="259" t="e">
        <f>DATE(YEAR(J17),MONTH(J17),DAY(1))</f>
        <v>#VALUE!</v>
      </c>
      <c r="J17" s="259" t="e">
        <f>DATE(RIGHT(rng_rent_roll_date,4),LEFT(rng_rent_roll_date,2),MID(rng_rent_roll_date,4,2))</f>
        <v>#VALUE!</v>
      </c>
      <c r="K17" s="260">
        <f>COUNTIFS('Rent Roll'!$L$11:L$50,"&gt;="&amp;I17,'Rent Roll'!$L$11:L$50,"&lt;="&amp;J17,'Rent Roll'!$I$11:I$50,"Occupied")</f>
        <v>0</v>
      </c>
      <c r="L17" s="261" t="e">
        <f t="shared" si="5"/>
        <v>#DIV/0!</v>
      </c>
      <c r="M17" s="260">
        <f>SUMIFS('Rent Roll'!$J$11:J$50,'Rent Roll'!$L$11:L$50,"&gt;="&amp;'Lease Analysis'!$I17,'Rent Roll'!$L$11:L$50,"&lt;="&amp;'Lease Analysis'!$J17)</f>
        <v>0</v>
      </c>
      <c r="N17" s="263" t="e">
        <f>SUMIFS('Rent Roll'!$O$11:O$50,'Rent Roll'!$L$11:L$50,"&gt;="&amp;I17,'Rent Roll'!$L$11:L$50,"&lt;="&amp;J17,'Rent Roll'!$I$11:I$50,"Occupied")/M17</f>
        <v>#DIV/0!</v>
      </c>
      <c r="O17" s="264" t="e">
        <f>SUMIFS('Rent Roll'!$O$11:O$50,'Rent Roll'!$L$11:L$50,"&gt;="&amp;I17,'Rent Roll'!$L$11:L$50,"&lt;="&amp;J17,'Rent Roll'!$I$11:I$50,"Occupied")/K17</f>
        <v>#DIV/0!</v>
      </c>
      <c r="P17" s="264" t="e">
        <f>SUMIFS('Rent Roll'!$R$11:R$50,'Rent Roll'!$L$11:L$50,"&gt;="&amp;I17,'Rent Roll'!$L$11:L$50,"&lt;="&amp;J17,'Rent Roll'!$I$11:I$50,"Occupied")/K17</f>
        <v>#DIV/0!</v>
      </c>
      <c r="Q17"/>
      <c r="W17" s="27"/>
      <c r="AG17" s="27"/>
    </row>
    <row r="18" spans="1:33" x14ac:dyDescent="0.25">
      <c r="A18" s="265"/>
      <c r="B18" s="266"/>
      <c r="C18" s="266"/>
      <c r="D18" s="266"/>
      <c r="E18" s="266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/>
      <c r="W18" s="27"/>
      <c r="AG18" s="27"/>
    </row>
    <row r="19" spans="1:33" x14ac:dyDescent="0.2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W19" s="27"/>
      <c r="AG19" s="27"/>
    </row>
    <row r="20" spans="1:33" x14ac:dyDescent="0.2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33" x14ac:dyDescent="0.2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33" x14ac:dyDescent="0.2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33" x14ac:dyDescent="0.2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33" x14ac:dyDescent="0.2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33" x14ac:dyDescent="0.2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33" x14ac:dyDescent="0.2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33" x14ac:dyDescent="0.2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33" x14ac:dyDescent="0.2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33" x14ac:dyDescent="0.2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33" x14ac:dyDescent="0.2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33" x14ac:dyDescent="0.2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33" x14ac:dyDescent="0.2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2:29" x14ac:dyDescent="0.2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2:29" x14ac:dyDescent="0.2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2:29" s="152" customFormat="1" hidden="1" x14ac:dyDescent="0.25"/>
    <row r="36" spans="2:29" s="152" customFormat="1" hidden="1" x14ac:dyDescent="0.25">
      <c r="Q36" s="153"/>
    </row>
    <row r="37" spans="2:29" s="152" customFormat="1" hidden="1" x14ac:dyDescent="0.25">
      <c r="Q37" s="153"/>
    </row>
    <row r="38" spans="2:29" s="152" customFormat="1" hidden="1" x14ac:dyDescent="0.25">
      <c r="Q38" s="153"/>
    </row>
    <row r="39" spans="2:29" s="152" customFormat="1" hidden="1" x14ac:dyDescent="0.25">
      <c r="Q39" s="153"/>
    </row>
    <row r="40" spans="2:29" s="152" customFormat="1" hidden="1" x14ac:dyDescent="0.25">
      <c r="Q40" s="153"/>
    </row>
    <row r="41" spans="2:29" s="152" customFormat="1" hidden="1" x14ac:dyDescent="0.25">
      <c r="Q41" s="153"/>
    </row>
    <row r="42" spans="2:29" s="152" customFormat="1" hidden="1" x14ac:dyDescent="0.25">
      <c r="Q42" s="153"/>
    </row>
    <row r="43" spans="2:29" s="152" customFormat="1" hidden="1" x14ac:dyDescent="0.25">
      <c r="Q43" s="153"/>
    </row>
    <row r="44" spans="2:29" s="152" customFormat="1" hidden="1" x14ac:dyDescent="0.25">
      <c r="Q44" s="153"/>
    </row>
    <row r="45" spans="2:29" s="152" customFormat="1" hidden="1" x14ac:dyDescent="0.25">
      <c r="Q45" s="153"/>
      <c r="W45" s="154"/>
      <c r="Z45" s="154"/>
      <c r="AC45" s="154"/>
    </row>
    <row r="46" spans="2:29" s="152" customFormat="1" hidden="1" x14ac:dyDescent="0.25">
      <c r="Q46" s="153"/>
    </row>
    <row r="47" spans="2:29" s="152" customFormat="1" hidden="1" x14ac:dyDescent="0.25">
      <c r="Q47" s="153"/>
    </row>
    <row r="48" spans="2:29" s="152" customFormat="1" hidden="1" x14ac:dyDescent="0.25">
      <c r="Q48" s="153"/>
    </row>
    <row r="49" spans="2:17" s="152" customFormat="1" hidden="1" x14ac:dyDescent="0.25">
      <c r="B49" s="150"/>
      <c r="C49" s="150"/>
      <c r="D49" s="150"/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3"/>
    </row>
    <row r="50" spans="2:17" s="152" customFormat="1" hidden="1" x14ac:dyDescent="0.25">
      <c r="B50" s="150"/>
      <c r="C50" s="373"/>
      <c r="D50" s="373"/>
      <c r="E50" s="373"/>
      <c r="F50" s="373"/>
      <c r="G50" s="373"/>
      <c r="H50" s="373"/>
      <c r="I50" s="373"/>
      <c r="J50" s="373"/>
      <c r="K50" s="373"/>
      <c r="L50" s="150"/>
      <c r="M50" s="150"/>
      <c r="N50" s="150"/>
      <c r="O50" s="150"/>
      <c r="P50" s="150"/>
      <c r="Q50" s="153"/>
    </row>
    <row r="51" spans="2:17" s="152" customFormat="1" hidden="1" x14ac:dyDescent="0.25">
      <c r="B51" s="150"/>
      <c r="C51" s="150"/>
      <c r="D51" s="150"/>
      <c r="E51" s="150"/>
      <c r="F51" s="150"/>
      <c r="G51" s="150"/>
      <c r="H51" s="150"/>
      <c r="I51" s="150"/>
      <c r="J51" s="150"/>
      <c r="K51" s="150"/>
      <c r="L51" s="150"/>
      <c r="M51" s="150"/>
      <c r="N51" s="150"/>
      <c r="O51" s="150"/>
      <c r="P51" s="150"/>
      <c r="Q51" s="153"/>
    </row>
    <row r="52" spans="2:17" s="152" customFormat="1" hidden="1" x14ac:dyDescent="0.25">
      <c r="B52" s="150"/>
      <c r="C52" s="151"/>
      <c r="D52" s="150"/>
      <c r="E52" s="150"/>
      <c r="F52" s="151"/>
      <c r="G52" s="150"/>
      <c r="H52" s="150"/>
      <c r="I52" s="151"/>
      <c r="J52" s="150"/>
      <c r="K52" s="150"/>
      <c r="L52" s="150"/>
      <c r="M52" s="150"/>
      <c r="N52" s="150"/>
      <c r="O52" s="150"/>
      <c r="P52" s="150"/>
      <c r="Q52" s="153"/>
    </row>
    <row r="53" spans="2:17" s="152" customFormat="1" hidden="1" x14ac:dyDescent="0.25">
      <c r="B53" s="150"/>
      <c r="C53" s="151"/>
      <c r="D53" s="150"/>
      <c r="E53" s="150"/>
      <c r="F53" s="151"/>
      <c r="G53" s="150"/>
      <c r="H53" s="150"/>
      <c r="I53" s="151"/>
      <c r="J53" s="150"/>
      <c r="K53" s="150"/>
      <c r="L53" s="150"/>
      <c r="M53" s="150"/>
      <c r="N53" s="150"/>
      <c r="O53" s="150"/>
      <c r="P53" s="150"/>
      <c r="Q53" s="153"/>
    </row>
    <row r="54" spans="2:17" s="152" customFormat="1" hidden="1" x14ac:dyDescent="0.25">
      <c r="B54" s="150"/>
      <c r="C54" s="151"/>
      <c r="D54" s="150"/>
      <c r="E54" s="150"/>
      <c r="F54" s="151"/>
      <c r="G54" s="150"/>
      <c r="H54" s="150"/>
      <c r="I54" s="151"/>
      <c r="J54" s="150"/>
      <c r="K54" s="150"/>
      <c r="L54" s="150"/>
      <c r="M54" s="150"/>
      <c r="N54" s="150"/>
      <c r="O54" s="150"/>
      <c r="P54" s="150"/>
      <c r="Q54" s="153"/>
    </row>
    <row r="55" spans="2:17" s="152" customFormat="1" hidden="1" x14ac:dyDescent="0.25">
      <c r="B55" s="150"/>
      <c r="C55" s="151"/>
      <c r="D55" s="150"/>
      <c r="E55" s="150"/>
      <c r="F55" s="151"/>
      <c r="G55" s="150"/>
      <c r="H55" s="150"/>
      <c r="I55" s="151"/>
      <c r="J55" s="150"/>
      <c r="K55" s="150"/>
      <c r="L55" s="150"/>
      <c r="M55" s="150"/>
      <c r="N55" s="150"/>
      <c r="O55" s="150"/>
      <c r="P55" s="150"/>
      <c r="Q55" s="153"/>
    </row>
    <row r="56" spans="2:17" s="152" customFormat="1" hidden="1" x14ac:dyDescent="0.25">
      <c r="B56" s="150"/>
      <c r="C56" s="151"/>
      <c r="D56" s="150"/>
      <c r="E56" s="150"/>
      <c r="F56" s="151"/>
      <c r="G56" s="150"/>
      <c r="H56" s="150"/>
      <c r="I56" s="151"/>
      <c r="J56" s="150"/>
      <c r="K56" s="150"/>
      <c r="L56" s="150"/>
      <c r="M56" s="150"/>
      <c r="N56" s="150"/>
      <c r="O56" s="150"/>
      <c r="P56" s="150"/>
      <c r="Q56" s="153"/>
    </row>
    <row r="57" spans="2:17" s="152" customFormat="1" hidden="1" x14ac:dyDescent="0.25">
      <c r="B57" s="150"/>
      <c r="C57" s="151"/>
      <c r="D57" s="150"/>
      <c r="E57" s="150"/>
      <c r="F57" s="151"/>
      <c r="G57" s="150"/>
      <c r="H57" s="150"/>
      <c r="I57" s="151"/>
      <c r="J57" s="150"/>
      <c r="K57" s="150"/>
      <c r="L57" s="150"/>
      <c r="M57" s="150"/>
      <c r="N57" s="150"/>
      <c r="O57" s="150"/>
      <c r="P57" s="150"/>
      <c r="Q57" s="153"/>
    </row>
    <row r="58" spans="2:17" s="152" customFormat="1" hidden="1" x14ac:dyDescent="0.25">
      <c r="B58" s="150"/>
      <c r="C58" s="151"/>
      <c r="D58" s="150"/>
      <c r="E58" s="150"/>
      <c r="F58" s="151"/>
      <c r="G58" s="150"/>
      <c r="H58" s="150"/>
      <c r="I58" s="151"/>
      <c r="J58" s="150"/>
      <c r="K58" s="150"/>
      <c r="L58" s="150"/>
      <c r="M58" s="150"/>
      <c r="N58" s="150"/>
      <c r="O58" s="150"/>
      <c r="P58" s="150"/>
      <c r="Q58" s="153"/>
    </row>
    <row r="59" spans="2:17" s="152" customFormat="1" hidden="1" x14ac:dyDescent="0.25">
      <c r="B59" s="150"/>
      <c r="C59" s="151"/>
      <c r="D59" s="150"/>
      <c r="E59" s="150"/>
      <c r="F59" s="151"/>
      <c r="G59" s="150"/>
      <c r="H59" s="150"/>
      <c r="I59" s="151"/>
      <c r="J59" s="150"/>
      <c r="K59" s="150"/>
      <c r="L59" s="150"/>
      <c r="M59" s="150"/>
      <c r="N59" s="150"/>
      <c r="O59" s="150"/>
      <c r="P59" s="150"/>
      <c r="Q59" s="153"/>
    </row>
    <row r="60" spans="2:17" s="152" customFormat="1" hidden="1" x14ac:dyDescent="0.25">
      <c r="B60" s="150"/>
      <c r="C60" s="151"/>
      <c r="D60" s="150"/>
      <c r="E60" s="150"/>
      <c r="F60" s="151"/>
      <c r="G60" s="150"/>
      <c r="H60" s="150"/>
      <c r="I60" s="151"/>
      <c r="J60" s="150"/>
      <c r="K60" s="150"/>
      <c r="L60" s="150"/>
      <c r="M60" s="150"/>
      <c r="N60" s="150"/>
      <c r="O60" s="150"/>
      <c r="P60" s="150"/>
      <c r="Q60" s="153"/>
    </row>
    <row r="61" spans="2:17" s="152" customFormat="1" hidden="1" x14ac:dyDescent="0.25">
      <c r="B61" s="150"/>
      <c r="C61" s="151"/>
      <c r="D61" s="150"/>
      <c r="E61" s="150"/>
      <c r="F61" s="151"/>
      <c r="G61" s="150"/>
      <c r="H61" s="150"/>
      <c r="I61" s="151"/>
      <c r="J61" s="150"/>
      <c r="K61" s="150"/>
      <c r="L61" s="150"/>
      <c r="M61" s="150"/>
      <c r="N61" s="150"/>
      <c r="O61" s="150"/>
      <c r="P61" s="150"/>
      <c r="Q61" s="153"/>
    </row>
    <row r="62" spans="2:17" s="152" customFormat="1" hidden="1" x14ac:dyDescent="0.25">
      <c r="B62" s="150"/>
      <c r="C62" s="151"/>
      <c r="D62" s="150"/>
      <c r="E62" s="150"/>
      <c r="F62" s="151"/>
      <c r="G62" s="150"/>
      <c r="H62" s="150"/>
      <c r="I62" s="151"/>
      <c r="J62" s="150"/>
      <c r="K62" s="150"/>
      <c r="L62" s="150"/>
      <c r="M62" s="150"/>
      <c r="N62" s="150"/>
      <c r="O62" s="150"/>
      <c r="P62" s="150"/>
      <c r="Q62" s="153"/>
    </row>
    <row r="63" spans="2:17" s="152" customFormat="1" hidden="1" x14ac:dyDescent="0.25">
      <c r="B63" s="150"/>
      <c r="C63" s="151"/>
      <c r="D63" s="150"/>
      <c r="E63" s="150"/>
      <c r="F63" s="151"/>
      <c r="G63" s="150"/>
      <c r="H63" s="150"/>
      <c r="I63" s="151"/>
      <c r="J63" s="150"/>
      <c r="K63" s="150"/>
      <c r="L63" s="150"/>
      <c r="M63" s="150"/>
      <c r="N63" s="150"/>
      <c r="O63" s="150"/>
      <c r="P63" s="150"/>
      <c r="Q63" s="153"/>
    </row>
    <row r="64" spans="2:17" s="152" customFormat="1" hidden="1" x14ac:dyDescent="0.25">
      <c r="B64" s="150"/>
      <c r="C64" s="151"/>
      <c r="D64" s="150"/>
      <c r="E64" s="150"/>
      <c r="F64" s="151"/>
      <c r="G64" s="150"/>
      <c r="H64" s="150"/>
      <c r="I64" s="151"/>
      <c r="J64" s="150"/>
      <c r="K64" s="150"/>
      <c r="L64" s="150"/>
      <c r="M64" s="150"/>
      <c r="N64" s="150"/>
      <c r="O64" s="150"/>
      <c r="P64" s="150"/>
      <c r="Q64" s="153"/>
    </row>
  </sheetData>
  <sheetProtection formatCells="0" formatColumns="0" formatRows="0" insertColumns="0" insertRows="0" insertHyperlinks="0" deleteColumns="0" deleteRows="0" sort="0" autoFilter="0" pivotTables="0"/>
  <mergeCells count="3">
    <mergeCell ref="C50:E50"/>
    <mergeCell ref="F50:H50"/>
    <mergeCell ref="I50:K50"/>
  </mergeCells>
  <pageMargins left="0.7" right="0.7" top="0.75" bottom="0.75" header="0.3" footer="0.3"/>
  <pageSetup orientation="portrait" r:id="rId1"/>
  <ignoredErrors>
    <ignoredError sqref="D6:P14 D17:J17 K17:P17 D15:P16 A6:B17" evalError="1"/>
  </ignoredError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>
    <tabColor theme="2" tint="-0.499984740745262"/>
  </sheetPr>
  <dimension ref="B2:AH58"/>
  <sheetViews>
    <sheetView zoomScaleNormal="100" workbookViewId="0"/>
  </sheetViews>
  <sheetFormatPr defaultRowHeight="11.45" customHeight="1" x14ac:dyDescent="0.25"/>
  <cols>
    <col min="4" max="4" width="16.7109375" bestFit="1" customWidth="1"/>
    <col min="6" max="6" width="24.85546875" bestFit="1" customWidth="1"/>
    <col min="7" max="7" width="13.7109375" bestFit="1" customWidth="1"/>
    <col min="8" max="8" width="9" bestFit="1" customWidth="1"/>
    <col min="20" max="20" width="13.85546875" bestFit="1" customWidth="1"/>
    <col min="21" max="21" width="29.5703125" bestFit="1" customWidth="1"/>
    <col min="32" max="32" width="15.140625" bestFit="1" customWidth="1"/>
    <col min="33" max="33" width="32.28515625" bestFit="1" customWidth="1"/>
    <col min="34" max="34" width="33" bestFit="1" customWidth="1"/>
  </cols>
  <sheetData>
    <row r="2" spans="2:34" ht="11.45" customHeight="1" x14ac:dyDescent="0.25">
      <c r="Y2" s="23" t="s">
        <v>416</v>
      </c>
      <c r="Z2" s="23" t="s">
        <v>417</v>
      </c>
      <c r="AC2" t="s">
        <v>307</v>
      </c>
      <c r="AD2" t="s">
        <v>312</v>
      </c>
      <c r="AF2" t="s">
        <v>11</v>
      </c>
      <c r="AG2" t="s">
        <v>12</v>
      </c>
      <c r="AH2" t="s">
        <v>383</v>
      </c>
    </row>
    <row r="3" spans="2:34" ht="13.9" customHeight="1" x14ac:dyDescent="0.25">
      <c r="T3" t="s">
        <v>148</v>
      </c>
      <c r="U3" t="s">
        <v>61</v>
      </c>
      <c r="W3" t="s">
        <v>148</v>
      </c>
      <c r="Y3">
        <v>1</v>
      </c>
      <c r="Z3">
        <v>1</v>
      </c>
      <c r="AC3" t="s">
        <v>308</v>
      </c>
      <c r="AD3" t="s">
        <v>313</v>
      </c>
      <c r="AF3" t="s">
        <v>148</v>
      </c>
      <c r="AG3" t="s">
        <v>61</v>
      </c>
      <c r="AH3" t="s">
        <v>202</v>
      </c>
    </row>
    <row r="4" spans="2:34" ht="13.9" customHeight="1" x14ac:dyDescent="0.25">
      <c r="B4" s="21" t="s">
        <v>232</v>
      </c>
      <c r="C4" s="22"/>
      <c r="D4" s="21" t="s">
        <v>190</v>
      </c>
      <c r="E4" s="21" t="s">
        <v>127</v>
      </c>
      <c r="G4" s="23" t="s">
        <v>129</v>
      </c>
      <c r="I4" s="23" t="s">
        <v>208</v>
      </c>
      <c r="J4" s="23"/>
      <c r="K4" s="21" t="s">
        <v>212</v>
      </c>
      <c r="L4" s="21"/>
      <c r="M4" s="21" t="s">
        <v>213</v>
      </c>
      <c r="N4" s="23"/>
      <c r="O4" s="23" t="s">
        <v>211</v>
      </c>
      <c r="Q4" s="21" t="s">
        <v>191</v>
      </c>
      <c r="T4" t="s">
        <v>148</v>
      </c>
      <c r="U4" t="s">
        <v>62</v>
      </c>
      <c r="W4" t="s">
        <v>149</v>
      </c>
      <c r="Y4">
        <v>2</v>
      </c>
      <c r="Z4">
        <v>2</v>
      </c>
      <c r="AC4" t="s">
        <v>309</v>
      </c>
      <c r="AD4" t="s">
        <v>314</v>
      </c>
      <c r="AF4" t="s">
        <v>148</v>
      </c>
      <c r="AG4" t="s">
        <v>61</v>
      </c>
      <c r="AH4" t="s">
        <v>343</v>
      </c>
    </row>
    <row r="5" spans="2:34" ht="13.9" customHeight="1" x14ac:dyDescent="0.25">
      <c r="B5" s="22" t="s">
        <v>233</v>
      </c>
      <c r="C5" s="22"/>
      <c r="D5" s="22" t="s">
        <v>189</v>
      </c>
      <c r="E5" s="22" t="s">
        <v>234</v>
      </c>
      <c r="G5" t="s">
        <v>128</v>
      </c>
      <c r="I5" t="s">
        <v>167</v>
      </c>
      <c r="J5" s="23"/>
      <c r="K5" s="22" t="s">
        <v>214</v>
      </c>
      <c r="L5" s="22"/>
      <c r="M5" s="22" t="s">
        <v>130</v>
      </c>
      <c r="O5" t="s">
        <v>139</v>
      </c>
      <c r="Q5" s="22" t="s">
        <v>187</v>
      </c>
      <c r="T5" t="s">
        <v>148</v>
      </c>
      <c r="U5" t="s">
        <v>174</v>
      </c>
      <c r="W5" t="s">
        <v>85</v>
      </c>
      <c r="Y5">
        <v>3</v>
      </c>
      <c r="Z5">
        <v>3</v>
      </c>
      <c r="AC5" t="s">
        <v>310</v>
      </c>
      <c r="AD5" t="s">
        <v>310</v>
      </c>
      <c r="AF5" t="s">
        <v>148</v>
      </c>
      <c r="AG5" t="s">
        <v>61</v>
      </c>
      <c r="AH5" t="s">
        <v>344</v>
      </c>
    </row>
    <row r="6" spans="2:34" ht="13.9" customHeight="1" x14ac:dyDescent="0.25">
      <c r="B6" s="22" t="s">
        <v>235</v>
      </c>
      <c r="C6" s="22"/>
      <c r="D6" s="22" t="s">
        <v>236</v>
      </c>
      <c r="E6" s="22" t="s">
        <v>126</v>
      </c>
      <c r="G6" t="s">
        <v>244</v>
      </c>
      <c r="I6" t="s">
        <v>168</v>
      </c>
      <c r="K6" s="22" t="s">
        <v>215</v>
      </c>
      <c r="L6" s="22"/>
      <c r="M6" s="22" t="s">
        <v>216</v>
      </c>
      <c r="O6" t="s">
        <v>231</v>
      </c>
      <c r="Q6" s="22" t="s">
        <v>185</v>
      </c>
      <c r="T6" t="s">
        <v>148</v>
      </c>
      <c r="U6" t="s">
        <v>64</v>
      </c>
      <c r="Y6">
        <v>4</v>
      </c>
      <c r="Z6">
        <v>4</v>
      </c>
      <c r="AC6" t="s">
        <v>14</v>
      </c>
      <c r="AD6" t="s">
        <v>14</v>
      </c>
      <c r="AF6" t="s">
        <v>148</v>
      </c>
      <c r="AG6" t="s">
        <v>61</v>
      </c>
      <c r="AH6" t="s">
        <v>345</v>
      </c>
    </row>
    <row r="7" spans="2:34" ht="13.9" customHeight="1" x14ac:dyDescent="0.25">
      <c r="B7" s="22" t="s">
        <v>237</v>
      </c>
      <c r="C7" s="22"/>
      <c r="D7" s="22" t="s">
        <v>238</v>
      </c>
      <c r="E7" s="22" t="s">
        <v>239</v>
      </c>
      <c r="G7" t="s">
        <v>245</v>
      </c>
      <c r="I7" t="s">
        <v>341</v>
      </c>
      <c r="K7" s="22"/>
      <c r="L7" s="22"/>
      <c r="M7" s="22" t="s">
        <v>217</v>
      </c>
      <c r="Q7" s="22"/>
      <c r="T7" t="s">
        <v>148</v>
      </c>
      <c r="U7" t="s">
        <v>323</v>
      </c>
      <c r="Y7">
        <v>5</v>
      </c>
      <c r="Z7">
        <v>5</v>
      </c>
      <c r="AC7" t="s">
        <v>311</v>
      </c>
      <c r="AD7" t="s">
        <v>311</v>
      </c>
      <c r="AF7" t="s">
        <v>148</v>
      </c>
      <c r="AG7" t="s">
        <v>62</v>
      </c>
      <c r="AH7" t="s">
        <v>346</v>
      </c>
    </row>
    <row r="8" spans="2:34" ht="13.9" customHeight="1" x14ac:dyDescent="0.25">
      <c r="B8" s="22" t="s">
        <v>17</v>
      </c>
      <c r="C8" s="22"/>
      <c r="D8" s="22" t="s">
        <v>240</v>
      </c>
      <c r="E8" s="22"/>
      <c r="G8" t="s">
        <v>246</v>
      </c>
      <c r="I8" t="s">
        <v>171</v>
      </c>
      <c r="K8" s="22"/>
      <c r="L8" s="22"/>
      <c r="M8" s="22"/>
      <c r="Q8" s="21" t="s">
        <v>241</v>
      </c>
      <c r="T8" t="s">
        <v>148</v>
      </c>
      <c r="U8" t="s">
        <v>66</v>
      </c>
      <c r="Y8">
        <v>6</v>
      </c>
      <c r="Z8">
        <v>6</v>
      </c>
      <c r="AC8" t="s">
        <v>12</v>
      </c>
      <c r="AD8" t="s">
        <v>12</v>
      </c>
      <c r="AF8" t="s">
        <v>148</v>
      </c>
      <c r="AG8" t="s">
        <v>62</v>
      </c>
      <c r="AH8" t="s">
        <v>347</v>
      </c>
    </row>
    <row r="9" spans="2:34" ht="13.9" customHeight="1" x14ac:dyDescent="0.25">
      <c r="B9" s="22" t="s">
        <v>18</v>
      </c>
      <c r="C9" s="22"/>
      <c r="D9" s="22"/>
      <c r="E9" s="22"/>
      <c r="I9" t="s">
        <v>338</v>
      </c>
      <c r="K9" s="22"/>
      <c r="L9" s="22"/>
      <c r="M9" s="22"/>
      <c r="Q9" s="22" t="s">
        <v>188</v>
      </c>
      <c r="T9" t="s">
        <v>148</v>
      </c>
      <c r="U9" t="s">
        <v>67</v>
      </c>
      <c r="Y9" t="s">
        <v>418</v>
      </c>
      <c r="Z9" t="s">
        <v>419</v>
      </c>
      <c r="AC9" t="s">
        <v>166</v>
      </c>
      <c r="AD9" t="s">
        <v>166</v>
      </c>
      <c r="AF9" t="s">
        <v>148</v>
      </c>
      <c r="AG9" t="s">
        <v>174</v>
      </c>
      <c r="AH9" t="s">
        <v>165</v>
      </c>
    </row>
    <row r="10" spans="2:34" ht="13.9" customHeight="1" x14ac:dyDescent="0.25">
      <c r="B10" s="22" t="s">
        <v>19</v>
      </c>
      <c r="C10" s="22"/>
      <c r="D10" s="22"/>
      <c r="E10" s="22"/>
      <c r="I10" t="s">
        <v>173</v>
      </c>
      <c r="K10" s="21" t="s">
        <v>218</v>
      </c>
      <c r="L10" s="22"/>
      <c r="M10" s="21" t="s">
        <v>219</v>
      </c>
      <c r="Q10" s="22" t="s">
        <v>242</v>
      </c>
      <c r="T10" t="s">
        <v>148</v>
      </c>
      <c r="U10" t="s">
        <v>299</v>
      </c>
      <c r="AF10" t="s">
        <v>148</v>
      </c>
      <c r="AG10" t="s">
        <v>64</v>
      </c>
      <c r="AH10" t="s">
        <v>64</v>
      </c>
    </row>
    <row r="11" spans="2:34" ht="13.9" customHeight="1" x14ac:dyDescent="0.25">
      <c r="B11" s="22"/>
      <c r="C11" s="22"/>
      <c r="D11" s="22"/>
      <c r="K11" s="22" t="s">
        <v>220</v>
      </c>
      <c r="L11" s="22"/>
      <c r="M11" s="22" t="s">
        <v>221</v>
      </c>
      <c r="Q11" s="22" t="s">
        <v>243</v>
      </c>
      <c r="T11" t="s">
        <v>149</v>
      </c>
      <c r="U11" t="s">
        <v>69</v>
      </c>
      <c r="AF11" t="s">
        <v>148</v>
      </c>
      <c r="AG11" t="s">
        <v>323</v>
      </c>
      <c r="AH11" t="s">
        <v>323</v>
      </c>
    </row>
    <row r="12" spans="2:34" ht="13.9" customHeight="1" x14ac:dyDescent="0.25">
      <c r="B12" s="22"/>
      <c r="C12" s="22"/>
      <c r="D12" s="22"/>
      <c r="K12" s="22" t="s">
        <v>222</v>
      </c>
      <c r="L12" s="22"/>
      <c r="M12" s="22" t="s">
        <v>223</v>
      </c>
      <c r="T12" t="s">
        <v>149</v>
      </c>
      <c r="U12" t="s">
        <v>70</v>
      </c>
      <c r="AF12" t="s">
        <v>148</v>
      </c>
      <c r="AG12" t="s">
        <v>66</v>
      </c>
      <c r="AH12" t="s">
        <v>66</v>
      </c>
    </row>
    <row r="13" spans="2:34" ht="13.9" customHeight="1" x14ac:dyDescent="0.25">
      <c r="B13" s="21" t="s">
        <v>191</v>
      </c>
      <c r="C13" s="22"/>
      <c r="D13" s="22"/>
      <c r="K13" s="22" t="s">
        <v>224</v>
      </c>
      <c r="L13" s="22"/>
      <c r="M13" s="22" t="s">
        <v>225</v>
      </c>
      <c r="T13" t="s">
        <v>149</v>
      </c>
      <c r="U13" t="s">
        <v>71</v>
      </c>
      <c r="AF13" t="s">
        <v>148</v>
      </c>
      <c r="AG13" t="s">
        <v>67</v>
      </c>
      <c r="AH13" t="s">
        <v>348</v>
      </c>
    </row>
    <row r="14" spans="2:34" ht="13.9" customHeight="1" x14ac:dyDescent="0.25">
      <c r="B14" s="22" t="s">
        <v>187</v>
      </c>
      <c r="C14" s="22"/>
      <c r="D14" s="22"/>
      <c r="K14" s="22" t="s">
        <v>226</v>
      </c>
      <c r="L14" s="22"/>
      <c r="M14" s="22" t="s">
        <v>227</v>
      </c>
      <c r="T14" t="s">
        <v>149</v>
      </c>
      <c r="U14" t="s">
        <v>44</v>
      </c>
      <c r="AF14" t="s">
        <v>148</v>
      </c>
      <c r="AG14" t="s">
        <v>67</v>
      </c>
      <c r="AH14" t="s">
        <v>349</v>
      </c>
    </row>
    <row r="15" spans="2:34" ht="13.9" customHeight="1" x14ac:dyDescent="0.25">
      <c r="B15" s="22" t="s">
        <v>185</v>
      </c>
      <c r="C15" s="22"/>
      <c r="D15" s="22"/>
      <c r="K15" s="22"/>
      <c r="L15" s="22"/>
      <c r="M15" s="22" t="s">
        <v>228</v>
      </c>
      <c r="T15" t="s">
        <v>149</v>
      </c>
      <c r="U15" t="s">
        <v>336</v>
      </c>
      <c r="AF15" t="s">
        <v>148</v>
      </c>
      <c r="AG15" t="s">
        <v>67</v>
      </c>
      <c r="AH15" t="s">
        <v>350</v>
      </c>
    </row>
    <row r="16" spans="2:34" ht="13.9" customHeight="1" x14ac:dyDescent="0.25">
      <c r="B16" s="22"/>
      <c r="C16" s="22"/>
      <c r="D16" s="22"/>
      <c r="K16" s="22"/>
      <c r="L16" s="22"/>
      <c r="M16" s="22" t="s">
        <v>229</v>
      </c>
      <c r="T16" t="s">
        <v>149</v>
      </c>
      <c r="U16" t="s">
        <v>337</v>
      </c>
      <c r="AF16" t="s">
        <v>148</v>
      </c>
      <c r="AG16" t="s">
        <v>67</v>
      </c>
      <c r="AH16" t="s">
        <v>351</v>
      </c>
    </row>
    <row r="17" spans="2:34" ht="13.9" customHeight="1" x14ac:dyDescent="0.25">
      <c r="B17" s="21" t="s">
        <v>241</v>
      </c>
      <c r="C17" s="22"/>
      <c r="D17" s="22"/>
      <c r="G17" t="s">
        <v>322</v>
      </c>
      <c r="H17" t="s">
        <v>31</v>
      </c>
      <c r="K17" s="22"/>
      <c r="L17" s="22"/>
      <c r="M17" s="22" t="s">
        <v>230</v>
      </c>
      <c r="T17" t="s">
        <v>149</v>
      </c>
      <c r="U17" t="s">
        <v>75</v>
      </c>
      <c r="AF17" t="s">
        <v>148</v>
      </c>
      <c r="AG17" t="s">
        <v>67</v>
      </c>
      <c r="AH17" t="s">
        <v>352</v>
      </c>
    </row>
    <row r="18" spans="2:34" ht="13.9" customHeight="1" x14ac:dyDescent="0.25">
      <c r="B18" s="22" t="s">
        <v>188</v>
      </c>
      <c r="C18" s="22"/>
      <c r="D18" s="22"/>
      <c r="G18" t="s">
        <v>315</v>
      </c>
      <c r="H18" t="s">
        <v>173</v>
      </c>
      <c r="T18" t="s">
        <v>149</v>
      </c>
      <c r="U18" t="s">
        <v>324</v>
      </c>
      <c r="AF18" t="s">
        <v>148</v>
      </c>
      <c r="AG18" t="s">
        <v>299</v>
      </c>
      <c r="AH18" t="s">
        <v>299</v>
      </c>
    </row>
    <row r="19" spans="2:34" ht="13.9" customHeight="1" x14ac:dyDescent="0.25">
      <c r="B19" s="22" t="s">
        <v>242</v>
      </c>
      <c r="G19" t="s">
        <v>173</v>
      </c>
      <c r="H19" t="s">
        <v>173</v>
      </c>
      <c r="T19" t="s">
        <v>149</v>
      </c>
      <c r="U19" t="s">
        <v>325</v>
      </c>
      <c r="AF19" t="s">
        <v>149</v>
      </c>
      <c r="AG19" t="s">
        <v>69</v>
      </c>
      <c r="AH19" t="s">
        <v>353</v>
      </c>
    </row>
    <row r="20" spans="2:34" ht="13.9" customHeight="1" x14ac:dyDescent="0.25">
      <c r="B20" s="22" t="s">
        <v>243</v>
      </c>
      <c r="G20" t="s">
        <v>316</v>
      </c>
      <c r="H20" t="s">
        <v>171</v>
      </c>
      <c r="T20" t="s">
        <v>149</v>
      </c>
      <c r="U20" t="s">
        <v>335</v>
      </c>
      <c r="AF20" t="s">
        <v>149</v>
      </c>
      <c r="AG20" t="s">
        <v>69</v>
      </c>
      <c r="AH20" t="s">
        <v>354</v>
      </c>
    </row>
    <row r="21" spans="2:34" ht="13.9" customHeight="1" x14ac:dyDescent="0.4">
      <c r="F21" s="194"/>
      <c r="G21" t="s">
        <v>317</v>
      </c>
      <c r="H21" t="s">
        <v>171</v>
      </c>
      <c r="J21" s="194"/>
      <c r="K21" s="194"/>
      <c r="L21" s="194"/>
      <c r="M21" s="194"/>
      <c r="N21" s="194"/>
      <c r="O21" s="194"/>
      <c r="P21" s="194"/>
      <c r="Q21" s="194"/>
      <c r="T21" t="s">
        <v>149</v>
      </c>
      <c r="U21" t="s">
        <v>81</v>
      </c>
      <c r="AF21" t="s">
        <v>149</v>
      </c>
      <c r="AG21" t="s">
        <v>69</v>
      </c>
      <c r="AH21" t="s">
        <v>355</v>
      </c>
    </row>
    <row r="22" spans="2:34" ht="13.9" customHeight="1" x14ac:dyDescent="0.4">
      <c r="F22" s="194"/>
      <c r="G22" t="s">
        <v>171</v>
      </c>
      <c r="H22" t="s">
        <v>171</v>
      </c>
      <c r="I22" s="194"/>
      <c r="J22" s="194"/>
      <c r="K22" s="194"/>
      <c r="L22" s="194"/>
      <c r="M22" s="194"/>
      <c r="N22" s="194"/>
      <c r="O22" s="194"/>
      <c r="P22" s="194"/>
      <c r="Q22" s="194"/>
      <c r="T22" t="s">
        <v>149</v>
      </c>
      <c r="U22" t="s">
        <v>300</v>
      </c>
      <c r="AF22" t="s">
        <v>149</v>
      </c>
      <c r="AG22" t="s">
        <v>69</v>
      </c>
      <c r="AH22" t="s">
        <v>356</v>
      </c>
    </row>
    <row r="23" spans="2:34" ht="13.9" customHeight="1" x14ac:dyDescent="0.4">
      <c r="G23" t="s">
        <v>318</v>
      </c>
      <c r="H23" t="s">
        <v>169</v>
      </c>
      <c r="I23" s="194"/>
      <c r="T23" t="s">
        <v>85</v>
      </c>
      <c r="U23" t="s">
        <v>86</v>
      </c>
      <c r="AF23" t="s">
        <v>149</v>
      </c>
      <c r="AG23" t="s">
        <v>69</v>
      </c>
      <c r="AH23" t="s">
        <v>357</v>
      </c>
    </row>
    <row r="24" spans="2:34" ht="13.9" customHeight="1" x14ac:dyDescent="0.25">
      <c r="G24" t="s">
        <v>319</v>
      </c>
      <c r="H24" t="s">
        <v>320</v>
      </c>
      <c r="T24" t="s">
        <v>85</v>
      </c>
      <c r="U24" t="s">
        <v>87</v>
      </c>
      <c r="AF24" t="s">
        <v>149</v>
      </c>
      <c r="AG24" t="s">
        <v>70</v>
      </c>
      <c r="AH24" t="s">
        <v>358</v>
      </c>
    </row>
    <row r="25" spans="2:34" ht="13.9" customHeight="1" x14ac:dyDescent="0.25">
      <c r="G25" t="s">
        <v>321</v>
      </c>
      <c r="H25" t="s">
        <v>169</v>
      </c>
      <c r="T25" t="s">
        <v>85</v>
      </c>
      <c r="U25" t="s">
        <v>303</v>
      </c>
      <c r="AF25" t="s">
        <v>149</v>
      </c>
      <c r="AG25" t="s">
        <v>70</v>
      </c>
      <c r="AH25" t="s">
        <v>359</v>
      </c>
    </row>
    <row r="26" spans="2:34" ht="13.9" customHeight="1" x14ac:dyDescent="0.25">
      <c r="AF26" t="s">
        <v>149</v>
      </c>
      <c r="AG26" t="s">
        <v>70</v>
      </c>
      <c r="AH26" t="s">
        <v>360</v>
      </c>
    </row>
    <row r="27" spans="2:34" ht="13.9" customHeight="1" x14ac:dyDescent="0.25">
      <c r="AF27" t="s">
        <v>149</v>
      </c>
      <c r="AG27" t="s">
        <v>70</v>
      </c>
      <c r="AH27" t="s">
        <v>361</v>
      </c>
    </row>
    <row r="28" spans="2:34" ht="13.9" customHeight="1" x14ac:dyDescent="0.25">
      <c r="AF28" t="s">
        <v>149</v>
      </c>
      <c r="AG28" t="s">
        <v>70</v>
      </c>
      <c r="AH28" t="s">
        <v>362</v>
      </c>
    </row>
    <row r="29" spans="2:34" ht="13.9" customHeight="1" x14ac:dyDescent="0.25">
      <c r="AF29" t="s">
        <v>149</v>
      </c>
      <c r="AG29" t="s">
        <v>70</v>
      </c>
      <c r="AH29" t="s">
        <v>363</v>
      </c>
    </row>
    <row r="30" spans="2:34" ht="13.9" customHeight="1" x14ac:dyDescent="0.25">
      <c r="AF30" t="s">
        <v>149</v>
      </c>
      <c r="AG30" t="s">
        <v>70</v>
      </c>
      <c r="AH30" t="s">
        <v>364</v>
      </c>
    </row>
    <row r="31" spans="2:34" ht="11.45" customHeight="1" x14ac:dyDescent="0.25">
      <c r="AF31" t="s">
        <v>149</v>
      </c>
      <c r="AG31" t="s">
        <v>71</v>
      </c>
      <c r="AH31" t="s">
        <v>365</v>
      </c>
    </row>
    <row r="32" spans="2:34" ht="11.45" customHeight="1" x14ac:dyDescent="0.25">
      <c r="AF32" t="s">
        <v>149</v>
      </c>
      <c r="AG32" t="s">
        <v>71</v>
      </c>
      <c r="AH32" t="s">
        <v>366</v>
      </c>
    </row>
    <row r="33" spans="32:34" ht="11.45" customHeight="1" x14ac:dyDescent="0.25">
      <c r="AF33" t="s">
        <v>149</v>
      </c>
      <c r="AG33" t="s">
        <v>44</v>
      </c>
      <c r="AH33" t="s">
        <v>367</v>
      </c>
    </row>
    <row r="34" spans="32:34" ht="11.45" customHeight="1" x14ac:dyDescent="0.25">
      <c r="AF34" t="s">
        <v>149</v>
      </c>
      <c r="AG34" t="s">
        <v>44</v>
      </c>
      <c r="AH34" t="s">
        <v>368</v>
      </c>
    </row>
    <row r="35" spans="32:34" ht="11.45" customHeight="1" x14ac:dyDescent="0.25">
      <c r="AF35" t="s">
        <v>149</v>
      </c>
      <c r="AG35" t="s">
        <v>44</v>
      </c>
      <c r="AH35" t="s">
        <v>369</v>
      </c>
    </row>
    <row r="36" spans="32:34" ht="11.45" customHeight="1" x14ac:dyDescent="0.25">
      <c r="AF36" t="s">
        <v>149</v>
      </c>
      <c r="AG36" t="s">
        <v>44</v>
      </c>
      <c r="AH36" t="s">
        <v>370</v>
      </c>
    </row>
    <row r="37" spans="32:34" ht="11.45" customHeight="1" x14ac:dyDescent="0.25">
      <c r="AF37" t="s">
        <v>149</v>
      </c>
      <c r="AG37" t="s">
        <v>44</v>
      </c>
      <c r="AH37" t="s">
        <v>371</v>
      </c>
    </row>
    <row r="38" spans="32:34" ht="11.45" customHeight="1" x14ac:dyDescent="0.25">
      <c r="AF38" t="s">
        <v>149</v>
      </c>
      <c r="AG38" t="s">
        <v>44</v>
      </c>
      <c r="AH38" t="s">
        <v>372</v>
      </c>
    </row>
    <row r="39" spans="32:34" ht="11.45" customHeight="1" x14ac:dyDescent="0.25">
      <c r="AF39" t="s">
        <v>149</v>
      </c>
      <c r="AG39" t="s">
        <v>336</v>
      </c>
      <c r="AH39" t="s">
        <v>336</v>
      </c>
    </row>
    <row r="40" spans="32:34" ht="11.45" customHeight="1" x14ac:dyDescent="0.25">
      <c r="AF40" t="s">
        <v>149</v>
      </c>
      <c r="AG40" t="s">
        <v>336</v>
      </c>
      <c r="AH40" t="s">
        <v>373</v>
      </c>
    </row>
    <row r="41" spans="32:34" ht="11.45" customHeight="1" x14ac:dyDescent="0.25">
      <c r="AF41" t="s">
        <v>149</v>
      </c>
      <c r="AG41" t="s">
        <v>337</v>
      </c>
      <c r="AH41" t="s">
        <v>374</v>
      </c>
    </row>
    <row r="42" spans="32:34" ht="11.45" customHeight="1" x14ac:dyDescent="0.25">
      <c r="AF42" t="s">
        <v>149</v>
      </c>
      <c r="AG42" t="s">
        <v>337</v>
      </c>
      <c r="AH42" t="s">
        <v>375</v>
      </c>
    </row>
    <row r="43" spans="32:34" ht="11.45" customHeight="1" x14ac:dyDescent="0.25">
      <c r="AF43" t="s">
        <v>149</v>
      </c>
      <c r="AG43" t="s">
        <v>337</v>
      </c>
      <c r="AH43" t="s">
        <v>376</v>
      </c>
    </row>
    <row r="44" spans="32:34" ht="11.45" customHeight="1" x14ac:dyDescent="0.25">
      <c r="AF44" t="s">
        <v>149</v>
      </c>
      <c r="AG44" t="s">
        <v>337</v>
      </c>
      <c r="AH44" t="s">
        <v>377</v>
      </c>
    </row>
    <row r="45" spans="32:34" ht="11.45" customHeight="1" x14ac:dyDescent="0.25">
      <c r="AF45" t="s">
        <v>149</v>
      </c>
      <c r="AG45" t="s">
        <v>337</v>
      </c>
      <c r="AH45" t="s">
        <v>378</v>
      </c>
    </row>
    <row r="46" spans="32:34" ht="11.45" customHeight="1" x14ac:dyDescent="0.25">
      <c r="AF46" t="s">
        <v>149</v>
      </c>
      <c r="AG46" t="s">
        <v>337</v>
      </c>
      <c r="AH46" t="s">
        <v>379</v>
      </c>
    </row>
    <row r="47" spans="32:34" ht="11.45" customHeight="1" x14ac:dyDescent="0.25">
      <c r="AF47" t="s">
        <v>149</v>
      </c>
      <c r="AG47" t="s">
        <v>337</v>
      </c>
      <c r="AH47" t="s">
        <v>380</v>
      </c>
    </row>
    <row r="48" spans="32:34" ht="11.45" customHeight="1" x14ac:dyDescent="0.25">
      <c r="AF48" t="s">
        <v>149</v>
      </c>
      <c r="AG48" t="s">
        <v>337</v>
      </c>
      <c r="AH48" t="s">
        <v>381</v>
      </c>
    </row>
    <row r="49" spans="32:34" ht="11.45" customHeight="1" x14ac:dyDescent="0.25">
      <c r="AF49" t="s">
        <v>149</v>
      </c>
      <c r="AG49" t="s">
        <v>337</v>
      </c>
      <c r="AH49" t="s">
        <v>382</v>
      </c>
    </row>
    <row r="50" spans="32:34" ht="11.45" customHeight="1" x14ac:dyDescent="0.25">
      <c r="AF50" t="s">
        <v>149</v>
      </c>
      <c r="AG50" t="s">
        <v>324</v>
      </c>
      <c r="AH50" t="s">
        <v>324</v>
      </c>
    </row>
    <row r="51" spans="32:34" ht="11.45" customHeight="1" x14ac:dyDescent="0.25">
      <c r="AF51" t="s">
        <v>149</v>
      </c>
      <c r="AG51" t="s">
        <v>325</v>
      </c>
      <c r="AH51" t="s">
        <v>325</v>
      </c>
    </row>
    <row r="52" spans="32:34" ht="11.45" customHeight="1" x14ac:dyDescent="0.25">
      <c r="AF52" t="s">
        <v>149</v>
      </c>
      <c r="AG52" t="s">
        <v>335</v>
      </c>
      <c r="AH52" t="s">
        <v>335</v>
      </c>
    </row>
    <row r="53" spans="32:34" ht="11.45" customHeight="1" x14ac:dyDescent="0.25">
      <c r="AF53" t="s">
        <v>149</v>
      </c>
      <c r="AG53" t="s">
        <v>81</v>
      </c>
      <c r="AH53" t="s">
        <v>81</v>
      </c>
    </row>
    <row r="54" spans="32:34" ht="11.45" customHeight="1" x14ac:dyDescent="0.25">
      <c r="AF54" t="s">
        <v>149</v>
      </c>
      <c r="AG54" t="s">
        <v>75</v>
      </c>
      <c r="AH54" t="s">
        <v>75</v>
      </c>
    </row>
    <row r="55" spans="32:34" ht="11.45" customHeight="1" x14ac:dyDescent="0.25">
      <c r="AF55" t="s">
        <v>149</v>
      </c>
      <c r="AG55" t="s">
        <v>300</v>
      </c>
      <c r="AH55" t="s">
        <v>300</v>
      </c>
    </row>
    <row r="56" spans="32:34" ht="11.45" customHeight="1" x14ac:dyDescent="0.25">
      <c r="AF56" t="s">
        <v>85</v>
      </c>
      <c r="AG56" t="s">
        <v>86</v>
      </c>
      <c r="AH56" t="s">
        <v>86</v>
      </c>
    </row>
    <row r="57" spans="32:34" ht="11.45" customHeight="1" x14ac:dyDescent="0.25">
      <c r="AF57" t="s">
        <v>85</v>
      </c>
      <c r="AG57" t="s">
        <v>87</v>
      </c>
      <c r="AH57" t="s">
        <v>87</v>
      </c>
    </row>
    <row r="58" spans="32:34" ht="11.45" customHeight="1" x14ac:dyDescent="0.25">
      <c r="AF58" t="s">
        <v>85</v>
      </c>
      <c r="AG58" t="s">
        <v>303</v>
      </c>
      <c r="AH58" t="s">
        <v>303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6683F115-2699-4796-BD05-5391A3002EBA}">
  <ds:schemaRefs/>
</ds:datastoreItem>
</file>

<file path=customXml/itemProps2.xml><?xml version="1.0" encoding="utf-8"?>
<ds:datastoreItem xmlns:ds="http://schemas.openxmlformats.org/officeDocument/2006/customXml" ds:itemID="{70C179AB-43B6-4C83-B73D-35721B379E6C}">
  <ds:schemaRefs/>
</ds:datastoreItem>
</file>

<file path=customXml/itemProps3.xml><?xml version="1.0" encoding="utf-8"?>
<ds:datastoreItem xmlns:ds="http://schemas.openxmlformats.org/officeDocument/2006/customXml" ds:itemID="{E2071E28-FF1E-472C-9EC5-3B4245727553}">
  <ds:schemaRefs/>
</ds:datastoreItem>
</file>

<file path=customXml/itemProps4.xml><?xml version="1.0" encoding="utf-8"?>
<ds:datastoreItem xmlns:ds="http://schemas.openxmlformats.org/officeDocument/2006/customXml" ds:itemID="{F0786C52-D3E5-474F-A3B6-91A76475699E}">
  <ds:schemaRefs/>
</ds:datastoreItem>
</file>

<file path=customXml/itemProps5.xml><?xml version="1.0" encoding="utf-8"?>
<ds:datastoreItem xmlns:ds="http://schemas.openxmlformats.org/officeDocument/2006/customXml" ds:itemID="{875600D1-FAFA-408F-9E37-F4C08AE2C152}">
  <ds:schemaRefs/>
</ds:datastoreItem>
</file>

<file path=customXml/itemProps6.xml><?xml version="1.0" encoding="utf-8"?>
<ds:datastoreItem xmlns:ds="http://schemas.openxmlformats.org/officeDocument/2006/customXml" ds:itemID="{0FE54163-2191-4265-B5BF-C092E81BE9CE}">
  <ds:schemaRefs/>
</ds:datastoreItem>
</file>

<file path=customXml/itemProps7.xml><?xml version="1.0" encoding="utf-8"?>
<ds:datastoreItem xmlns:ds="http://schemas.openxmlformats.org/officeDocument/2006/customXml" ds:itemID="{EEA2086D-79AD-458D-BF6E-725C272409D3}">
  <ds:schemaRefs/>
</ds:datastoreItem>
</file>

<file path=customXml/itemProps8.xml><?xml version="1.0" encoding="utf-8"?>
<ds:datastoreItem xmlns:ds="http://schemas.openxmlformats.org/officeDocument/2006/customXml" ds:itemID="{24640D9D-75C2-4C2B-852C-8B0A4D38F902}">
  <ds:schemaRefs/>
</ds:datastoreItem>
</file>

<file path=customXml/itemProps9.xml><?xml version="1.0" encoding="utf-8"?>
<ds:datastoreItem xmlns:ds="http://schemas.openxmlformats.org/officeDocument/2006/customXml" ds:itemID="{C92D39A7-4815-40D9-AB4F-9B0E29A3A5A1}">
  <ds:schemaRefs/>
</ds:datastoreItem>
</file>

<file path=customXml/itemProps10.xml><?xml version="1.0" encoding="utf-8"?>
<ds:datastoreItem xmlns:ds="http://schemas.openxmlformats.org/officeDocument/2006/customXml" ds:itemID="{8306FEA2-F94B-4CBD-BDF3-EBFE6E2A601A}">
  <ds:schemaRefs/>
</ds:datastoreItem>
</file>

<file path=customXml/itemProps11.xml><?xml version="1.0" encoding="utf-8"?>
<ds:datastoreItem xmlns:ds="http://schemas.openxmlformats.org/officeDocument/2006/customXml" ds:itemID="{68675A20-3ADB-483D-A66A-9D3D75B0002A}">
  <ds:schemaRefs/>
</ds:datastoreItem>
</file>

<file path=customXml/itemProps12.xml><?xml version="1.0" encoding="utf-8"?>
<ds:datastoreItem xmlns:ds="http://schemas.openxmlformats.org/officeDocument/2006/customXml" ds:itemID="{A724CFBA-45A4-4726-A383-3481E7881393}">
  <ds:schemaRefs/>
</ds:datastoreItem>
</file>

<file path=customXml/itemProps13.xml><?xml version="1.0" encoding="utf-8"?>
<ds:datastoreItem xmlns:ds="http://schemas.openxmlformats.org/officeDocument/2006/customXml" ds:itemID="{FC57336E-1D7F-4474-9897-619672C39F8E}">
  <ds:schemaRefs/>
</ds:datastoreItem>
</file>

<file path=customXml/itemProps14.xml><?xml version="1.0" encoding="utf-8"?>
<ds:datastoreItem xmlns:ds="http://schemas.openxmlformats.org/officeDocument/2006/customXml" ds:itemID="{32685FE9-1138-4300-9792-453951303F61}">
  <ds:schemaRefs>
    <ds:schemaRef ds:uri="http://www.w3.org/2001/XMLSchema"/>
    <ds:schemaRef ds:uri="http://microsoft.data.visualization.Client.Excel/1.0"/>
  </ds:schemaRefs>
</ds:datastoreItem>
</file>

<file path=customXml/itemProps15.xml><?xml version="1.0" encoding="utf-8"?>
<ds:datastoreItem xmlns:ds="http://schemas.openxmlformats.org/officeDocument/2006/customXml" ds:itemID="{CE64B7BB-EAFC-4330-8357-9A469B5BDE3F}">
  <ds:schemaRefs>
    <ds:schemaRef ds:uri="http://www.w3.org/2001/XMLSchema"/>
    <ds:schemaRef ds:uri="http://microsoft.data.visualization.engine.tours/1.0"/>
  </ds:schemaRefs>
</ds:datastoreItem>
</file>

<file path=customXml/itemProps16.xml><?xml version="1.0" encoding="utf-8"?>
<ds:datastoreItem xmlns:ds="http://schemas.openxmlformats.org/officeDocument/2006/customXml" ds:itemID="{68E898FD-D6E3-4B1E-961B-D181F44C850F}">
  <ds:schemaRefs/>
</ds:datastoreItem>
</file>

<file path=customXml/itemProps17.xml><?xml version="1.0" encoding="utf-8"?>
<ds:datastoreItem xmlns:ds="http://schemas.openxmlformats.org/officeDocument/2006/customXml" ds:itemID="{D05F72B4-DD5F-4F97-AA03-5004B478D6EB}">
  <ds:schemaRefs/>
</ds:datastoreItem>
</file>

<file path=customXml/itemProps18.xml><?xml version="1.0" encoding="utf-8"?>
<ds:datastoreItem xmlns:ds="http://schemas.openxmlformats.org/officeDocument/2006/customXml" ds:itemID="{6002BF17-9F55-4870-8EFD-ACCC9089C31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35</vt:i4>
      </vt:variant>
    </vt:vector>
  </HeadingPairs>
  <TitlesOfParts>
    <vt:vector size="47" baseType="lpstr">
      <vt:lpstr>Information</vt:lpstr>
      <vt:lpstr>Loan Analysis</vt:lpstr>
      <vt:lpstr>Amortization Schedule</vt:lpstr>
      <vt:lpstr>Property Information</vt:lpstr>
      <vt:lpstr>Sources &amp; Uses</vt:lpstr>
      <vt:lpstr>Cashflow</vt:lpstr>
      <vt:lpstr>CF Summary</vt:lpstr>
      <vt:lpstr>Trailing 12 Analysis</vt:lpstr>
      <vt:lpstr>Rent Roll</vt:lpstr>
      <vt:lpstr>Rent Roll Analysis</vt:lpstr>
      <vt:lpstr>Lease Analysis</vt:lpstr>
      <vt:lpstr>Validation</vt:lpstr>
      <vt:lpstr>Capital_Expense</vt:lpstr>
      <vt:lpstr>Category</vt:lpstr>
      <vt:lpstr>CFAmountYr1</vt:lpstr>
      <vt:lpstr>CFAmountYr10</vt:lpstr>
      <vt:lpstr>CFAmountYr2</vt:lpstr>
      <vt:lpstr>CFAmountYr3</vt:lpstr>
      <vt:lpstr>CFAmountYr4</vt:lpstr>
      <vt:lpstr>CFAmountYr5</vt:lpstr>
      <vt:lpstr>CFAmountYr6</vt:lpstr>
      <vt:lpstr>CFAmountYr7</vt:lpstr>
      <vt:lpstr>CFAmountYr8</vt:lpstr>
      <vt:lpstr>CFAmountYr9</vt:lpstr>
      <vt:lpstr>CFAmountYrAppraisal</vt:lpstr>
      <vt:lpstr>CFAmountYrBudget</vt:lpstr>
      <vt:lpstr>CFAmountYrProforma</vt:lpstr>
      <vt:lpstr>CFAmountYrTTM</vt:lpstr>
      <vt:lpstr>CFAmountYrYTD</vt:lpstr>
      <vt:lpstr>Expense</vt:lpstr>
      <vt:lpstr>iBathRange</vt:lpstr>
      <vt:lpstr>iBedRange</vt:lpstr>
      <vt:lpstr>Income</vt:lpstr>
      <vt:lpstr>'CF Summary'!Print_Area</vt:lpstr>
      <vt:lpstr>'Trailing 12 Analysis'!Print_Area</vt:lpstr>
      <vt:lpstr>rng_Category</vt:lpstr>
      <vt:lpstr>rng_mba_end</vt:lpstr>
      <vt:lpstr>rng_mf_category</vt:lpstr>
      <vt:lpstr>rng_rent_roll_date</vt:lpstr>
      <vt:lpstr>rng_rent_status</vt:lpstr>
      <vt:lpstr>rng_StatusCode</vt:lpstr>
      <vt:lpstr>rng_subCategory</vt:lpstr>
      <vt:lpstr>rngHead</vt:lpstr>
      <vt:lpstr>UW_M1</vt:lpstr>
      <vt:lpstr>UW_M2</vt:lpstr>
      <vt:lpstr>UW_M3</vt:lpstr>
      <vt:lpstr>UWCalcMethod</vt:lpstr>
    </vt:vector>
  </TitlesOfParts>
  <Manager>Jayanta Nath</Manager>
  <Company>Clik.ai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Multi Family Template</dc:title>
  <dc:creator>Partha Mukherjee;Saikat Dasgupta</dc:creator>
  <cp:lastModifiedBy>temp admin</cp:lastModifiedBy>
  <cp:revision>8</cp:revision>
  <cp:lastPrinted>2019-04-22T10:23:35Z</cp:lastPrinted>
  <dcterms:created xsi:type="dcterms:W3CDTF">2019-03-28T09:17:57Z</dcterms:created>
  <dcterms:modified xsi:type="dcterms:W3CDTF">2020-11-19T13:56:36Z</dcterms:modified>
  <cp:version>1</cp:version>
</cp:coreProperties>
</file>